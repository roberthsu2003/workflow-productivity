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2.xml.rels" ContentType="application/vnd.openxmlformats-package.relationships+xml"/>
  <Override PartName="/xl/worksheets/_rels/sheet1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用說明" sheetId="1" state="visible" r:id="rId3"/>
    <sheet name="法規符合性檢核" sheetId="2" state="visible" r:id="rId4"/>
    <sheet name="流程1_月結表" sheetId="3" state="visible" r:id="rId5"/>
    <sheet name="流程1_參數" sheetId="4" state="visible" r:id="rId6"/>
    <sheet name="流程1_出勤紀錄" sheetId="5" state="visible" r:id="rId7"/>
    <sheet name="流程1_請假申請" sheetId="6" state="visible" r:id="rId8"/>
    <sheet name="流程1_特休與請假查詢" sheetId="7" state="visible" r:id="rId9"/>
    <sheet name="流程1_薪資明細單" sheetId="8" state="visible" r:id="rId10"/>
    <sheet name="流程1_傳票彙總" sheetId="9" state="visible" r:id="rId11"/>
    <sheet name="流程2_報銷申請" sheetId="10" state="visible" r:id="rId12"/>
    <sheet name="會計科目對照" sheetId="11" state="visible" r:id="rId13"/>
    <sheet name="流程3_用印登記" sheetId="12" state="visible" r:id="rId14"/>
    <sheet name="營業稅_銷項登記" sheetId="13" state="visible" r:id="rId15"/>
    <sheet name="申報設定" sheetId="14" state="visible" r:id="rId16"/>
    <sheet name="簽核歷程格式" sheetId="15" state="visible" r:id="rId17"/>
    <sheet name="例外處理" sheetId="16" state="visible" r:id="rId18"/>
    <sheet name="表單欄位設計" sheetId="17" state="visible" r:id="rId19"/>
  </sheets>
  <definedNames>
    <definedName function="false" hidden="true" localSheetId="11" name="_xlnm._FilterDatabase" vbProcedure="false">流程3_用印登記!$A$4:$U$200</definedName>
    <definedName function="false" hidden="true" localSheetId="12" name="_xlnm._FilterDatabase" vbProcedure="false">營業稅_銷項登記!$A$4:$K$204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<sst xmlns="http://schemas.openxmlformats.org/spreadsheetml/2006/main" count="1242" uniqueCount="847">
  <si>
    <t xml:space="preserve">無紙化及自動化流程｜素材總表</t>
  </si>
  <si>
    <t xml:space="preserve">文創科技股份有限公司　所有人名、金額、廠商皆為範例資料</t>
  </si>
  <si>
    <t xml:space="preserve">工作表</t>
  </si>
  <si>
    <t xml:space="preserve">用途</t>
  </si>
  <si>
    <r>
      <rPr>
        <sz val="10"/>
        <rFont val="Noto Sans CJK SC"/>
        <family val="2"/>
      </rPr>
      <t xml:space="preserve">流程</t>
    </r>
    <r>
      <rPr>
        <sz val="10"/>
        <rFont val="Microsoft JhengHei"/>
        <family val="0"/>
        <charset val="1"/>
      </rPr>
      <t xml:space="preserve">1_</t>
    </r>
    <r>
      <rPr>
        <sz val="10"/>
        <rFont val="Noto Sans CJK SC"/>
        <family val="2"/>
      </rPr>
      <t xml:space="preserve">月結表</t>
    </r>
  </si>
  <si>
    <t xml:space="preserve">員工出勤、請假、加班彙總與薪資試算（無數字的欄位自動隱藏，可展開）</t>
  </si>
  <si>
    <r>
      <rPr>
        <sz val="10"/>
        <rFont val="Noto Sans CJK SC"/>
        <family val="2"/>
      </rPr>
      <t xml:space="preserve">流程</t>
    </r>
    <r>
      <rPr>
        <sz val="10"/>
        <rFont val="Microsoft JhengHei"/>
        <family val="0"/>
        <charset val="1"/>
      </rPr>
      <t xml:space="preserve">1_</t>
    </r>
    <r>
      <rPr>
        <sz val="10"/>
        <rFont val="Noto Sans CJK SC"/>
        <family val="2"/>
      </rPr>
      <t xml:space="preserve">參數</t>
    </r>
  </si>
  <si>
    <t xml:space="preserve">假別（含給薪比例）與加班別倍率、勞健保費率等可調參數</t>
  </si>
  <si>
    <t xml:space="preserve">法規符合性檢核</t>
  </si>
  <si>
    <t xml:space="preserve">逐項對照勞基法、請假規則、會計與個資等法規，註明本設計對應與需公司決策事項</t>
  </si>
  <si>
    <r>
      <rPr>
        <sz val="10"/>
        <rFont val="Noto Sans CJK SC"/>
        <family val="2"/>
      </rPr>
      <t xml:space="preserve">流程</t>
    </r>
    <r>
      <rPr>
        <sz val="10"/>
        <rFont val="Microsoft JhengHei"/>
        <family val="0"/>
        <charset val="1"/>
      </rPr>
      <t xml:space="preserve">1_</t>
    </r>
    <r>
      <rPr>
        <sz val="10"/>
        <rFont val="Noto Sans CJK SC"/>
        <family val="2"/>
      </rPr>
      <t xml:space="preserve">出勤紀錄</t>
    </r>
  </si>
  <si>
    <t xml:space="preserve">逐日打卡紀錄（精確到分鐘），自動檢核工時與加班同意</t>
  </si>
  <si>
    <r>
      <rPr>
        <sz val="10"/>
        <rFont val="Noto Sans CJK SC"/>
        <family val="2"/>
      </rPr>
      <t xml:space="preserve">流程</t>
    </r>
    <r>
      <rPr>
        <sz val="10"/>
        <rFont val="Microsoft JhengHei"/>
        <family val="0"/>
        <charset val="1"/>
      </rPr>
      <t xml:space="preserve">1_</t>
    </r>
    <r>
      <rPr>
        <sz val="10"/>
        <rFont val="Noto Sans CJK SC"/>
        <family val="2"/>
      </rPr>
      <t xml:space="preserve">請假申請</t>
    </r>
  </si>
  <si>
    <t xml:space="preserve">請假登記；主管確認、職務代理人為建議、急病可代辦，不以未指定代理人拒絕給假</t>
  </si>
  <si>
    <r>
      <rPr>
        <sz val="10"/>
        <rFont val="Noto Sans CJK SC"/>
        <family val="2"/>
      </rPr>
      <t xml:space="preserve">流程</t>
    </r>
    <r>
      <rPr>
        <sz val="10"/>
        <rFont val="Microsoft JhengHei"/>
        <family val="0"/>
        <charset val="1"/>
      </rPr>
      <t xml:space="preserve">1_</t>
    </r>
    <r>
      <rPr>
        <sz val="10"/>
        <rFont val="Noto Sans CJK SC"/>
        <family val="2"/>
      </rPr>
      <t xml:space="preserve">特休與請假查詢</t>
    </r>
  </si>
  <si>
    <t xml:space="preserve">曆年制特休按比例、遞延與年度／離職結算，並彙總各假別累計；為員工自助查詢系統的資料來源</t>
  </si>
  <si>
    <r>
      <rPr>
        <sz val="10"/>
        <rFont val="Noto Sans CJK SC"/>
        <family val="2"/>
      </rPr>
      <t xml:space="preserve">流程</t>
    </r>
    <r>
      <rPr>
        <sz val="10"/>
        <rFont val="Microsoft JhengHei"/>
        <family val="0"/>
        <charset val="1"/>
      </rPr>
      <t xml:space="preserve">1_</t>
    </r>
    <r>
      <rPr>
        <sz val="10"/>
        <rFont val="Noto Sans CJK SC"/>
        <family val="2"/>
      </rPr>
      <t xml:space="preserve">薪資明細單</t>
    </r>
  </si>
  <si>
    <r>
      <rPr>
        <sz val="10"/>
        <rFont val="Noto Sans CJK SC"/>
        <family val="2"/>
      </rPr>
      <t xml:space="preserve">依勞基法第</t>
    </r>
    <r>
      <rPr>
        <sz val="10"/>
        <rFont val="Microsoft JhengHei"/>
        <family val="0"/>
        <charset val="1"/>
      </rPr>
      <t xml:space="preserve">23</t>
    </r>
    <r>
      <rPr>
        <sz val="10"/>
        <rFont val="Noto Sans CJK SC"/>
        <family val="2"/>
      </rPr>
      <t xml:space="preserve">條產出每人薪資明細（可電子提供）</t>
    </r>
  </si>
  <si>
    <r>
      <rPr>
        <sz val="10"/>
        <rFont val="Noto Sans CJK SC"/>
        <family val="2"/>
      </rPr>
      <t xml:space="preserve">流程</t>
    </r>
    <r>
      <rPr>
        <sz val="10"/>
        <rFont val="Microsoft JhengHei"/>
        <family val="0"/>
        <charset val="1"/>
      </rPr>
      <t xml:space="preserve">1_</t>
    </r>
    <r>
      <rPr>
        <sz val="10"/>
        <rFont val="Noto Sans CJK SC"/>
        <family val="2"/>
      </rPr>
      <t xml:space="preserve">傳票彙總</t>
    </r>
  </si>
  <si>
    <r>
      <rPr>
        <sz val="10"/>
        <rFont val="Noto Sans CJK SC"/>
        <family val="2"/>
      </rPr>
      <t xml:space="preserve">由月結表自動彙總薪資傳票借貸金額，供拋轉或手 </t>
    </r>
    <r>
      <rPr>
        <sz val="10"/>
        <rFont val="Microsoft JhengHei"/>
        <family val="0"/>
        <charset val="1"/>
      </rPr>
      <t xml:space="preserve">key </t>
    </r>
    <r>
      <rPr>
        <sz val="10"/>
        <rFont val="Noto Sans CJK SC"/>
        <family val="2"/>
      </rPr>
      <t xml:space="preserve">金城</t>
    </r>
  </si>
  <si>
    <r>
      <rPr>
        <sz val="10"/>
        <rFont val="Noto Sans CJK SC"/>
        <family val="2"/>
      </rPr>
      <t xml:space="preserve">流程</t>
    </r>
    <r>
      <rPr>
        <sz val="10"/>
        <rFont val="Microsoft JhengHei"/>
        <family val="0"/>
        <charset val="1"/>
      </rPr>
      <t xml:space="preserve">2_</t>
    </r>
    <r>
      <rPr>
        <sz val="10"/>
        <rFont val="Noto Sans CJK SC"/>
        <family val="2"/>
      </rPr>
      <t xml:space="preserve">報銷申請</t>
    </r>
  </si>
  <si>
    <r>
      <rPr>
        <sz val="10"/>
        <rFont val="Noto Sans CJK SC"/>
        <family val="2"/>
      </rPr>
      <t xml:space="preserve">費用報銷申請單欄位（</t>
    </r>
    <r>
      <rPr>
        <sz val="10"/>
        <rFont val="Microsoft JhengHei"/>
        <family val="0"/>
        <charset val="1"/>
      </rPr>
      <t xml:space="preserve">Google </t>
    </r>
    <r>
      <rPr>
        <sz val="10"/>
        <rFont val="Noto Sans CJK SC"/>
        <family val="2"/>
      </rPr>
      <t xml:space="preserve">表單／自建平台對應資料表）</t>
    </r>
  </si>
  <si>
    <t xml:space="preserve">填寫規則</t>
  </si>
  <si>
    <t xml:space="preserve">報銷可選會計科目（下拉選單來源）與全部科目對照</t>
  </si>
  <si>
    <t xml:space="preserve">淡黃色底的儲存格＝需要人工輸入；其餘為公式或固定欄位，請勿覆蓋。</t>
  </si>
  <si>
    <r>
      <rPr>
        <sz val="10"/>
        <rFont val="Noto Sans CJK SC"/>
        <family val="2"/>
      </rPr>
      <t xml:space="preserve">銷項發票登記；與「流程</t>
    </r>
    <r>
      <rPr>
        <sz val="10"/>
        <rFont val="Microsoft JhengHei"/>
        <family val="0"/>
        <charset val="1"/>
      </rPr>
      <t xml:space="preserve">2_</t>
    </r>
    <r>
      <rPr>
        <sz val="10"/>
        <rFont val="Noto Sans CJK SC"/>
        <family val="2"/>
      </rPr>
      <t xml:space="preserve">報銷申請」的進項一起產生營業稅進銷項申報檔</t>
    </r>
  </si>
  <si>
    <t xml:space="preserve">每份範本的資料列皆為範例，正式使用前請刪除或覆蓋。</t>
  </si>
  <si>
    <t xml:space="preserve">營業稅、各類所得、補充保費申報檔共用的公司資料與參數</t>
  </si>
  <si>
    <t xml:space="preserve">科目代號請依公司現行會計科目表確認；薪資所得稅代扣等科目請自行確認。</t>
  </si>
  <si>
    <t xml:space="preserve">合約／報價單／用印申請登記與歸檔目錄</t>
  </si>
  <si>
    <t xml:space="preserve">簽核歷程格式</t>
  </si>
  <si>
    <r>
      <rPr>
        <sz val="10"/>
        <rFont val="Noto Sans CJK SC"/>
        <family val="2"/>
      </rPr>
      <t xml:space="preserve">三個流程共用的簽核紀錄欄位，可輸出成 </t>
    </r>
    <r>
      <rPr>
        <sz val="10"/>
        <rFont val="Microsoft JhengHei"/>
        <family val="0"/>
        <charset val="1"/>
      </rPr>
      <t xml:space="preserve">PDF </t>
    </r>
    <r>
      <rPr>
        <sz val="10"/>
        <rFont val="Noto Sans CJK SC"/>
        <family val="2"/>
      </rPr>
      <t xml:space="preserve">附頁</t>
    </r>
  </si>
  <si>
    <t xml:space="preserve">例外處理</t>
  </si>
  <si>
    <t xml:space="preserve">漏打卡、退件、金額修正、用印後內容變更的處理規則</t>
  </si>
  <si>
    <t xml:space="preserve">表單欄位設計</t>
  </si>
  <si>
    <r>
      <rPr>
        <sz val="10"/>
        <rFont val="Microsoft JhengHei"/>
        <family val="0"/>
        <charset val="1"/>
      </rPr>
      <t xml:space="preserve">Google </t>
    </r>
    <r>
      <rPr>
        <sz val="10"/>
        <rFont val="Noto Sans CJK SC"/>
        <family val="2"/>
      </rPr>
      <t xml:space="preserve">表單／自建平台的題目與欄位清單</t>
    </r>
  </si>
  <si>
    <t xml:space="preserve">法規符合性檢核（無紙化及自動化流程）</t>
  </si>
  <si>
    <r>
      <rPr>
        <sz val="9"/>
        <color rgb="FF7F7F7F"/>
        <rFont val="Noto Sans CJK SC"/>
        <family val="2"/>
      </rPr>
      <t xml:space="preserve">查詢日期：</t>
    </r>
    <r>
      <rPr>
        <sz val="9"/>
        <color rgb="FF7F7F7F"/>
        <rFont val="Microsoft JhengHei"/>
        <family val="0"/>
        <charset val="1"/>
      </rPr>
      <t xml:space="preserve">2026-10-20</t>
    </r>
    <r>
      <rPr>
        <sz val="9"/>
        <color rgb="FF7F7F7F"/>
        <rFont val="Noto Sans CJK SC"/>
        <family val="2"/>
      </rPr>
      <t xml:space="preserve">；依公開法規與主管機關說明整理，非法律意見，正式適用請與勞資、會計專業人員確認；狀態「需公司決策」表示需公司制度或專業確認，非 </t>
    </r>
    <r>
      <rPr>
        <sz val="9"/>
        <color rgb="FF7F7F7F"/>
        <rFont val="Microsoft JhengHei"/>
        <family val="0"/>
        <charset val="1"/>
      </rPr>
      <t xml:space="preserve">Excel </t>
    </r>
    <r>
      <rPr>
        <sz val="9"/>
        <color rgb="FF7F7F7F"/>
        <rFont val="Noto Sans CJK SC"/>
        <family val="2"/>
      </rPr>
      <t xml:space="preserve">可單獨解決</t>
    </r>
  </si>
  <si>
    <t xml:space="preserve">項次</t>
  </si>
  <si>
    <t xml:space="preserve">領域</t>
  </si>
  <si>
    <t xml:space="preserve">法規依據</t>
  </si>
  <si>
    <t xml:space="preserve">要求重點</t>
  </si>
  <si>
    <t xml:space="preserve">本設計對應</t>
  </si>
  <si>
    <t xml:space="preserve">狀態</t>
  </si>
  <si>
    <t xml:space="preserve">工資給付</t>
  </si>
  <si>
    <r>
      <rPr>
        <sz val="10"/>
        <rFont val="Noto Sans CJK SC"/>
        <family val="2"/>
      </rPr>
      <t xml:space="preserve">勞基法第</t>
    </r>
    <r>
      <rPr>
        <sz val="10"/>
        <rFont val="Microsoft JhengHei"/>
        <family val="0"/>
        <charset val="1"/>
      </rPr>
      <t xml:space="preserve">22</t>
    </r>
    <r>
      <rPr>
        <sz val="10"/>
        <rFont val="Noto Sans CJK SC"/>
        <family val="2"/>
      </rPr>
      <t xml:space="preserve">條、第</t>
    </r>
    <r>
      <rPr>
        <sz val="10"/>
        <rFont val="Microsoft JhengHei"/>
        <family val="0"/>
        <charset val="1"/>
      </rPr>
      <t xml:space="preserve">23</t>
    </r>
    <r>
      <rPr>
        <sz val="10"/>
        <rFont val="Noto Sans CJK SC"/>
        <family val="2"/>
      </rPr>
      <t xml:space="preserve">條；施行細則第</t>
    </r>
    <r>
      <rPr>
        <sz val="10"/>
        <rFont val="Microsoft JhengHei"/>
        <family val="0"/>
        <charset val="1"/>
      </rPr>
      <t xml:space="preserve">14-1</t>
    </r>
    <r>
      <rPr>
        <sz val="10"/>
        <rFont val="Noto Sans CJK SC"/>
        <family val="2"/>
      </rPr>
      <t xml:space="preserve">條</t>
    </r>
  </si>
  <si>
    <t xml:space="preserve">工資全額直接給付；發薪時提供各項目計算方式明細，可電子提供，不得要求申請核可或簽名後收回</t>
  </si>
  <si>
    <r>
      <rPr>
        <sz val="10"/>
        <rFont val="Noto Sans CJK SC"/>
        <family val="2"/>
      </rPr>
      <t xml:space="preserve">新增「流程</t>
    </r>
    <r>
      <rPr>
        <sz val="10"/>
        <rFont val="Microsoft JhengHei"/>
        <family val="0"/>
        <charset val="1"/>
      </rPr>
      <t xml:space="preserve">1_</t>
    </r>
    <r>
      <rPr>
        <sz val="10"/>
        <rFont val="Noto Sans CJK SC"/>
        <family val="2"/>
      </rPr>
      <t xml:space="preserve">薪資明細單」，由月結表自動帶出總額、各項目、扣除項目與實發金額</t>
    </r>
  </si>
  <si>
    <t xml:space="preserve">已納入</t>
  </si>
  <si>
    <t xml:space="preserve">工資清冊</t>
  </si>
  <si>
    <r>
      <rPr>
        <sz val="10"/>
        <rFont val="Noto Sans CJK SC"/>
        <family val="2"/>
      </rPr>
      <t xml:space="preserve">勞基法第</t>
    </r>
    <r>
      <rPr>
        <sz val="10"/>
        <rFont val="Microsoft JhengHei"/>
        <family val="0"/>
        <charset val="1"/>
      </rPr>
      <t xml:space="preserve">23</t>
    </r>
    <r>
      <rPr>
        <sz val="10"/>
        <rFont val="Noto Sans CJK SC"/>
        <family val="2"/>
      </rPr>
      <t xml:space="preserve">條第</t>
    </r>
    <r>
      <rPr>
        <sz val="10"/>
        <rFont val="Microsoft JhengHei"/>
        <family val="0"/>
        <charset val="1"/>
      </rPr>
      <t xml:space="preserve">2</t>
    </r>
    <r>
      <rPr>
        <sz val="10"/>
        <rFont val="Noto Sans CJK SC"/>
        <family val="2"/>
      </rPr>
      <t xml:space="preserve">項</t>
    </r>
  </si>
  <si>
    <r>
      <rPr>
        <sz val="10"/>
        <rFont val="Noto Sans CJK SC"/>
        <family val="2"/>
      </rPr>
      <t xml:space="preserve">置備工資清冊（發放工資、計算方式明細、工資總額），保存</t>
    </r>
    <r>
      <rPr>
        <sz val="10"/>
        <rFont val="Microsoft JhengHei"/>
        <family val="0"/>
        <charset val="1"/>
      </rPr>
      <t xml:space="preserve">5</t>
    </r>
    <r>
      <rPr>
        <sz val="10"/>
        <rFont val="Noto Sans CJK SC"/>
        <family val="2"/>
      </rPr>
      <t xml:space="preserve">年</t>
    </r>
  </si>
  <si>
    <r>
      <rPr>
        <sz val="10"/>
        <rFont val="Noto Sans CJK SC"/>
        <family val="2"/>
      </rPr>
      <t xml:space="preserve">月結表即工資清冊，歸檔</t>
    </r>
    <r>
      <rPr>
        <sz val="10"/>
        <rFont val="Microsoft JhengHei"/>
        <family val="0"/>
        <charset val="1"/>
      </rPr>
      <t xml:space="preserve">PDF</t>
    </r>
    <r>
      <rPr>
        <sz val="10"/>
        <rFont val="Noto Sans CJK SC"/>
        <family val="2"/>
      </rPr>
      <t xml:space="preserve">保存；保存期限由公司執行</t>
    </r>
  </si>
  <si>
    <t xml:space="preserve">出勤紀錄</t>
  </si>
  <si>
    <r>
      <rPr>
        <sz val="10"/>
        <rFont val="Noto Sans CJK SC"/>
        <family val="2"/>
      </rPr>
      <t xml:space="preserve">勞基法第</t>
    </r>
    <r>
      <rPr>
        <sz val="10"/>
        <rFont val="Microsoft JhengHei"/>
        <family val="0"/>
        <charset val="1"/>
      </rPr>
      <t xml:space="preserve">30</t>
    </r>
    <r>
      <rPr>
        <sz val="10"/>
        <rFont val="Noto Sans CJK SC"/>
        <family val="2"/>
      </rPr>
      <t xml:space="preserve">條第</t>
    </r>
    <r>
      <rPr>
        <sz val="10"/>
        <rFont val="Microsoft JhengHei"/>
        <family val="0"/>
        <charset val="1"/>
      </rPr>
      <t xml:space="preserve">5</t>
    </r>
    <r>
      <rPr>
        <sz val="10"/>
        <rFont val="Noto Sans CJK SC"/>
        <family val="2"/>
      </rPr>
      <t xml:space="preserve">、</t>
    </r>
    <r>
      <rPr>
        <sz val="10"/>
        <rFont val="Microsoft JhengHei"/>
        <family val="0"/>
        <charset val="1"/>
      </rPr>
      <t xml:space="preserve">6</t>
    </r>
    <r>
      <rPr>
        <sz val="10"/>
        <rFont val="Noto Sans CJK SC"/>
        <family val="2"/>
      </rPr>
      <t xml:space="preserve">項</t>
    </r>
  </si>
  <si>
    <r>
      <rPr>
        <sz val="10"/>
        <rFont val="Noto Sans CJK SC"/>
        <family val="2"/>
      </rPr>
      <t xml:space="preserve">逐日記載出勤情形至分鐘，保存</t>
    </r>
    <r>
      <rPr>
        <sz val="10"/>
        <rFont val="Microsoft JhengHei"/>
        <family val="0"/>
        <charset val="1"/>
      </rPr>
      <t xml:space="preserve">5</t>
    </r>
    <r>
      <rPr>
        <sz val="10"/>
        <rFont val="Noto Sans CJK SC"/>
        <family val="2"/>
      </rPr>
      <t xml:space="preserve">年；不得以表定時間代替；勞工得申請副本</t>
    </r>
  </si>
  <si>
    <r>
      <rPr>
        <sz val="10"/>
        <rFont val="Noto Sans CJK SC"/>
        <family val="2"/>
      </rPr>
      <t xml:space="preserve">新增「流程</t>
    </r>
    <r>
      <rPr>
        <sz val="10"/>
        <rFont val="Microsoft JhengHei"/>
        <family val="0"/>
        <charset val="1"/>
      </rPr>
      <t xml:space="preserve">1_</t>
    </r>
    <r>
      <rPr>
        <sz val="10"/>
        <rFont val="Noto Sans CJK SC"/>
        <family val="2"/>
      </rPr>
      <t xml:space="preserve">出勤紀錄」，以打卡鐘實際時間逐日登錄；打卡資料需自行匯入</t>
    </r>
  </si>
  <si>
    <t xml:space="preserve">工時與加班</t>
  </si>
  <si>
    <r>
      <rPr>
        <sz val="10"/>
        <rFont val="Noto Sans CJK SC"/>
        <family val="2"/>
      </rPr>
      <t xml:space="preserve">勞基法第</t>
    </r>
    <r>
      <rPr>
        <sz val="10"/>
        <rFont val="Microsoft JhengHei"/>
        <family val="0"/>
        <charset val="1"/>
      </rPr>
      <t xml:space="preserve">30</t>
    </r>
    <r>
      <rPr>
        <sz val="10"/>
        <rFont val="Noto Sans CJK SC"/>
        <family val="2"/>
      </rPr>
      <t xml:space="preserve">條、第</t>
    </r>
    <r>
      <rPr>
        <sz val="10"/>
        <rFont val="Microsoft JhengHei"/>
        <family val="0"/>
        <charset val="1"/>
      </rPr>
      <t xml:space="preserve">32</t>
    </r>
    <r>
      <rPr>
        <sz val="10"/>
        <rFont val="Noto Sans CJK SC"/>
        <family val="2"/>
      </rPr>
      <t xml:space="preserve">條、第</t>
    </r>
    <r>
      <rPr>
        <sz val="10"/>
        <rFont val="Microsoft JhengHei"/>
        <family val="0"/>
        <charset val="1"/>
      </rPr>
      <t xml:space="preserve">36</t>
    </r>
    <r>
      <rPr>
        <sz val="10"/>
        <rFont val="Noto Sans CJK SC"/>
        <family val="2"/>
      </rPr>
      <t xml:space="preserve">條</t>
    </r>
  </si>
  <si>
    <r>
      <rPr>
        <sz val="10"/>
        <rFont val="Noto Sans CJK SC"/>
        <family val="2"/>
      </rPr>
      <t xml:space="preserve">每日工作含加班不得逾</t>
    </r>
    <r>
      <rPr>
        <sz val="10"/>
        <rFont val="Microsoft JhengHei"/>
        <family val="0"/>
        <charset val="1"/>
      </rPr>
      <t xml:space="preserve">12</t>
    </r>
    <r>
      <rPr>
        <sz val="10"/>
        <rFont val="Noto Sans CJK SC"/>
        <family val="2"/>
      </rPr>
      <t xml:space="preserve">小時；每月延長工時上限（</t>
    </r>
    <r>
      <rPr>
        <sz val="10"/>
        <rFont val="Microsoft JhengHei"/>
        <family val="0"/>
        <charset val="1"/>
      </rPr>
      <t xml:space="preserve">46</t>
    </r>
    <r>
      <rPr>
        <sz val="10"/>
        <rFont val="Noto Sans CJK SC"/>
        <family val="2"/>
      </rPr>
      <t xml:space="preserve">小時，經工會或勞資會議同意可放寬）；加班須勞工同意；例假日出勤限天災、事變、突發事件</t>
    </r>
  </si>
  <si>
    <r>
      <rPr>
        <sz val="10"/>
        <rFont val="Noto Sans CJK SC"/>
        <family val="2"/>
      </rPr>
      <t xml:space="preserve">出勤紀錄檢核欄提示逾</t>
    </r>
    <r>
      <rPr>
        <sz val="10"/>
        <rFont val="Microsoft JhengHei"/>
        <family val="0"/>
        <charset val="1"/>
      </rPr>
      <t xml:space="preserve">12</t>
    </r>
    <r>
      <rPr>
        <sz val="10"/>
        <rFont val="Noto Sans CJK SC"/>
        <family val="2"/>
      </rPr>
      <t xml:space="preserve">小時、未取得加班同意、例假日出勤；月結表提示逾</t>
    </r>
    <r>
      <rPr>
        <sz val="10"/>
        <rFont val="Microsoft JhengHei"/>
        <family val="0"/>
        <charset val="1"/>
      </rPr>
      <t xml:space="preserve">46</t>
    </r>
    <r>
      <rPr>
        <sz val="10"/>
        <rFont val="Noto Sans CJK SC"/>
        <family val="2"/>
      </rPr>
      <t xml:space="preserve">小時</t>
    </r>
  </si>
  <si>
    <t xml:space="preserve">加班費</t>
  </si>
  <si>
    <r>
      <rPr>
        <sz val="10"/>
        <rFont val="Noto Sans CJK SC"/>
        <family val="2"/>
      </rPr>
      <t xml:space="preserve">勞基法第</t>
    </r>
    <r>
      <rPr>
        <sz val="10"/>
        <rFont val="Microsoft JhengHei"/>
        <family val="0"/>
        <charset val="1"/>
      </rPr>
      <t xml:space="preserve">24</t>
    </r>
    <r>
      <rPr>
        <sz val="10"/>
        <rFont val="Noto Sans CJK SC"/>
        <family val="2"/>
      </rPr>
      <t xml:space="preserve">條、第</t>
    </r>
    <r>
      <rPr>
        <sz val="10"/>
        <rFont val="Microsoft JhengHei"/>
        <family val="0"/>
        <charset val="1"/>
      </rPr>
      <t xml:space="preserve">39</t>
    </r>
    <r>
      <rPr>
        <sz val="10"/>
        <rFont val="Noto Sans CJK SC"/>
        <family val="2"/>
      </rPr>
      <t xml:space="preserve">條</t>
    </r>
  </si>
  <si>
    <r>
      <rPr>
        <sz val="10"/>
        <rFont val="Noto Sans CJK SC"/>
        <family val="2"/>
      </rPr>
      <t xml:space="preserve">平日延長前</t>
    </r>
    <r>
      <rPr>
        <sz val="10"/>
        <rFont val="Microsoft JhengHei"/>
        <family val="0"/>
        <charset val="1"/>
      </rPr>
      <t xml:space="preserve">2</t>
    </r>
    <r>
      <rPr>
        <sz val="10"/>
        <rFont val="Noto Sans CJK SC"/>
        <family val="2"/>
      </rPr>
      <t xml:space="preserve">小時加給</t>
    </r>
    <r>
      <rPr>
        <sz val="10"/>
        <rFont val="Microsoft JhengHei"/>
        <family val="0"/>
        <charset val="1"/>
      </rPr>
      <t xml:space="preserve">1/3</t>
    </r>
    <r>
      <rPr>
        <sz val="10"/>
        <rFont val="Noto Sans CJK SC"/>
        <family val="2"/>
      </rPr>
      <t xml:space="preserve">以上，再延長</t>
    </r>
    <r>
      <rPr>
        <sz val="10"/>
        <rFont val="Microsoft JhengHei"/>
        <family val="0"/>
        <charset val="1"/>
      </rPr>
      <t xml:space="preserve">2</t>
    </r>
    <r>
      <rPr>
        <sz val="10"/>
        <rFont val="Noto Sans CJK SC"/>
        <family val="2"/>
      </rPr>
      <t xml:space="preserve">小時加給</t>
    </r>
    <r>
      <rPr>
        <sz val="10"/>
        <rFont val="Microsoft JhengHei"/>
        <family val="0"/>
        <charset val="1"/>
      </rPr>
      <t xml:space="preserve">2/3</t>
    </r>
    <r>
      <rPr>
        <sz val="10"/>
        <rFont val="Noto Sans CJK SC"/>
        <family val="2"/>
      </rPr>
      <t xml:space="preserve">以上；休息日、國定假日、例假日依規定計算；不可使用</t>
    </r>
    <r>
      <rPr>
        <sz val="10"/>
        <rFont val="Microsoft JhengHei"/>
        <family val="0"/>
        <charset val="1"/>
      </rPr>
      <t xml:space="preserve">1.33</t>
    </r>
    <r>
      <rPr>
        <sz val="10"/>
        <rFont val="Noto Sans CJK SC"/>
        <family val="2"/>
      </rPr>
      <t xml:space="preserve">、</t>
    </r>
    <r>
      <rPr>
        <sz val="10"/>
        <rFont val="Microsoft JhengHei"/>
        <family val="0"/>
        <charset val="1"/>
      </rPr>
      <t xml:space="preserve">1.66</t>
    </r>
    <r>
      <rPr>
        <sz val="10"/>
        <rFont val="Noto Sans CJK SC"/>
        <family val="2"/>
      </rPr>
      <t xml:space="preserve">倍</t>
    </r>
  </si>
  <si>
    <r>
      <rPr>
        <sz val="10"/>
        <rFont val="Noto Sans CJK SC"/>
        <family val="2"/>
      </rPr>
      <t xml:space="preserve">「流程</t>
    </r>
    <r>
      <rPr>
        <sz val="10"/>
        <rFont val="Microsoft JhengHei"/>
        <family val="0"/>
        <charset val="1"/>
      </rPr>
      <t xml:space="preserve">1_</t>
    </r>
    <r>
      <rPr>
        <sz val="10"/>
        <rFont val="Noto Sans CJK SC"/>
        <family val="2"/>
      </rPr>
      <t xml:space="preserve">參數」列出各時段倍率（</t>
    </r>
    <r>
      <rPr>
        <sz val="10"/>
        <rFont val="Microsoft JhengHei"/>
        <family val="0"/>
        <charset val="1"/>
      </rPr>
      <t xml:space="preserve">1.34</t>
    </r>
    <r>
      <rPr>
        <sz val="10"/>
        <rFont val="Noto Sans CJK SC"/>
        <family val="2"/>
      </rPr>
      <t xml:space="preserve">／</t>
    </r>
    <r>
      <rPr>
        <sz val="10"/>
        <rFont val="Microsoft JhengHei"/>
        <family val="0"/>
        <charset val="1"/>
      </rPr>
      <t xml:space="preserve">1.67</t>
    </r>
    <r>
      <rPr>
        <sz val="10"/>
        <rFont val="Noto Sans CJK SC"/>
        <family val="2"/>
      </rPr>
      <t xml:space="preserve">／</t>
    </r>
    <r>
      <rPr>
        <sz val="10"/>
        <rFont val="Microsoft JhengHei"/>
        <family val="0"/>
        <charset val="1"/>
      </rPr>
      <t xml:space="preserve">2.67</t>
    </r>
    <r>
      <rPr>
        <sz val="10"/>
        <rFont val="Noto Sans CJK SC"/>
        <family val="2"/>
      </rPr>
      <t xml:space="preserve">／加發一日工資）</t>
    </r>
  </si>
  <si>
    <t xml:space="preserve">加班補休</t>
  </si>
  <si>
    <r>
      <rPr>
        <sz val="10"/>
        <rFont val="Noto Sans CJK SC"/>
        <family val="2"/>
      </rPr>
      <t xml:space="preserve">勞基法第</t>
    </r>
    <r>
      <rPr>
        <sz val="10"/>
        <rFont val="Microsoft JhengHei"/>
        <family val="0"/>
        <charset val="1"/>
      </rPr>
      <t xml:space="preserve">32</t>
    </r>
    <r>
      <rPr>
        <sz val="10"/>
        <rFont val="Noto Sans CJK SC"/>
        <family val="2"/>
      </rPr>
      <t xml:space="preserve">條之</t>
    </r>
    <r>
      <rPr>
        <sz val="10"/>
        <rFont val="Microsoft JhengHei"/>
        <family val="0"/>
        <charset val="1"/>
      </rPr>
      <t xml:space="preserve">1</t>
    </r>
  </si>
  <si>
    <t xml:space="preserve">勞工選擇補休須經雇主同意並依工作時數計算；期限屆滿或契約終止未補休須折發工資</t>
  </si>
  <si>
    <t xml:space="preserve">本設計以給付加班費為主，未建補休欄位</t>
  </si>
  <si>
    <t xml:space="preserve">需公司決策</t>
  </si>
  <si>
    <t xml:space="preserve">請假</t>
  </si>
  <si>
    <r>
      <rPr>
        <sz val="10"/>
        <rFont val="Noto Sans CJK SC"/>
        <family val="2"/>
      </rPr>
      <t xml:space="preserve">勞基法第</t>
    </r>
    <r>
      <rPr>
        <sz val="10"/>
        <rFont val="Microsoft JhengHei"/>
        <family val="0"/>
        <charset val="1"/>
      </rPr>
      <t xml:space="preserve">43</t>
    </r>
    <r>
      <rPr>
        <sz val="10"/>
        <rFont val="Noto Sans CJK SC"/>
        <family val="2"/>
      </rPr>
      <t xml:space="preserve">條；勞工請假規則第</t>
    </r>
    <r>
      <rPr>
        <sz val="10"/>
        <rFont val="Microsoft JhengHei"/>
        <family val="0"/>
        <charset val="1"/>
      </rPr>
      <t xml:space="preserve">10</t>
    </r>
    <r>
      <rPr>
        <sz val="10"/>
        <rFont val="Noto Sans CJK SC"/>
        <family val="2"/>
      </rPr>
      <t xml:space="preserve">條</t>
    </r>
  </si>
  <si>
    <t xml:space="preserve">勞工有正當事由即得請假；雇主得要求證明文件，無准駁權；急病或緊急事故得委託他人代辦</t>
  </si>
  <si>
    <t xml:space="preserve">請假申請以「主管確認」取代核准／退回；需補證明僅用於補件；新增急病代辦欄；職務代理人僅為建議，不作為給假條件</t>
  </si>
  <si>
    <t xml:space="preserve">假別與給薪</t>
  </si>
  <si>
    <t xml:space="preserve">勞工請假規則；性別平等工作法</t>
  </si>
  <si>
    <r>
      <rPr>
        <sz val="10"/>
        <rFont val="Noto Sans CJK SC"/>
        <family val="2"/>
      </rPr>
      <t xml:space="preserve">各假別日數與給薪比例；自</t>
    </r>
    <r>
      <rPr>
        <sz val="10"/>
        <rFont val="Microsoft JhengHei"/>
        <family val="0"/>
        <charset val="1"/>
      </rPr>
      <t xml:space="preserve">115/1/1</t>
    </r>
    <r>
      <rPr>
        <sz val="10"/>
        <rFont val="Noto Sans CJK SC"/>
        <family val="2"/>
      </rPr>
      <t xml:space="preserve">起普通傷病假</t>
    </r>
    <r>
      <rPr>
        <sz val="10"/>
        <rFont val="Microsoft JhengHei"/>
        <family val="0"/>
        <charset val="1"/>
      </rPr>
      <t xml:space="preserve">10</t>
    </r>
    <r>
      <rPr>
        <sz val="10"/>
        <rFont val="Noto Sans CJK SC"/>
        <family val="2"/>
      </rPr>
      <t xml:space="preserve">日內不得不利處分，且不得因此扣發全勤獎金</t>
    </r>
  </si>
  <si>
    <r>
      <rPr>
        <sz val="10"/>
        <rFont val="Noto Sans CJK SC"/>
        <family val="2"/>
      </rPr>
      <t xml:space="preserve">「流程</t>
    </r>
    <r>
      <rPr>
        <sz val="10"/>
        <rFont val="Microsoft JhengHei"/>
        <family val="0"/>
        <charset val="1"/>
      </rPr>
      <t xml:space="preserve">1_</t>
    </r>
    <r>
      <rPr>
        <sz val="10"/>
        <rFont val="Noto Sans CJK SC"/>
        <family val="2"/>
      </rPr>
      <t xml:space="preserve">參數」列</t>
    </r>
    <r>
      <rPr>
        <sz val="10"/>
        <rFont val="Microsoft JhengHei"/>
        <family val="0"/>
        <charset val="1"/>
      </rPr>
      <t xml:space="preserve">14</t>
    </r>
    <r>
      <rPr>
        <sz val="10"/>
        <rFont val="Noto Sans CJK SC"/>
        <family val="2"/>
      </rPr>
      <t xml:space="preserve">種假別；公司若有全勤獎金，規則須與此一致</t>
    </r>
  </si>
  <si>
    <t xml:space="preserve">需人資確認</t>
  </si>
  <si>
    <t xml:space="preserve">特別休假</t>
  </si>
  <si>
    <r>
      <rPr>
        <sz val="10"/>
        <rFont val="Noto Sans CJK SC"/>
        <family val="2"/>
      </rPr>
      <t xml:space="preserve">勞基法第</t>
    </r>
    <r>
      <rPr>
        <sz val="10"/>
        <rFont val="Microsoft JhengHei"/>
        <family val="0"/>
        <charset val="1"/>
      </rPr>
      <t xml:space="preserve">38</t>
    </r>
    <r>
      <rPr>
        <sz val="10"/>
        <rFont val="Noto Sans CJK SC"/>
        <family val="2"/>
      </rPr>
      <t xml:space="preserve">條；施行細則第</t>
    </r>
    <r>
      <rPr>
        <sz val="10"/>
        <rFont val="Microsoft JhengHei"/>
        <family val="0"/>
        <charset val="1"/>
      </rPr>
      <t xml:space="preserve">24</t>
    </r>
    <r>
      <rPr>
        <sz val="10"/>
        <rFont val="Noto Sans CJK SC"/>
        <family val="2"/>
      </rPr>
      <t xml:space="preserve">條、第</t>
    </r>
    <r>
      <rPr>
        <sz val="10"/>
        <rFont val="Microsoft JhengHei"/>
        <family val="0"/>
        <charset val="1"/>
      </rPr>
      <t xml:space="preserve">24</t>
    </r>
    <r>
      <rPr>
        <sz val="10"/>
        <rFont val="Noto Sans CJK SC"/>
        <family val="2"/>
      </rPr>
      <t xml:space="preserve">條之</t>
    </r>
    <r>
      <rPr>
        <sz val="10"/>
        <rFont val="Microsoft JhengHei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</si>
  <si>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特休由勞工排定；公司採曆年制按比例換算；年度終結或離職未休日數須折發工資（年度終結後</t>
    </r>
    <r>
      <rPr>
        <sz val="10"/>
        <rFont val="Microsoft JhengHei"/>
        <family val="0"/>
        <charset val="1"/>
      </rPr>
      <t xml:space="preserve">30</t>
    </r>
    <r>
      <rPr>
        <sz val="10"/>
        <rFont val="Noto Sans CJK SC"/>
        <family val="2"/>
      </rPr>
      <t xml:space="preserve">日內、離職時結清），經勞工提出並經同意可遞延一次；一日工資以年度終結或離職前最近一個月工資</t>
    </r>
    <r>
      <rPr>
        <sz val="10"/>
        <rFont val="Microsoft JhengHei"/>
        <family val="0"/>
        <charset val="1"/>
      </rPr>
      <t xml:space="preserve">÷30</t>
    </r>
    <r>
      <rPr>
        <sz val="10"/>
        <rFont val="Noto Sans CJK SC"/>
        <family val="2"/>
      </rPr>
      <t xml:space="preserve">；每年書面（含電子）通知可休日數與未休工資並記載於工資清冊</t>
    </r>
  </si>
  <si>
    <r>
      <rPr>
        <sz val="10"/>
        <rFont val="Noto Sans CJK SC"/>
        <family val="2"/>
      </rPr>
      <t xml:space="preserve">「流程</t>
    </r>
    <r>
      <rPr>
        <sz val="10"/>
        <rFont val="Microsoft JhengHei"/>
        <family val="0"/>
        <charset val="1"/>
      </rPr>
      <t xml:space="preserve">1_</t>
    </r>
    <r>
      <rPr>
        <sz val="10"/>
        <rFont val="Noto Sans CJK SC"/>
        <family val="2"/>
      </rPr>
      <t xml:space="preserve">特休與請假查詢」依曆年制按比例計算、處理遞延與年度／離職結算，自動帶入月結表「未休假薪資」；員工查詢系統顯示並可下載年度統計（含特休結算）</t>
    </r>
  </si>
  <si>
    <t xml:space="preserve">年度所得申報</t>
  </si>
  <si>
    <r>
      <rPr>
        <sz val="10"/>
        <rFont val="Noto Sans CJK SC"/>
        <family val="2"/>
      </rPr>
      <t xml:space="preserve">所得稅法第</t>
    </r>
    <r>
      <rPr>
        <sz val="10"/>
        <rFont val="Microsoft JhengHei"/>
        <family val="0"/>
        <charset val="1"/>
      </rPr>
      <t xml:space="preserve">88</t>
    </r>
    <r>
      <rPr>
        <sz val="10"/>
        <rFont val="Noto Sans CJK SC"/>
        <family val="2"/>
      </rPr>
      <t xml:space="preserve">條、第</t>
    </r>
    <r>
      <rPr>
        <sz val="10"/>
        <rFont val="Microsoft JhengHei"/>
        <family val="0"/>
        <charset val="1"/>
      </rPr>
      <t xml:space="preserve">92</t>
    </r>
    <r>
      <rPr>
        <sz val="10"/>
        <rFont val="Noto Sans CJK SC"/>
        <family val="2"/>
      </rPr>
      <t xml:space="preserve">條；全民健保法補充保險費規定</t>
    </r>
  </si>
  <si>
    <r>
      <rPr>
        <sz val="10"/>
        <rFont val="Noto Sans CJK SC"/>
        <family val="2"/>
      </rPr>
      <t xml:space="preserve">扣繳稅款次月</t>
    </r>
    <r>
      <rPr>
        <sz val="10"/>
        <rFont val="Microsoft JhengHei"/>
        <family val="0"/>
        <charset val="1"/>
      </rPr>
      <t xml:space="preserve">10</t>
    </r>
    <r>
      <rPr>
        <sz val="10"/>
        <rFont val="Noto Sans CJK SC"/>
        <family val="2"/>
      </rPr>
      <t xml:space="preserve">日前繳納；次年</t>
    </r>
    <r>
      <rPr>
        <sz val="10"/>
        <rFont val="Microsoft JhengHei"/>
        <family val="0"/>
        <charset val="1"/>
      </rPr>
      <t xml:space="preserve">1</t>
    </r>
    <r>
      <rPr>
        <sz val="10"/>
        <rFont val="Noto Sans CJK SC"/>
        <family val="2"/>
      </rPr>
      <t xml:space="preserve">月</t>
    </r>
    <r>
      <rPr>
        <sz val="10"/>
        <rFont val="Microsoft JhengHei"/>
        <family val="0"/>
        <charset val="1"/>
      </rPr>
      <t xml:space="preserve">31</t>
    </r>
    <r>
      <rPr>
        <sz val="10"/>
        <rFont val="Noto Sans CJK SC"/>
        <family val="2"/>
      </rPr>
      <t xml:space="preserve">日前申報各類所得扣繳憑單（遇連假順延）、</t>
    </r>
    <r>
      <rPr>
        <sz val="10"/>
        <rFont val="Microsoft JhengHei"/>
        <family val="0"/>
        <charset val="1"/>
      </rPr>
      <t xml:space="preserve">2</t>
    </r>
    <r>
      <rPr>
        <sz val="10"/>
        <rFont val="Noto Sans CJK SC"/>
        <family val="2"/>
      </rPr>
      <t xml:space="preserve">月</t>
    </r>
    <r>
      <rPr>
        <sz val="10"/>
        <rFont val="Microsoft JhengHei"/>
        <family val="0"/>
        <charset val="1"/>
      </rPr>
      <t xml:space="preserve">10</t>
    </r>
    <r>
      <rPr>
        <sz val="10"/>
        <rFont val="Noto Sans CJK SC"/>
        <family val="2"/>
      </rPr>
      <t xml:space="preserve">日前填發；補充保費依健保署規定扣取、繳納與申報</t>
    </r>
  </si>
  <si>
    <r>
      <rPr>
        <sz val="10"/>
        <rFont val="Noto Sans CJK SC"/>
        <family val="2"/>
      </rPr>
      <t xml:space="preserve">「</t>
    </r>
    <r>
      <rPr>
        <sz val="10"/>
        <rFont val="Microsoft JhengHei"/>
        <family val="0"/>
        <charset val="1"/>
      </rPr>
      <t xml:space="preserve">6_</t>
    </r>
    <r>
      <rPr>
        <sz val="10"/>
        <rFont val="Noto Sans CJK SC"/>
        <family val="2"/>
      </rPr>
      <t xml:space="preserve">申報檔產生」的 </t>
    </r>
    <r>
      <rPr>
        <sz val="10"/>
        <rFont val="Microsoft JhengHei"/>
        <family val="0"/>
        <charset val="1"/>
      </rPr>
      <t xml:space="preserve">tax_export.py </t>
    </r>
    <r>
      <rPr>
        <sz val="10"/>
        <rFont val="Noto Sans CJK SC"/>
        <family val="2"/>
      </rPr>
      <t xml:space="preserve">依官方格式產生各類所得申報檔（</t>
    </r>
    <r>
      <rPr>
        <sz val="10"/>
        <rFont val="Microsoft JhengHei"/>
        <family val="0"/>
        <charset val="1"/>
      </rPr>
      <t xml:space="preserve">UTF-8</t>
    </r>
    <r>
      <rPr>
        <sz val="10"/>
        <rFont val="Noto Sans CJK SC"/>
        <family val="2"/>
      </rPr>
      <t xml:space="preserve">，</t>
    </r>
    <r>
      <rPr>
        <sz val="10"/>
        <rFont val="Microsoft JhengHei"/>
        <family val="0"/>
        <charset val="1"/>
      </rPr>
      <t xml:space="preserve">U8</t>
    </r>
    <r>
      <rPr>
        <sz val="10"/>
        <rFont val="Noto Sans CJK SC"/>
        <family val="2"/>
      </rPr>
      <t xml:space="preserve">）與補充保費明細申報檔（</t>
    </r>
    <r>
      <rPr>
        <sz val="10"/>
        <rFont val="Microsoft JhengHei"/>
        <family val="0"/>
        <charset val="1"/>
      </rPr>
      <t xml:space="preserve">CSV</t>
    </r>
    <r>
      <rPr>
        <sz val="10"/>
        <rFont val="Noto Sans CJK SC"/>
        <family val="2"/>
      </rPr>
      <t xml:space="preserve">），可直接匯入申報系統；</t>
    </r>
    <r>
      <rPr>
        <sz val="10"/>
        <rFont val="Microsoft JhengHei"/>
        <family val="0"/>
        <charset val="1"/>
      </rPr>
      <t xml:space="preserve">annual.py </t>
    </r>
    <r>
      <rPr>
        <sz val="10"/>
        <rFont val="Noto Sans CJK SC"/>
        <family val="2"/>
      </rPr>
      <t xml:space="preserve">供核對；員工可下載年度統計供報稅參考</t>
    </r>
  </si>
  <si>
    <t xml:space="preserve">需專業確認</t>
  </si>
  <si>
    <t xml:space="preserve">遲到扣款</t>
  </si>
  <si>
    <r>
      <rPr>
        <sz val="10"/>
        <rFont val="Noto Sans CJK SC"/>
        <family val="2"/>
      </rPr>
      <t xml:space="preserve">勞基法第</t>
    </r>
    <r>
      <rPr>
        <sz val="10"/>
        <rFont val="Microsoft JhengHei"/>
        <family val="0"/>
        <charset val="1"/>
      </rPr>
      <t xml:space="preserve">22</t>
    </r>
    <r>
      <rPr>
        <sz val="10"/>
        <rFont val="Noto Sans CJK SC"/>
        <family val="2"/>
      </rPr>
      <t xml:space="preserve">條</t>
    </r>
  </si>
  <si>
    <t xml:space="preserve">扣款不得超過實際工資</t>
  </si>
  <si>
    <t xml:space="preserve">以分鐘折算時薪扣款，基礎未高於實際工資</t>
  </si>
  <si>
    <t xml:space="preserve">勞健保與勞退</t>
  </si>
  <si>
    <t xml:space="preserve">勞工保險條例；全民健保法；勞工退休金條例</t>
  </si>
  <si>
    <r>
      <rPr>
        <sz val="10"/>
        <rFont val="Noto Sans CJK SC"/>
        <family val="2"/>
      </rPr>
      <t xml:space="preserve">依實際薪資所屬級距投保、提繳，不得低報；雇主提繳率不得低於</t>
    </r>
    <r>
      <rPr>
        <sz val="10"/>
        <rFont val="Microsoft JhengHei"/>
        <family val="0"/>
        <charset val="1"/>
      </rPr>
      <t xml:space="preserve">6%</t>
    </r>
  </si>
  <si>
    <t xml:space="preserve">月結表以手動輸入各級距薪資，費率與提繳率在參數表；級距每年需更新</t>
  </si>
  <si>
    <t xml:space="preserve">所得稅與補充保費</t>
  </si>
  <si>
    <r>
      <rPr>
        <sz val="10"/>
        <rFont val="Noto Sans CJK SC"/>
        <family val="2"/>
      </rPr>
      <t xml:space="preserve">薪資扣繳稅款次月</t>
    </r>
    <r>
      <rPr>
        <sz val="10"/>
        <rFont val="Microsoft JhengHei"/>
        <family val="0"/>
        <charset val="1"/>
      </rPr>
      <t xml:space="preserve">10</t>
    </r>
    <r>
      <rPr>
        <sz val="10"/>
        <rFont val="Noto Sans CJK SC"/>
        <family val="2"/>
      </rPr>
      <t xml:space="preserve">日前繳納；次年</t>
    </r>
    <r>
      <rPr>
        <sz val="10"/>
        <rFont val="Microsoft JhengHei"/>
        <family val="0"/>
        <charset val="1"/>
      </rPr>
      <t xml:space="preserve">1</t>
    </r>
    <r>
      <rPr>
        <sz val="10"/>
        <rFont val="Noto Sans CJK SC"/>
        <family val="2"/>
      </rPr>
      <t xml:space="preserve">月底前申報扣繳憑單；兼職薪資、獎金等符合條件須代扣補充保險費</t>
    </r>
  </si>
  <si>
    <t xml:space="preserve">月結表預留薪資扣繳、獎金扣繳、補充保險費欄；金額與申報期限需會計確認</t>
  </si>
  <si>
    <t xml:space="preserve">會計憑證保存</t>
  </si>
  <si>
    <r>
      <rPr>
        <sz val="10"/>
        <rFont val="Noto Sans CJK SC"/>
        <family val="2"/>
      </rPr>
      <t xml:space="preserve">商業會計法第</t>
    </r>
    <r>
      <rPr>
        <sz val="10"/>
        <rFont val="Microsoft JhengHei"/>
        <family val="0"/>
        <charset val="1"/>
      </rPr>
      <t xml:space="preserve">38</t>
    </r>
    <r>
      <rPr>
        <sz val="10"/>
        <rFont val="Noto Sans CJK SC"/>
        <family val="2"/>
      </rPr>
      <t xml:space="preserve">條；稅捐稽徵機關管理營利事業會計帳簿憑證辦法</t>
    </r>
  </si>
  <si>
    <r>
      <rPr>
        <sz val="10"/>
        <rFont val="Noto Sans CJK SC"/>
        <family val="2"/>
      </rPr>
      <t xml:space="preserve">會計憑證至少保存</t>
    </r>
    <r>
      <rPr>
        <sz val="10"/>
        <rFont val="Microsoft JhengHei"/>
        <family val="0"/>
        <charset val="1"/>
      </rPr>
      <t xml:space="preserve">5</t>
    </r>
    <r>
      <rPr>
        <sz val="10"/>
        <rFont val="Noto Sans CJK SC"/>
        <family val="2"/>
      </rPr>
      <t xml:space="preserve">年、帳簿至少保存</t>
    </r>
    <r>
      <rPr>
        <sz val="10"/>
        <rFont val="Microsoft JhengHei"/>
        <family val="0"/>
        <charset val="1"/>
      </rPr>
      <t xml:space="preserve">10</t>
    </r>
    <r>
      <rPr>
        <sz val="10"/>
        <rFont val="Noto Sans CJK SC"/>
        <family val="2"/>
      </rPr>
      <t xml:space="preserve">年；非公開發行公司以電子方式儲存並銷毀原始憑證，須報經稽徵機關核准</t>
    </r>
  </si>
  <si>
    <r>
      <rPr>
        <sz val="10"/>
        <rFont val="Noto Sans CJK SC"/>
        <family val="2"/>
      </rPr>
      <t xml:space="preserve">合併</t>
    </r>
    <r>
      <rPr>
        <sz val="10"/>
        <rFont val="Microsoft JhengHei"/>
        <family val="0"/>
        <charset val="1"/>
      </rPr>
      <t xml:space="preserve">PDF</t>
    </r>
    <r>
      <rPr>
        <sz val="10"/>
        <rFont val="Noto Sans CJK SC"/>
        <family val="2"/>
      </rPr>
      <t xml:space="preserve">作為電子歸檔與列印用；原始紙本憑證仍須保存，除非已取得核准</t>
    </r>
  </si>
  <si>
    <t xml:space="preserve">進項稅額</t>
  </si>
  <si>
    <r>
      <rPr>
        <sz val="10"/>
        <rFont val="Noto Sans CJK SC"/>
        <family val="2"/>
      </rPr>
      <t xml:space="preserve">營業稅法第</t>
    </r>
    <r>
      <rPr>
        <sz val="10"/>
        <rFont val="Microsoft JhengHei"/>
        <family val="0"/>
        <charset val="1"/>
      </rPr>
      <t xml:space="preserve">19</t>
    </r>
    <r>
      <rPr>
        <sz val="10"/>
        <rFont val="Noto Sans CJK SC"/>
        <family val="2"/>
      </rPr>
      <t xml:space="preserve">條及相關規定</t>
    </r>
  </si>
  <si>
    <t xml:space="preserve">進項憑證須載明本公司統一編號；交際應酬等用途進項稅額不得扣抵</t>
  </si>
  <si>
    <r>
      <rPr>
        <sz val="10"/>
        <rFont val="Noto Sans CJK SC"/>
        <family val="2"/>
      </rPr>
      <t xml:space="preserve">報銷申請新增「買受人統編」、「進項稅額檢核」、發票字軌號碼、扣抵類別等欄；</t>
    </r>
    <r>
      <rPr>
        <sz val="10"/>
        <rFont val="Microsoft JhengHei"/>
        <family val="0"/>
        <charset val="1"/>
      </rPr>
      <t xml:space="preserve">vat_export.py </t>
    </r>
    <r>
      <rPr>
        <sz val="10"/>
        <rFont val="Noto Sans CJK SC"/>
        <family val="2"/>
      </rPr>
      <t xml:space="preserve">依營業稅進銷項資料檔格式（</t>
    </r>
    <r>
      <rPr>
        <sz val="10"/>
        <rFont val="Microsoft JhengHei"/>
        <family val="0"/>
        <charset val="1"/>
      </rPr>
      <t xml:space="preserve">81</t>
    </r>
    <r>
      <rPr>
        <sz val="10"/>
        <rFont val="Noto Sans CJK SC"/>
        <family val="2"/>
      </rPr>
      <t xml:space="preserve">字元）產生進銷項檔與明細表</t>
    </r>
  </si>
  <si>
    <t xml:space="preserve">個人資料</t>
  </si>
  <si>
    <t xml:space="preserve">個人資料保護法</t>
  </si>
  <si>
    <t xml:space="preserve">蒐集、處理須有特定目的並依規定告知；應採取安全維護措施；目的消失或保存期限屆滿應刪除（法令另有規定者除外）</t>
  </si>
  <si>
    <r>
      <rPr>
        <sz val="10"/>
        <rFont val="Noto Sans CJK SC"/>
        <family val="2"/>
      </rPr>
      <t xml:space="preserve">月結表含身分證字號、銀行帳號與薪資：薪資檔以通關密語加密存放，由專人在自己控管的電腦上操作，</t>
    </r>
    <r>
      <rPr>
        <sz val="10"/>
        <rFont val="Microsoft JhengHei"/>
        <family val="0"/>
        <charset val="1"/>
      </rPr>
      <t xml:space="preserve">MIS </t>
    </r>
    <r>
      <rPr>
        <sz val="10"/>
        <rFont val="Noto Sans CJK SC"/>
        <family val="2"/>
      </rPr>
      <t xml:space="preserve">不經手；員工告知與保存期限由公司制定</t>
    </r>
  </si>
  <si>
    <t xml:space="preserve">電子簽核與用印</t>
  </si>
  <si>
    <r>
      <rPr>
        <sz val="10"/>
        <rFont val="Noto Sans CJK SC"/>
        <family val="2"/>
      </rPr>
      <t xml:space="preserve">電子簽章法第</t>
    </r>
    <r>
      <rPr>
        <sz val="10"/>
        <rFont val="Microsoft JhengHei"/>
        <family val="0"/>
        <charset val="1"/>
      </rPr>
      <t xml:space="preserve">4</t>
    </r>
    <r>
      <rPr>
        <sz val="10"/>
        <rFont val="Noto Sans CJK SC"/>
        <family val="2"/>
      </rPr>
      <t xml:space="preserve">條、第</t>
    </r>
    <r>
      <rPr>
        <sz val="10"/>
        <rFont val="Microsoft JhengHei"/>
        <family val="0"/>
        <charset val="1"/>
      </rPr>
      <t xml:space="preserve">9</t>
    </r>
    <r>
      <rPr>
        <sz val="10"/>
        <rFont val="Noto Sans CJK SC"/>
        <family val="2"/>
      </rPr>
      <t xml:space="preserve">條</t>
    </r>
  </si>
  <si>
    <t xml:space="preserve">電子文件與電子簽章具法律效力；依法令應簽名或蓋章者，經相對人同意得以電子簽章為之</t>
  </si>
  <si>
    <t xml:space="preserve">簽核歷程保留時間與人員；對外契約採電子簽署須取得對方同意；實體用印保留用印紀錄</t>
  </si>
  <si>
    <t xml:space="preserve">保存年限彙總</t>
  </si>
  <si>
    <r>
      <rPr>
        <sz val="10"/>
        <rFont val="Noto Sans CJK SC"/>
        <family val="2"/>
      </rPr>
      <t xml:space="preserve">勞基法第</t>
    </r>
    <r>
      <rPr>
        <sz val="10"/>
        <rFont val="Microsoft JhengHei"/>
        <family val="0"/>
        <charset val="1"/>
      </rPr>
      <t xml:space="preserve">23</t>
    </r>
    <r>
      <rPr>
        <sz val="10"/>
        <rFont val="Noto Sans CJK SC"/>
        <family val="2"/>
      </rPr>
      <t xml:space="preserve">條、第</t>
    </r>
    <r>
      <rPr>
        <sz val="10"/>
        <rFont val="Microsoft JhengHei"/>
        <family val="0"/>
        <charset val="1"/>
      </rPr>
      <t xml:space="preserve">30</t>
    </r>
    <r>
      <rPr>
        <sz val="10"/>
        <rFont val="Noto Sans CJK SC"/>
        <family val="2"/>
      </rPr>
      <t xml:space="preserve">條；商業會計法第</t>
    </r>
    <r>
      <rPr>
        <sz val="10"/>
        <rFont val="Microsoft JhengHei"/>
        <family val="0"/>
        <charset val="1"/>
      </rPr>
      <t xml:space="preserve">38</t>
    </r>
    <r>
      <rPr>
        <sz val="10"/>
        <rFont val="Noto Sans CJK SC"/>
        <family val="2"/>
      </rPr>
      <t xml:space="preserve">條</t>
    </r>
  </si>
  <si>
    <r>
      <rPr>
        <sz val="10"/>
        <rFont val="Noto Sans CJK SC"/>
        <family val="2"/>
      </rPr>
      <t xml:space="preserve">工資清冊</t>
    </r>
    <r>
      <rPr>
        <sz val="10"/>
        <rFont val="Microsoft JhengHei"/>
        <family val="0"/>
        <charset val="1"/>
      </rPr>
      <t xml:space="preserve">5</t>
    </r>
    <r>
      <rPr>
        <sz val="10"/>
        <rFont val="Noto Sans CJK SC"/>
        <family val="2"/>
      </rPr>
      <t xml:space="preserve">年、出勤紀錄</t>
    </r>
    <r>
      <rPr>
        <sz val="10"/>
        <rFont val="Microsoft JhengHei"/>
        <family val="0"/>
        <charset val="1"/>
      </rPr>
      <t xml:space="preserve">5</t>
    </r>
    <r>
      <rPr>
        <sz val="10"/>
        <rFont val="Noto Sans CJK SC"/>
        <family val="2"/>
      </rPr>
      <t xml:space="preserve">年、會計憑證</t>
    </r>
    <r>
      <rPr>
        <sz val="10"/>
        <rFont val="Microsoft JhengHei"/>
        <family val="0"/>
        <charset val="1"/>
      </rPr>
      <t xml:space="preserve">5</t>
    </r>
    <r>
      <rPr>
        <sz val="10"/>
        <rFont val="Noto Sans CJK SC"/>
        <family val="2"/>
      </rPr>
      <t xml:space="preserve">年、帳簿</t>
    </r>
    <r>
      <rPr>
        <sz val="10"/>
        <rFont val="Microsoft JhengHei"/>
        <family val="0"/>
        <charset val="1"/>
      </rPr>
      <t xml:space="preserve">10</t>
    </r>
    <r>
      <rPr>
        <sz val="10"/>
        <rFont val="Noto Sans CJK SC"/>
        <family val="2"/>
      </rPr>
      <t xml:space="preserve">年</t>
    </r>
  </si>
  <si>
    <t xml:space="preserve">各項歸檔資料依此年限保存，屆期處理前先確認個資刪除義務與其他保存需求</t>
  </si>
  <si>
    <t xml:space="preserve">員工出勤與薪資月結表</t>
  </si>
  <si>
    <r>
      <rPr>
        <sz val="9"/>
        <color rgb="FF7F7F7F"/>
        <rFont val="Noto Sans CJK SC"/>
        <family val="2"/>
      </rPr>
      <t xml:space="preserve">淡黃＝輸入；其餘為公式。無數字的欄位已隱藏（欄位上方的＋或數字「</t>
    </r>
    <r>
      <rPr>
        <sz val="9"/>
        <color rgb="FF7F7F7F"/>
        <rFont val="Microsoft JhengHei"/>
        <family val="0"/>
        <charset val="1"/>
      </rPr>
      <t xml:space="preserve">1</t>
    </r>
    <r>
      <rPr>
        <sz val="9"/>
        <color rgb="FF7F7F7F"/>
        <rFont val="Noto Sans CJK SC"/>
        <family val="2"/>
      </rPr>
      <t xml:space="preserve">」「</t>
    </r>
    <r>
      <rPr>
        <sz val="9"/>
        <color rgb="FF7F7F7F"/>
        <rFont val="Microsoft JhengHei"/>
        <family val="0"/>
        <charset val="1"/>
      </rPr>
      <t xml:space="preserve">2</t>
    </r>
    <r>
      <rPr>
        <sz val="9"/>
        <color rgb="FF7F7F7F"/>
        <rFont val="Noto Sans CJK SC"/>
        <family val="2"/>
      </rPr>
      <t xml:space="preserve">」可展開／收合）。個資欄位請限制存取權限</t>
    </r>
  </si>
  <si>
    <t xml:space="preserve">員工編號</t>
  </si>
  <si>
    <t xml:space="preserve">姓名</t>
  </si>
  <si>
    <t xml:space="preserve">身分證字號</t>
  </si>
  <si>
    <t xml:space="preserve">撫養親屬</t>
  </si>
  <si>
    <t xml:space="preserve">到職日</t>
  </si>
  <si>
    <t xml:space="preserve">本薪</t>
  </si>
  <si>
    <t xml:space="preserve">伙食費</t>
  </si>
  <si>
    <r>
      <rPr>
        <b val="true"/>
        <sz val="11"/>
        <color rgb="FFFFFFFF"/>
        <rFont val="Noto Sans CJK SC"/>
        <family val="2"/>
      </rPr>
      <t xml:space="preserve">計薪日</t>
    </r>
    <r>
      <rPr>
        <b val="true"/>
        <sz val="11"/>
        <color rgb="FFFFFFFF"/>
        <rFont val="Microsoft JhengHe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時</t>
    </r>
  </si>
  <si>
    <t xml:space="preserve">病假</t>
  </si>
  <si>
    <r>
      <rPr>
        <b val="true"/>
        <sz val="11"/>
        <color rgb="FFFFFFFF"/>
        <rFont val="Noto Sans CJK SC"/>
        <family val="2"/>
      </rPr>
      <t xml:space="preserve">遲到</t>
    </r>
    <r>
      <rPr>
        <b val="true"/>
        <sz val="11"/>
        <color rgb="FFFFFFFF"/>
        <rFont val="Microsoft JhengHei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分</t>
    </r>
    <r>
      <rPr>
        <b val="true"/>
        <sz val="11"/>
        <color rgb="FFFFFFFF"/>
        <rFont val="Microsoft JhengHei"/>
        <family val="0"/>
        <charset val="1"/>
      </rPr>
      <t xml:space="preserve">)</t>
    </r>
  </si>
  <si>
    <t xml:space="preserve">事假</t>
  </si>
  <si>
    <t xml:space="preserve">生理假</t>
  </si>
  <si>
    <t xml:space="preserve">家庭照顧假</t>
  </si>
  <si>
    <t xml:space="preserve">安胎休養假</t>
  </si>
  <si>
    <t xml:space="preserve">婚假</t>
  </si>
  <si>
    <t xml:space="preserve">喪假</t>
  </si>
  <si>
    <t xml:space="preserve">產假</t>
  </si>
  <si>
    <t xml:space="preserve">產檢假</t>
  </si>
  <si>
    <t xml:space="preserve">陪產檢及陪產假</t>
  </si>
  <si>
    <t xml:space="preserve">公傷病假</t>
  </si>
  <si>
    <t xml:space="preserve">公假</t>
  </si>
  <si>
    <t xml:space="preserve">育嬰留職停薪</t>
  </si>
  <si>
    <t xml:space="preserve">請假日數</t>
  </si>
  <si>
    <r>
      <rPr>
        <b val="true"/>
        <sz val="11"/>
        <color rgb="FFFFFFFF"/>
        <rFont val="Noto Sans CJK SC"/>
        <family val="2"/>
      </rPr>
      <t xml:space="preserve">平日加班 第</t>
    </r>
    <r>
      <rPr>
        <b val="true"/>
        <sz val="11"/>
        <color rgb="FFFFFFFF"/>
        <rFont val="Microsoft JhengHei"/>
        <family val="0"/>
        <charset val="1"/>
      </rPr>
      <t xml:space="preserve">1-2</t>
    </r>
    <r>
      <rPr>
        <b val="true"/>
        <sz val="11"/>
        <color rgb="FFFFFFFF"/>
        <rFont val="Noto Sans CJK SC"/>
        <family val="2"/>
      </rPr>
      <t xml:space="preserve">小時</t>
    </r>
  </si>
  <si>
    <r>
      <rPr>
        <b val="true"/>
        <sz val="11"/>
        <color rgb="FFFFFFFF"/>
        <rFont val="Noto Sans CJK SC"/>
        <family val="2"/>
      </rPr>
      <t xml:space="preserve">平日加班 第</t>
    </r>
    <r>
      <rPr>
        <b val="true"/>
        <sz val="11"/>
        <color rgb="FFFFFFFF"/>
        <rFont val="Microsoft JhengHei"/>
        <family val="0"/>
        <charset val="1"/>
      </rPr>
      <t xml:space="preserve">3-4</t>
    </r>
    <r>
      <rPr>
        <b val="true"/>
        <sz val="11"/>
        <color rgb="FFFFFFFF"/>
        <rFont val="Noto Sans CJK SC"/>
        <family val="2"/>
      </rPr>
      <t xml:space="preserve">小時</t>
    </r>
  </si>
  <si>
    <r>
      <rPr>
        <b val="true"/>
        <sz val="11"/>
        <color rgb="FFFFFFFF"/>
        <rFont val="Noto Sans CJK SC"/>
        <family val="2"/>
      </rPr>
      <t xml:space="preserve">休息日 前</t>
    </r>
    <r>
      <rPr>
        <b val="true"/>
        <sz val="11"/>
        <color rgb="FFFFFFFF"/>
        <rFont val="Microsoft JhengHei"/>
        <family val="0"/>
        <charset val="1"/>
      </rPr>
      <t xml:space="preserve">2</t>
    </r>
    <r>
      <rPr>
        <b val="true"/>
        <sz val="11"/>
        <color rgb="FFFFFFFF"/>
        <rFont val="Noto Sans CJK SC"/>
        <family val="2"/>
      </rPr>
      <t xml:space="preserve">小時</t>
    </r>
  </si>
  <si>
    <r>
      <rPr>
        <b val="true"/>
        <sz val="11"/>
        <color rgb="FFFFFFFF"/>
        <rFont val="Noto Sans CJK SC"/>
        <family val="2"/>
      </rPr>
      <t xml:space="preserve">休息日 第</t>
    </r>
    <r>
      <rPr>
        <b val="true"/>
        <sz val="11"/>
        <color rgb="FFFFFFFF"/>
        <rFont val="Microsoft JhengHei"/>
        <family val="0"/>
        <charset val="1"/>
      </rPr>
      <t xml:space="preserve">3-8</t>
    </r>
    <r>
      <rPr>
        <b val="true"/>
        <sz val="11"/>
        <color rgb="FFFFFFFF"/>
        <rFont val="Noto Sans CJK SC"/>
        <family val="2"/>
      </rPr>
      <t xml:space="preserve">小時</t>
    </r>
  </si>
  <si>
    <r>
      <rPr>
        <b val="true"/>
        <sz val="11"/>
        <color rgb="FFFFFFFF"/>
        <rFont val="Noto Sans CJK SC"/>
        <family val="2"/>
      </rPr>
      <t xml:space="preserve">休息日 第</t>
    </r>
    <r>
      <rPr>
        <b val="true"/>
        <sz val="11"/>
        <color rgb="FFFFFFFF"/>
        <rFont val="Microsoft JhengHei"/>
        <family val="0"/>
        <charset val="1"/>
      </rPr>
      <t xml:space="preserve">9-12</t>
    </r>
    <r>
      <rPr>
        <b val="true"/>
        <sz val="11"/>
        <color rgb="FFFFFFFF"/>
        <rFont val="Noto Sans CJK SC"/>
        <family val="2"/>
      </rPr>
      <t xml:space="preserve">小時</t>
    </r>
  </si>
  <si>
    <r>
      <rPr>
        <b val="true"/>
        <sz val="11"/>
        <color rgb="FFFFFFFF"/>
        <rFont val="Noto Sans CJK SC"/>
        <family val="2"/>
      </rPr>
      <t xml:space="preserve">國定假日出勤</t>
    </r>
    <r>
      <rPr>
        <b val="true"/>
        <sz val="11"/>
        <color rgb="FFFFFFFF"/>
        <rFont val="Microsoft JhengHei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日</t>
    </r>
    <r>
      <rPr>
        <b val="true"/>
        <sz val="11"/>
        <color rgb="FFFFFFFF"/>
        <rFont val="Microsoft JhengHei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</si>
  <si>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國定假日加班 第</t>
    </r>
    <r>
      <rPr>
        <b val="true"/>
        <sz val="11"/>
        <color rgb="FFFFFFFF"/>
        <rFont val="Microsoft JhengHei"/>
        <family val="0"/>
        <charset val="1"/>
      </rPr>
      <t xml:space="preserve">9-10</t>
    </r>
    <r>
      <rPr>
        <b val="true"/>
        <sz val="11"/>
        <color rgb="FFFFFFFF"/>
        <rFont val="Noto Sans CJK SC"/>
        <family val="2"/>
      </rPr>
      <t xml:space="preserve">小時</t>
    </r>
  </si>
  <si>
    <r>
      <rPr>
        <b val="true"/>
        <sz val="11"/>
        <color rgb="FFFFFFFF"/>
        <rFont val="Noto Sans CJK SC"/>
        <family val="2"/>
      </rPr>
      <t xml:space="preserve">國定假日加班 第</t>
    </r>
    <r>
      <rPr>
        <b val="true"/>
        <sz val="11"/>
        <color rgb="FFFFFFFF"/>
        <rFont val="Microsoft JhengHei"/>
        <family val="0"/>
        <charset val="1"/>
      </rPr>
      <t xml:space="preserve">11-12</t>
    </r>
    <r>
      <rPr>
        <b val="true"/>
        <sz val="11"/>
        <color rgb="FFFFFFFF"/>
        <rFont val="Noto Sans CJK SC"/>
        <family val="2"/>
      </rPr>
      <t xml:space="preserve">小時</t>
    </r>
  </si>
  <si>
    <r>
      <rPr>
        <b val="true"/>
        <sz val="11"/>
        <color rgb="FFFFFFFF"/>
        <rFont val="Noto Sans CJK SC"/>
        <family val="2"/>
      </rPr>
      <t xml:space="preserve">例假日出勤</t>
    </r>
    <r>
      <rPr>
        <b val="true"/>
        <sz val="11"/>
        <color rgb="FFFFFFFF"/>
        <rFont val="Microsoft JhengHei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日</t>
    </r>
    <r>
      <rPr>
        <b val="true"/>
        <sz val="11"/>
        <color rgb="FFFFFFFF"/>
        <rFont val="Microsoft JhengHei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</si>
  <si>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例假日加班 超過</t>
    </r>
    <r>
      <rPr>
        <b val="true"/>
        <sz val="11"/>
        <color rgb="FFFFFFFF"/>
        <rFont val="Microsoft JhengHei"/>
        <family val="0"/>
        <charset val="1"/>
      </rPr>
      <t xml:space="preserve">8</t>
    </r>
    <r>
      <rPr>
        <b val="true"/>
        <sz val="11"/>
        <color rgb="FFFFFFFF"/>
        <rFont val="Noto Sans CJK SC"/>
        <family val="2"/>
      </rPr>
      <t xml:space="preserve">小時</t>
    </r>
  </si>
  <si>
    <t xml:space="preserve">加班時數合計</t>
  </si>
  <si>
    <t xml:space="preserve">加班時數檢核</t>
  </si>
  <si>
    <t xml:space="preserve">績效獎金</t>
  </si>
  <si>
    <t xml:space="preserve">病假扣款</t>
  </si>
  <si>
    <t xml:space="preserve">事假扣款</t>
  </si>
  <si>
    <t xml:space="preserve">應稅所得</t>
  </si>
  <si>
    <t xml:space="preserve">應計薪資</t>
  </si>
  <si>
    <t xml:space="preserve">薪資扣繳</t>
  </si>
  <si>
    <t xml:space="preserve">獎金扣繳</t>
  </si>
  <si>
    <t xml:space="preserve">勞保薪資</t>
  </si>
  <si>
    <t xml:space="preserve">勞保代扣</t>
  </si>
  <si>
    <t xml:space="preserve">勞保公司負擔</t>
  </si>
  <si>
    <t xml:space="preserve">勞保補〈退〉</t>
  </si>
  <si>
    <t xml:space="preserve">勞保費</t>
  </si>
  <si>
    <t xml:space="preserve">勞退準備金</t>
  </si>
  <si>
    <t xml:space="preserve">勞退薪資</t>
  </si>
  <si>
    <t xml:space="preserve">雇主提繳率</t>
  </si>
  <si>
    <t xml:space="preserve">雇主提撥</t>
  </si>
  <si>
    <t xml:space="preserve">勞退自願提繳率</t>
  </si>
  <si>
    <t xml:space="preserve">勞退代扣</t>
  </si>
  <si>
    <t xml:space="preserve">健保薪資</t>
  </si>
  <si>
    <t xml:space="preserve">健保代扣</t>
  </si>
  <si>
    <t xml:space="preserve">健保補〈退〉</t>
  </si>
  <si>
    <t xml:space="preserve">健保公司負擔</t>
  </si>
  <si>
    <t xml:space="preserve">健保費</t>
  </si>
  <si>
    <t xml:space="preserve">其他代扣款</t>
  </si>
  <si>
    <t xml:space="preserve">補充保險費代扣</t>
  </si>
  <si>
    <t xml:space="preserve">資遣費</t>
  </si>
  <si>
    <t xml:space="preserve">未休假薪資</t>
  </si>
  <si>
    <r>
      <rPr>
        <b val="true"/>
        <sz val="11"/>
        <color rgb="FFFFFFFF"/>
        <rFont val="Noto Sans CJK SC"/>
        <family val="2"/>
      </rPr>
      <t xml:space="preserve">其他</t>
    </r>
    <r>
      <rPr>
        <b val="true"/>
        <sz val="11"/>
        <color rgb="FFFFFFFF"/>
        <rFont val="Microsoft JhengHei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兼職</t>
    </r>
    <r>
      <rPr>
        <b val="true"/>
        <sz val="11"/>
        <color rgb="FFFFFFFF"/>
        <rFont val="Microsoft JhengHei"/>
        <family val="0"/>
        <charset val="1"/>
      </rPr>
      <t xml:space="preserve">)</t>
    </r>
  </si>
  <si>
    <t xml:space="preserve">薪資總計</t>
  </si>
  <si>
    <r>
      <rPr>
        <b val="true"/>
        <sz val="11"/>
        <color rgb="FFFFFFFF"/>
        <rFont val="Noto Sans CJK SC"/>
        <family val="2"/>
      </rPr>
      <t xml:space="preserve">銀行帳戶</t>
    </r>
    <r>
      <rPr>
        <b val="true"/>
        <sz val="11"/>
        <color rgb="FFFFFFFF"/>
        <rFont val="Microsoft JhengHei"/>
        <family val="0"/>
        <charset val="1"/>
      </rPr>
      <t xml:space="preserve">--</t>
    </r>
    <r>
      <rPr>
        <b val="true"/>
        <sz val="11"/>
        <color rgb="FFFFFFFF"/>
        <rFont val="Noto Sans CJK SC"/>
        <family val="2"/>
      </rPr>
      <t xml:space="preserve">中國信託</t>
    </r>
  </si>
  <si>
    <t xml:space="preserve">加項金額</t>
  </si>
  <si>
    <t xml:space="preserve">減項金額</t>
  </si>
  <si>
    <t xml:space="preserve">實領金額</t>
  </si>
  <si>
    <t xml:space="preserve">備註</t>
  </si>
  <si>
    <t xml:space="preserve">E001</t>
  </si>
  <si>
    <r>
      <rPr>
        <sz val="10"/>
        <rFont val="Noto Sans CJK SC"/>
        <family val="2"/>
      </rPr>
      <t xml:space="preserve">範例員工</t>
    </r>
    <r>
      <rPr>
        <sz val="10"/>
        <rFont val="Microsoft JhengHei"/>
        <family val="0"/>
        <charset val="1"/>
      </rPr>
      <t xml:space="preserve">A</t>
    </r>
  </si>
  <si>
    <t xml:space="preserve">A1XXXXXXXX</t>
  </si>
  <si>
    <t xml:space="preserve">2015-03-01</t>
  </si>
  <si>
    <r>
      <rPr>
        <sz val="10"/>
        <rFont val="Noto Sans CJK SC"/>
        <family val="2"/>
      </rPr>
      <t xml:space="preserve">（範例）</t>
    </r>
    <r>
      <rPr>
        <sz val="10"/>
        <rFont val="Microsoft JhengHei"/>
        <family val="0"/>
        <charset val="1"/>
      </rPr>
      <t xml:space="preserve">000-000-000000</t>
    </r>
  </si>
  <si>
    <t xml:space="preserve">E002</t>
  </si>
  <si>
    <r>
      <rPr>
        <sz val="10"/>
        <rFont val="Noto Sans CJK SC"/>
        <family val="2"/>
      </rPr>
      <t xml:space="preserve">範例員工</t>
    </r>
    <r>
      <rPr>
        <sz val="10"/>
        <rFont val="Microsoft JhengHei"/>
        <family val="0"/>
        <charset val="1"/>
      </rPr>
      <t xml:space="preserve">B</t>
    </r>
  </si>
  <si>
    <t xml:space="preserve">B2XXXXXXXX</t>
  </si>
  <si>
    <t xml:space="preserve">2019-07-15</t>
  </si>
  <si>
    <t xml:space="preserve">E003</t>
  </si>
  <si>
    <r>
      <rPr>
        <sz val="10"/>
        <rFont val="Noto Sans CJK SC"/>
        <family val="2"/>
      </rPr>
      <t xml:space="preserve">範例員工</t>
    </r>
    <r>
      <rPr>
        <sz val="10"/>
        <rFont val="Microsoft JhengHei"/>
        <family val="0"/>
        <charset val="1"/>
      </rPr>
      <t xml:space="preserve">C</t>
    </r>
  </si>
  <si>
    <t xml:space="preserve">C3XXXXXXXX</t>
  </si>
  <si>
    <t xml:space="preserve">2021-01-04</t>
  </si>
  <si>
    <t xml:space="preserve">合計</t>
  </si>
  <si>
    <r>
      <rPr>
        <sz val="9"/>
        <color rgb="FF7F7F7F"/>
        <rFont val="Noto Sans CJK SC"/>
        <family val="2"/>
      </rPr>
      <t xml:space="preserve">註：勞健保薪資請依勞保局、健保署最新分級表填入；扣繳稅額依扣繳率標準；勞保費＝代扣＋公司負擔＋補退（政府負擔</t>
    </r>
    <r>
      <rPr>
        <sz val="9"/>
        <color rgb="FF7F7F7F"/>
        <rFont val="Microsoft JhengHei"/>
        <family val="0"/>
        <charset val="1"/>
      </rPr>
      <t xml:space="preserve">10%</t>
    </r>
    <r>
      <rPr>
        <sz val="9"/>
        <color rgb="FF7F7F7F"/>
        <rFont val="Noto Sans CJK SC"/>
        <family val="2"/>
      </rPr>
      <t xml:space="preserve">不含）。範例人名、身分證字號、帳號皆為虛構。</t>
    </r>
  </si>
  <si>
    <r>
      <rPr>
        <sz val="9"/>
        <color rgb="FF7F7F7F"/>
        <rFont val="Noto Sans CJK SC"/>
        <family val="2"/>
      </rPr>
      <t xml:space="preserve">加班費基礎＝（本薪＋經常性給與）</t>
    </r>
    <r>
      <rPr>
        <sz val="9"/>
        <color rgb="FF7F7F7F"/>
        <rFont val="Microsoft JhengHei"/>
        <family val="0"/>
        <charset val="1"/>
      </rPr>
      <t xml:space="preserve">÷30÷8</t>
    </r>
    <r>
      <rPr>
        <sz val="9"/>
        <color rgb="FF7F7F7F"/>
        <rFont val="Noto Sans CJK SC"/>
        <family val="2"/>
      </rPr>
      <t xml:space="preserve">；各倍率與假別扣薪比例見「流程</t>
    </r>
    <r>
      <rPr>
        <sz val="9"/>
        <color rgb="FF7F7F7F"/>
        <rFont val="Microsoft JhengHei"/>
        <family val="0"/>
        <charset val="1"/>
      </rPr>
      <t xml:space="preserve">1_</t>
    </r>
    <r>
      <rPr>
        <sz val="9"/>
        <color rgb="FF7F7F7F"/>
        <rFont val="Noto Sans CJK SC"/>
        <family val="2"/>
      </rPr>
      <t xml:space="preserve">參數」。</t>
    </r>
  </si>
  <si>
    <t xml:space="preserve">薪資計算參數（假別與加班別）</t>
  </si>
  <si>
    <t xml:space="preserve">藍字為可修改參數；法規數字依勞動基準法、勞工請假規則、性別平等工作法整理，正式使用前請與人資／會計確認</t>
  </si>
  <si>
    <t xml:space="preserve">參數</t>
  </si>
  <si>
    <t xml:space="preserve">數值</t>
  </si>
  <si>
    <t xml:space="preserve">說明／來源</t>
  </si>
  <si>
    <t xml:space="preserve">月薪折算日數</t>
  </si>
  <si>
    <r>
      <rPr>
        <sz val="10"/>
        <rFont val="Noto Sans CJK SC"/>
        <family val="2"/>
      </rPr>
      <t xml:space="preserve">日薪＝月薪</t>
    </r>
    <r>
      <rPr>
        <sz val="10"/>
        <rFont val="Microsoft JhengHei"/>
        <family val="0"/>
        <charset val="1"/>
      </rPr>
      <t xml:space="preserve">÷30</t>
    </r>
  </si>
  <si>
    <r>
      <rPr>
        <sz val="10"/>
        <rFont val="Noto Sans CJK SC"/>
        <family val="2"/>
      </rPr>
      <t xml:space="preserve">每日工時</t>
    </r>
    <r>
      <rPr>
        <sz val="10"/>
        <rFont val="Microsoft JhengHei"/>
        <family val="0"/>
        <charset val="1"/>
      </rPr>
      <t xml:space="preserve">(</t>
    </r>
    <r>
      <rPr>
        <sz val="10"/>
        <rFont val="Noto Sans CJK SC"/>
        <family val="2"/>
      </rPr>
      <t xml:space="preserve">小時</t>
    </r>
    <r>
      <rPr>
        <sz val="10"/>
        <rFont val="Microsoft JhengHei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</si>
  <si>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時薪＝日薪</t>
    </r>
    <r>
      <rPr>
        <sz val="10"/>
        <rFont val="Microsoft JhengHei"/>
        <family val="0"/>
        <charset val="1"/>
      </rPr>
      <t xml:space="preserve">÷8</t>
    </r>
    <r>
      <rPr>
        <sz val="10"/>
        <rFont val="Noto Sans CJK SC"/>
        <family val="2"/>
      </rPr>
      <t xml:space="preserve">（即月薪</t>
    </r>
    <r>
      <rPr>
        <sz val="10"/>
        <rFont val="Microsoft JhengHei"/>
        <family val="0"/>
        <charset val="1"/>
      </rPr>
      <t xml:space="preserve">÷240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</si>
  <si>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伙食費納入加班費計算基礎</t>
    </r>
    <r>
      <rPr>
        <sz val="10"/>
        <rFont val="Microsoft JhengHei"/>
        <family val="0"/>
        <charset val="1"/>
      </rPr>
      <t xml:space="preserve">(1=</t>
    </r>
    <r>
      <rPr>
        <sz val="10"/>
        <rFont val="Noto Sans CJK SC"/>
        <family val="2"/>
      </rPr>
      <t xml:space="preserve">是</t>
    </r>
    <r>
      <rPr>
        <sz val="10"/>
        <rFont val="Microsoft JhengHei"/>
        <family val="0"/>
        <charset val="1"/>
      </rPr>
      <t xml:space="preserve">,0=</t>
    </r>
    <r>
      <rPr>
        <sz val="10"/>
        <rFont val="Noto Sans CJK SC"/>
        <family val="2"/>
      </rPr>
      <t xml:space="preserve">否</t>
    </r>
    <r>
      <rPr>
        <sz val="10"/>
        <rFont val="Microsoft JhengHei"/>
        <family val="0"/>
        <charset val="1"/>
      </rPr>
      <t xml:space="preserve">)</t>
    </r>
  </si>
  <si>
    <t xml:space="preserve">經常性給與屬工資，計算平日每小時工資額應納入；請與人資確認各項津貼性質</t>
  </si>
  <si>
    <t xml:space="preserve">遲到扣薪比例</t>
  </si>
  <si>
    <t xml:space="preserve">遲到按分鐘折算時薪扣款；是否扣薪依公司工作規則</t>
  </si>
  <si>
    <t xml:space="preserve">勞保費率</t>
  </si>
  <si>
    <r>
      <rPr>
        <sz val="10"/>
        <rFont val="Microsoft JhengHei"/>
        <family val="0"/>
        <charset val="1"/>
      </rPr>
      <t xml:space="preserve">115</t>
    </r>
    <r>
      <rPr>
        <sz val="10"/>
        <rFont val="Noto Sans CJK SC"/>
        <family val="2"/>
      </rPr>
      <t xml:space="preserve">年：普通事故</t>
    </r>
    <r>
      <rPr>
        <sz val="10"/>
        <rFont val="Microsoft JhengHei"/>
        <family val="0"/>
        <charset val="1"/>
      </rPr>
      <t xml:space="preserve">11.5%</t>
    </r>
    <r>
      <rPr>
        <sz val="10"/>
        <rFont val="Noto Sans CJK SC"/>
        <family val="2"/>
      </rPr>
      <t xml:space="preserve">＋就業保險</t>
    </r>
    <r>
      <rPr>
        <sz val="10"/>
        <rFont val="Microsoft JhengHei"/>
        <family val="0"/>
        <charset val="1"/>
      </rPr>
      <t xml:space="preserve">1%</t>
    </r>
    <r>
      <rPr>
        <sz val="10"/>
        <rFont val="Noto Sans CJK SC"/>
        <family val="2"/>
      </rPr>
      <t xml:space="preserve">＝</t>
    </r>
    <r>
      <rPr>
        <sz val="10"/>
        <rFont val="Microsoft JhengHei"/>
        <family val="0"/>
        <charset val="1"/>
      </rPr>
      <t xml:space="preserve">12.5%</t>
    </r>
    <r>
      <rPr>
        <sz val="10"/>
        <rFont val="Noto Sans CJK SC"/>
        <family val="2"/>
      </rPr>
      <t xml:space="preserve">，不含職災保險（全額雇主負擔）</t>
    </r>
  </si>
  <si>
    <t xml:space="preserve">勞保－員工負擔比例</t>
  </si>
  <si>
    <r>
      <rPr>
        <sz val="10"/>
        <rFont val="Noto Sans CJK SC"/>
        <family val="2"/>
      </rPr>
      <t xml:space="preserve">員工</t>
    </r>
    <r>
      <rPr>
        <sz val="10"/>
        <rFont val="Microsoft JhengHei"/>
        <family val="0"/>
        <charset val="1"/>
      </rPr>
      <t xml:space="preserve">20%</t>
    </r>
    <r>
      <rPr>
        <sz val="10"/>
        <rFont val="Noto Sans CJK SC"/>
        <family val="2"/>
      </rPr>
      <t xml:space="preserve">、雇主</t>
    </r>
    <r>
      <rPr>
        <sz val="10"/>
        <rFont val="Microsoft JhengHei"/>
        <family val="0"/>
        <charset val="1"/>
      </rPr>
      <t xml:space="preserve">70%</t>
    </r>
    <r>
      <rPr>
        <sz val="10"/>
        <rFont val="Noto Sans CJK SC"/>
        <family val="2"/>
      </rPr>
      <t xml:space="preserve">、政府</t>
    </r>
    <r>
      <rPr>
        <sz val="10"/>
        <rFont val="Microsoft JhengHei"/>
        <family val="0"/>
        <charset val="1"/>
      </rPr>
      <t xml:space="preserve">10%</t>
    </r>
  </si>
  <si>
    <t xml:space="preserve">勞保－雇主負擔比例</t>
  </si>
  <si>
    <t xml:space="preserve">健保費率</t>
  </si>
  <si>
    <r>
      <rPr>
        <sz val="10"/>
        <rFont val="Microsoft JhengHei"/>
        <family val="0"/>
        <charset val="1"/>
      </rPr>
      <t xml:space="preserve">115</t>
    </r>
    <r>
      <rPr>
        <sz val="10"/>
        <rFont val="Noto Sans CJK SC"/>
        <family val="2"/>
      </rPr>
      <t xml:space="preserve">年維持</t>
    </r>
    <r>
      <rPr>
        <sz val="10"/>
        <rFont val="Microsoft JhengHei"/>
        <family val="0"/>
        <charset val="1"/>
      </rPr>
      <t xml:space="preserve">5.17%</t>
    </r>
  </si>
  <si>
    <t xml:space="preserve">健保－員工負擔比例</t>
  </si>
  <si>
    <r>
      <rPr>
        <sz val="10"/>
        <rFont val="Noto Sans CJK SC"/>
        <family val="2"/>
      </rPr>
      <t xml:space="preserve">員工</t>
    </r>
    <r>
      <rPr>
        <sz val="10"/>
        <rFont val="Microsoft JhengHei"/>
        <family val="0"/>
        <charset val="1"/>
      </rPr>
      <t xml:space="preserve">30%</t>
    </r>
    <r>
      <rPr>
        <sz val="10"/>
        <rFont val="Noto Sans CJK SC"/>
        <family val="2"/>
      </rPr>
      <t xml:space="preserve">、雇主</t>
    </r>
    <r>
      <rPr>
        <sz val="10"/>
        <rFont val="Microsoft JhengHei"/>
        <family val="0"/>
        <charset val="1"/>
      </rPr>
      <t xml:space="preserve">60%</t>
    </r>
    <r>
      <rPr>
        <sz val="10"/>
        <rFont val="Noto Sans CJK SC"/>
        <family val="2"/>
      </rPr>
      <t xml:space="preserve">、政府</t>
    </r>
    <r>
      <rPr>
        <sz val="10"/>
        <rFont val="Microsoft JhengHei"/>
        <family val="0"/>
        <charset val="1"/>
      </rPr>
      <t xml:space="preserve">10%</t>
    </r>
  </si>
  <si>
    <t xml:space="preserve">健保－雇主負擔比例</t>
  </si>
  <si>
    <t xml:space="preserve">健保眷屬計費人數上限</t>
  </si>
  <si>
    <r>
      <rPr>
        <sz val="10"/>
        <rFont val="Noto Sans CJK SC"/>
        <family val="2"/>
      </rPr>
      <t xml:space="preserve">眷屬超過</t>
    </r>
    <r>
      <rPr>
        <sz val="10"/>
        <rFont val="Microsoft JhengHei"/>
        <family val="0"/>
        <charset val="1"/>
      </rPr>
      <t xml:space="preserve">3</t>
    </r>
    <r>
      <rPr>
        <sz val="10"/>
        <rFont val="Noto Sans CJK SC"/>
        <family val="2"/>
      </rPr>
      <t xml:space="preserve">口以</t>
    </r>
    <r>
      <rPr>
        <sz val="10"/>
        <rFont val="Microsoft JhengHei"/>
        <family val="0"/>
        <charset val="1"/>
      </rPr>
      <t xml:space="preserve">3</t>
    </r>
    <r>
      <rPr>
        <sz val="10"/>
        <rFont val="Noto Sans CJK SC"/>
        <family val="2"/>
      </rPr>
      <t xml:space="preserve">口計</t>
    </r>
  </si>
  <si>
    <r>
      <rPr>
        <sz val="10"/>
        <rFont val="Noto Sans CJK SC"/>
        <family val="2"/>
      </rPr>
      <t xml:space="preserve">健保－雇主負擔人數</t>
    </r>
    <r>
      <rPr>
        <sz val="10"/>
        <rFont val="Microsoft JhengHei"/>
        <family val="0"/>
        <charset val="1"/>
      </rPr>
      <t xml:space="preserve">(</t>
    </r>
    <r>
      <rPr>
        <sz val="10"/>
        <rFont val="Noto Sans CJK SC"/>
        <family val="2"/>
      </rPr>
      <t xml:space="preserve">含平均眷屬</t>
    </r>
    <r>
      <rPr>
        <sz val="10"/>
        <rFont val="Microsoft JhengHei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</si>
  <si>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本人＋平均眷屬</t>
    </r>
    <r>
      <rPr>
        <sz val="10"/>
        <rFont val="Microsoft JhengHei"/>
        <family val="0"/>
        <charset val="1"/>
      </rPr>
      <t xml:space="preserve">0.56</t>
    </r>
    <r>
      <rPr>
        <sz val="10"/>
        <rFont val="Noto Sans CJK SC"/>
        <family val="2"/>
      </rPr>
      <t xml:space="preserve">人</t>
    </r>
  </si>
  <si>
    <t xml:space="preserve">勞退雇主提繳率</t>
  </si>
  <si>
    <r>
      <rPr>
        <sz val="10"/>
        <rFont val="Noto Sans CJK SC"/>
        <family val="2"/>
      </rPr>
      <t xml:space="preserve">雇主提繳率不得低於</t>
    </r>
    <r>
      <rPr>
        <sz val="10"/>
        <rFont val="Microsoft JhengHei"/>
        <family val="0"/>
        <charset val="1"/>
      </rPr>
      <t xml:space="preserve">6%</t>
    </r>
    <r>
      <rPr>
        <sz val="10"/>
        <rFont val="Noto Sans CJK SC"/>
        <family val="2"/>
      </rPr>
      <t xml:space="preserve">；員工可自願提繳</t>
    </r>
    <r>
      <rPr>
        <sz val="10"/>
        <rFont val="Microsoft JhengHei"/>
        <family val="0"/>
        <charset val="1"/>
      </rPr>
      <t xml:space="preserve">0%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6%</t>
    </r>
  </si>
  <si>
    <t xml:space="preserve">假別表（影響扣款的假別才會被月結表公式使用；其餘供紀錄與核對）</t>
  </si>
  <si>
    <t xml:space="preserve">假別</t>
  </si>
  <si>
    <t xml:space="preserve">給薪比例</t>
  </si>
  <si>
    <t xml:space="preserve">扣薪比例</t>
  </si>
  <si>
    <t xml:space="preserve">日數上限</t>
  </si>
  <si>
    <t xml:space="preserve">法源</t>
  </si>
  <si>
    <t xml:space="preserve">病假（普通傷病假）</t>
  </si>
  <si>
    <r>
      <rPr>
        <sz val="10"/>
        <rFont val="Noto Sans CJK SC"/>
        <family val="2"/>
      </rPr>
      <t xml:space="preserve">未住院每年</t>
    </r>
    <r>
      <rPr>
        <sz val="10"/>
        <rFont val="Microsoft JhengHei"/>
        <family val="0"/>
        <charset val="1"/>
      </rPr>
      <t xml:space="preserve">30</t>
    </r>
    <r>
      <rPr>
        <sz val="10"/>
        <rFont val="Noto Sans CJK SC"/>
        <family val="2"/>
      </rPr>
      <t xml:space="preserve">日</t>
    </r>
  </si>
  <si>
    <t xml:space="preserve">勞工請假規則</t>
  </si>
  <si>
    <r>
      <rPr>
        <sz val="10"/>
        <rFont val="Noto Sans CJK SC"/>
        <family val="2"/>
      </rPr>
      <t xml:space="preserve">半薪；</t>
    </r>
    <r>
      <rPr>
        <sz val="10"/>
        <rFont val="Microsoft JhengHei"/>
        <family val="0"/>
        <charset val="1"/>
      </rPr>
      <t xml:space="preserve">115/1/1</t>
    </r>
    <r>
      <rPr>
        <sz val="10"/>
        <rFont val="Noto Sans CJK SC"/>
        <family val="2"/>
      </rPr>
      <t xml:space="preserve">起請病假</t>
    </r>
    <r>
      <rPr>
        <sz val="10"/>
        <rFont val="Microsoft JhengHei"/>
        <family val="0"/>
        <charset val="1"/>
      </rPr>
      <t xml:space="preserve">10</t>
    </r>
    <r>
      <rPr>
        <sz val="10"/>
        <rFont val="Noto Sans CJK SC"/>
        <family val="2"/>
      </rPr>
      <t xml:space="preserve">日內不得不利處分，且不得因此扣發全勤獎金</t>
    </r>
  </si>
  <si>
    <r>
      <rPr>
        <sz val="10"/>
        <rFont val="Noto Sans CJK SC"/>
        <family val="2"/>
      </rPr>
      <t xml:space="preserve">每年</t>
    </r>
    <r>
      <rPr>
        <sz val="10"/>
        <rFont val="Microsoft JhengHei"/>
        <family val="0"/>
        <charset val="1"/>
      </rPr>
      <t xml:space="preserve">14</t>
    </r>
    <r>
      <rPr>
        <sz val="10"/>
        <rFont val="Noto Sans CJK SC"/>
        <family val="2"/>
      </rPr>
      <t xml:space="preserve">日</t>
    </r>
  </si>
  <si>
    <t xml:space="preserve">不給薪</t>
  </si>
  <si>
    <r>
      <rPr>
        <sz val="10"/>
        <rFont val="Noto Sans CJK SC"/>
        <family val="2"/>
      </rPr>
      <t xml:space="preserve">每年</t>
    </r>
    <r>
      <rPr>
        <sz val="10"/>
        <rFont val="Microsoft JhengHei"/>
        <family val="0"/>
        <charset val="1"/>
      </rPr>
      <t xml:space="preserve">7</t>
    </r>
    <r>
      <rPr>
        <sz val="10"/>
        <rFont val="Noto Sans CJK SC"/>
        <family val="2"/>
      </rPr>
      <t xml:space="preserve">日（併入事假）</t>
    </r>
  </si>
  <si>
    <t xml:space="preserve">性別平等工作法</t>
  </si>
  <si>
    <t xml:space="preserve">不給薪，日數併入事假計算</t>
  </si>
  <si>
    <r>
      <rPr>
        <sz val="10"/>
        <rFont val="Noto Sans CJK SC"/>
        <family val="2"/>
      </rPr>
      <t xml:space="preserve">每月</t>
    </r>
    <r>
      <rPr>
        <sz val="10"/>
        <rFont val="Microsoft JhengHei"/>
        <family val="0"/>
        <charset val="1"/>
      </rPr>
      <t xml:space="preserve">1</t>
    </r>
    <r>
      <rPr>
        <sz val="10"/>
        <rFont val="Noto Sans CJK SC"/>
        <family val="2"/>
      </rPr>
      <t xml:space="preserve">日；全年</t>
    </r>
    <r>
      <rPr>
        <sz val="10"/>
        <rFont val="Microsoft JhengHei"/>
        <family val="0"/>
        <charset val="1"/>
      </rPr>
      <t xml:space="preserve">3</t>
    </r>
    <r>
      <rPr>
        <sz val="10"/>
        <rFont val="Noto Sans CJK SC"/>
        <family val="2"/>
      </rPr>
      <t xml:space="preserve">日內不併入病假</t>
    </r>
  </si>
  <si>
    <r>
      <rPr>
        <sz val="10"/>
        <rFont val="Noto Sans CJK SC"/>
        <family val="2"/>
      </rPr>
      <t xml:space="preserve">半薪；超過</t>
    </r>
    <r>
      <rPr>
        <sz val="10"/>
        <rFont val="Microsoft JhengHei"/>
        <family val="0"/>
        <charset val="1"/>
      </rPr>
      <t xml:space="preserve">3</t>
    </r>
    <r>
      <rPr>
        <sz val="10"/>
        <rFont val="Noto Sans CJK SC"/>
        <family val="2"/>
      </rPr>
      <t xml:space="preserve">日部分併入病假；不得扣全勤</t>
    </r>
  </si>
  <si>
    <t xml:space="preserve">依醫師診斷</t>
  </si>
  <si>
    <t xml:space="preserve">併入住院傷病假計算，半薪</t>
  </si>
  <si>
    <r>
      <rPr>
        <sz val="10"/>
        <rFont val="Microsoft JhengHei"/>
        <family val="0"/>
        <charset val="1"/>
      </rPr>
      <t xml:space="preserve">8</t>
    </r>
    <r>
      <rPr>
        <sz val="10"/>
        <rFont val="Noto Sans CJK SC"/>
        <family val="2"/>
      </rPr>
      <t xml:space="preserve">日</t>
    </r>
  </si>
  <si>
    <t xml:space="preserve">工資照給</t>
  </si>
  <si>
    <r>
      <rPr>
        <sz val="10"/>
        <rFont val="Microsoft JhengHei"/>
        <family val="0"/>
        <charset val="1"/>
      </rPr>
      <t xml:space="preserve">3</t>
    </r>
    <r>
      <rPr>
        <sz val="10"/>
        <rFont val="Noto Sans CJK SC"/>
        <family val="2"/>
      </rPr>
      <t xml:space="preserve">／</t>
    </r>
    <r>
      <rPr>
        <sz val="10"/>
        <rFont val="Microsoft JhengHei"/>
        <family val="0"/>
        <charset val="1"/>
      </rPr>
      <t xml:space="preserve">6</t>
    </r>
    <r>
      <rPr>
        <sz val="10"/>
        <rFont val="Noto Sans CJK SC"/>
        <family val="2"/>
      </rPr>
      <t xml:space="preserve">／</t>
    </r>
    <r>
      <rPr>
        <sz val="10"/>
        <rFont val="Microsoft JhengHei"/>
        <family val="0"/>
        <charset val="1"/>
      </rPr>
      <t xml:space="preserve">8</t>
    </r>
    <r>
      <rPr>
        <sz val="10"/>
        <rFont val="Noto Sans CJK SC"/>
        <family val="2"/>
      </rPr>
      <t xml:space="preserve">日（依親屬關係）</t>
    </r>
  </si>
  <si>
    <r>
      <rPr>
        <sz val="10"/>
        <rFont val="Noto Sans CJK SC"/>
        <family val="2"/>
      </rPr>
      <t xml:space="preserve">工資照給；</t>
    </r>
    <r>
      <rPr>
        <sz val="10"/>
        <rFont val="Microsoft JhengHei"/>
        <family val="0"/>
        <charset val="1"/>
      </rPr>
      <t xml:space="preserve">3</t>
    </r>
    <r>
      <rPr>
        <sz val="10"/>
        <rFont val="Noto Sans CJK SC"/>
        <family val="2"/>
      </rPr>
      <t xml:space="preserve">日：曾祖父母、兄弟姊妹等；</t>
    </r>
    <r>
      <rPr>
        <sz val="10"/>
        <rFont val="Microsoft JhengHei"/>
        <family val="0"/>
        <charset val="1"/>
      </rPr>
      <t xml:space="preserve">6</t>
    </r>
    <r>
      <rPr>
        <sz val="10"/>
        <rFont val="Noto Sans CJK SC"/>
        <family val="2"/>
      </rPr>
      <t xml:space="preserve">日：祖父母、子女、配偶之父母等；</t>
    </r>
    <r>
      <rPr>
        <sz val="10"/>
        <rFont val="Microsoft JhengHei"/>
        <family val="0"/>
        <charset val="1"/>
      </rPr>
      <t xml:space="preserve">8</t>
    </r>
    <r>
      <rPr>
        <sz val="10"/>
        <rFont val="Noto Sans CJK SC"/>
        <family val="2"/>
      </rPr>
      <t xml:space="preserve">日：父母、配偶</t>
    </r>
  </si>
  <si>
    <r>
      <rPr>
        <sz val="10"/>
        <rFont val="Microsoft JhengHei"/>
        <family val="0"/>
        <charset val="1"/>
      </rPr>
      <t xml:space="preserve">8</t>
    </r>
    <r>
      <rPr>
        <sz val="10"/>
        <rFont val="Noto Sans CJK SC"/>
        <family val="2"/>
      </rPr>
      <t xml:space="preserve">週（流產依週數另計）</t>
    </r>
  </si>
  <si>
    <r>
      <rPr>
        <sz val="10"/>
        <rFont val="Noto Sans CJK SC"/>
        <family val="2"/>
      </rPr>
      <t xml:space="preserve">受僱滿</t>
    </r>
    <r>
      <rPr>
        <sz val="10"/>
        <rFont val="Microsoft JhengHei"/>
        <family val="0"/>
        <charset val="1"/>
      </rPr>
      <t xml:space="preserve">6</t>
    </r>
    <r>
      <rPr>
        <sz val="10"/>
        <rFont val="Noto Sans CJK SC"/>
        <family val="2"/>
      </rPr>
      <t xml:space="preserve">個月照給，未滿</t>
    </r>
    <r>
      <rPr>
        <sz val="10"/>
        <rFont val="Microsoft JhengHei"/>
        <family val="0"/>
        <charset val="1"/>
      </rPr>
      <t xml:space="preserve">6</t>
    </r>
    <r>
      <rPr>
        <sz val="10"/>
        <rFont val="Noto Sans CJK SC"/>
        <family val="2"/>
      </rPr>
      <t xml:space="preserve">個月減半</t>
    </r>
  </si>
  <si>
    <r>
      <rPr>
        <sz val="10"/>
        <rFont val="Microsoft JhengHei"/>
        <family val="0"/>
        <charset val="1"/>
      </rPr>
      <t xml:space="preserve">7</t>
    </r>
    <r>
      <rPr>
        <sz val="10"/>
        <rFont val="Noto Sans CJK SC"/>
        <family val="2"/>
      </rPr>
      <t xml:space="preserve">日</t>
    </r>
  </si>
  <si>
    <t xml:space="preserve">依實際需要</t>
  </si>
  <si>
    <r>
      <rPr>
        <sz val="10"/>
        <rFont val="Noto Sans CJK SC"/>
        <family val="2"/>
      </rPr>
      <t xml:space="preserve">勞動基準法第</t>
    </r>
    <r>
      <rPr>
        <sz val="10"/>
        <rFont val="Microsoft JhengHei"/>
        <family val="0"/>
        <charset val="1"/>
      </rPr>
      <t xml:space="preserve">59</t>
    </r>
    <r>
      <rPr>
        <sz val="10"/>
        <rFont val="Noto Sans CJK SC"/>
        <family val="2"/>
      </rPr>
      <t xml:space="preserve">條</t>
    </r>
  </si>
  <si>
    <t xml:space="preserve">按原領工資補償，不得扣全勤</t>
  </si>
  <si>
    <t xml:space="preserve">依法令規定</t>
  </si>
  <si>
    <r>
      <rPr>
        <sz val="10"/>
        <rFont val="Noto Sans CJK SC"/>
        <family val="2"/>
      </rPr>
      <t xml:space="preserve">依年資：</t>
    </r>
    <r>
      <rPr>
        <sz val="10"/>
        <rFont val="Microsoft JhengHei"/>
        <family val="0"/>
        <charset val="1"/>
      </rPr>
      <t xml:space="preserve">6</t>
    </r>
    <r>
      <rPr>
        <sz val="10"/>
        <rFont val="Noto Sans CJK SC"/>
        <family val="2"/>
      </rPr>
      <t xml:space="preserve">個月</t>
    </r>
    <r>
      <rPr>
        <sz val="10"/>
        <rFont val="Microsoft JhengHei"/>
        <family val="0"/>
        <charset val="1"/>
      </rPr>
      <t xml:space="preserve">3</t>
    </r>
    <r>
      <rPr>
        <sz val="10"/>
        <rFont val="Noto Sans CJK SC"/>
        <family val="2"/>
      </rPr>
      <t xml:space="preserve">日、</t>
    </r>
    <r>
      <rPr>
        <sz val="10"/>
        <rFont val="Microsoft JhengHei"/>
        <family val="0"/>
        <charset val="1"/>
      </rPr>
      <t xml:space="preserve">1</t>
    </r>
    <r>
      <rPr>
        <sz val="10"/>
        <rFont val="Noto Sans CJK SC"/>
        <family val="2"/>
      </rPr>
      <t xml:space="preserve">年</t>
    </r>
    <r>
      <rPr>
        <sz val="10"/>
        <rFont val="Microsoft JhengHei"/>
        <family val="0"/>
        <charset val="1"/>
      </rPr>
      <t xml:space="preserve">7</t>
    </r>
    <r>
      <rPr>
        <sz val="10"/>
        <rFont val="Noto Sans CJK SC"/>
        <family val="2"/>
      </rPr>
      <t xml:space="preserve">日、</t>
    </r>
    <r>
      <rPr>
        <sz val="10"/>
        <rFont val="Microsoft JhengHei"/>
        <family val="0"/>
        <charset val="1"/>
      </rPr>
      <t xml:space="preserve">2</t>
    </r>
    <r>
      <rPr>
        <sz val="10"/>
        <rFont val="Noto Sans CJK SC"/>
        <family val="2"/>
      </rPr>
      <t xml:space="preserve">年</t>
    </r>
    <r>
      <rPr>
        <sz val="10"/>
        <rFont val="Microsoft JhengHei"/>
        <family val="0"/>
        <charset val="1"/>
      </rPr>
      <t xml:space="preserve">10</t>
    </r>
    <r>
      <rPr>
        <sz val="10"/>
        <rFont val="Noto Sans CJK SC"/>
        <family val="2"/>
      </rPr>
      <t xml:space="preserve">日、</t>
    </r>
    <r>
      <rPr>
        <sz val="10"/>
        <rFont val="Microsoft JhengHei"/>
        <family val="0"/>
        <charset val="1"/>
      </rPr>
      <t xml:space="preserve">3</t>
    </r>
    <r>
      <rPr>
        <sz val="10"/>
        <rFont val="Noto Sans CJK SC"/>
        <family val="2"/>
      </rPr>
      <t xml:space="preserve">年</t>
    </r>
    <r>
      <rPr>
        <sz val="10"/>
        <rFont val="Microsoft JhengHei"/>
        <family val="0"/>
        <charset val="1"/>
      </rPr>
      <t xml:space="preserve">14</t>
    </r>
    <r>
      <rPr>
        <sz val="10"/>
        <rFont val="Noto Sans CJK SC"/>
        <family val="2"/>
      </rPr>
      <t xml:space="preserve">日、</t>
    </r>
    <r>
      <rPr>
        <sz val="10"/>
        <rFont val="Microsoft JhengHei"/>
        <family val="0"/>
        <charset val="1"/>
      </rPr>
      <t xml:space="preserve">5</t>
    </r>
    <r>
      <rPr>
        <sz val="10"/>
        <rFont val="Noto Sans CJK SC"/>
        <family val="2"/>
      </rPr>
      <t xml:space="preserve">年</t>
    </r>
    <r>
      <rPr>
        <sz val="10"/>
        <rFont val="Microsoft JhengHei"/>
        <family val="0"/>
        <charset val="1"/>
      </rPr>
      <t xml:space="preserve">15</t>
    </r>
    <r>
      <rPr>
        <sz val="10"/>
        <rFont val="Noto Sans CJK SC"/>
        <family val="2"/>
      </rPr>
      <t xml:space="preserve">日、</t>
    </r>
    <r>
      <rPr>
        <sz val="10"/>
        <rFont val="Microsoft JhengHei"/>
        <family val="0"/>
        <charset val="1"/>
      </rPr>
      <t xml:space="preserve">10</t>
    </r>
    <r>
      <rPr>
        <sz val="10"/>
        <rFont val="Noto Sans CJK SC"/>
        <family val="2"/>
      </rPr>
      <t xml:space="preserve">年以上每年加</t>
    </r>
    <r>
      <rPr>
        <sz val="10"/>
        <rFont val="Microsoft JhengHei"/>
        <family val="0"/>
        <charset val="1"/>
      </rPr>
      <t xml:space="preserve">1</t>
    </r>
    <r>
      <rPr>
        <sz val="10"/>
        <rFont val="Noto Sans CJK SC"/>
        <family val="2"/>
      </rPr>
      <t xml:space="preserve">日至</t>
    </r>
    <r>
      <rPr>
        <sz val="10"/>
        <rFont val="Microsoft JhengHei"/>
        <family val="0"/>
        <charset val="1"/>
      </rPr>
      <t xml:space="preserve">30</t>
    </r>
    <r>
      <rPr>
        <sz val="10"/>
        <rFont val="Noto Sans CJK SC"/>
        <family val="2"/>
      </rPr>
      <t xml:space="preserve">日</t>
    </r>
  </si>
  <si>
    <r>
      <rPr>
        <sz val="10"/>
        <rFont val="Noto Sans CJK SC"/>
        <family val="2"/>
      </rPr>
      <t xml:space="preserve">勞動基準法第</t>
    </r>
    <r>
      <rPr>
        <sz val="10"/>
        <rFont val="Microsoft JhengHei"/>
        <family val="0"/>
        <charset val="1"/>
      </rPr>
      <t xml:space="preserve">38</t>
    </r>
    <r>
      <rPr>
        <sz val="10"/>
        <rFont val="Noto Sans CJK SC"/>
        <family val="2"/>
      </rPr>
      <t xml:space="preserve">條</t>
    </r>
  </si>
  <si>
    <r>
      <rPr>
        <sz val="10"/>
        <rFont val="Noto Sans CJK SC"/>
        <family val="2"/>
      </rPr>
      <t xml:space="preserve">工資照給；年度終結或離職未休完須折發工資，由「流程</t>
    </r>
    <r>
      <rPr>
        <sz val="10"/>
        <rFont val="Microsoft JhengHei"/>
        <family val="0"/>
        <charset val="1"/>
      </rPr>
      <t xml:space="preserve">1_</t>
    </r>
    <r>
      <rPr>
        <sz val="10"/>
        <rFont val="Noto Sans CJK SC"/>
        <family val="2"/>
      </rPr>
      <t xml:space="preserve">特休與請假查詢」自動結算並帶入月結表</t>
    </r>
  </si>
  <si>
    <t xml:space="preserve">依申請</t>
  </si>
  <si>
    <t xml:space="preserve">不給薪（可申請勞保育嬰留職停薪津貼）</t>
  </si>
  <si>
    <r>
      <rPr>
        <b val="true"/>
        <sz val="11"/>
        <color rgb="FF1F4E79"/>
        <rFont val="Noto Sans CJK SC"/>
        <family val="2"/>
      </rPr>
      <t xml:space="preserve">加班別表（勞動基準法第</t>
    </r>
    <r>
      <rPr>
        <b val="true"/>
        <sz val="11"/>
        <color rgb="FF1F4E79"/>
        <rFont val="Microsoft JhengHei"/>
        <family val="0"/>
        <charset val="1"/>
      </rPr>
      <t xml:space="preserve">24</t>
    </r>
    <r>
      <rPr>
        <b val="true"/>
        <sz val="11"/>
        <color rgb="FF1F4E79"/>
        <rFont val="Noto Sans CJK SC"/>
        <family val="2"/>
      </rPr>
      <t xml:space="preserve">條、第</t>
    </r>
    <r>
      <rPr>
        <b val="true"/>
        <sz val="11"/>
        <color rgb="FF1F4E79"/>
        <rFont val="Microsoft JhengHei"/>
        <family val="0"/>
        <charset val="1"/>
      </rPr>
      <t xml:space="preserve">32</t>
    </r>
    <r>
      <rPr>
        <b val="true"/>
        <sz val="11"/>
        <color rgb="FF1F4E79"/>
        <rFont val="Noto Sans CJK SC"/>
        <family val="2"/>
      </rPr>
      <t xml:space="preserve">條、第</t>
    </r>
    <r>
      <rPr>
        <b val="true"/>
        <sz val="11"/>
        <color rgb="FF1F4E79"/>
        <rFont val="Microsoft JhengHei"/>
        <family val="0"/>
        <charset val="1"/>
      </rPr>
      <t xml:space="preserve">36</t>
    </r>
    <r>
      <rPr>
        <b val="true"/>
        <sz val="11"/>
        <color rgb="FF1F4E79"/>
        <rFont val="Noto Sans CJK SC"/>
        <family val="2"/>
      </rPr>
      <t xml:space="preserve">條、第</t>
    </r>
    <r>
      <rPr>
        <b val="true"/>
        <sz val="11"/>
        <color rgb="FF1F4E79"/>
        <rFont val="Microsoft JhengHei"/>
        <family val="0"/>
        <charset val="1"/>
      </rPr>
      <t xml:space="preserve">39</t>
    </r>
    <r>
      <rPr>
        <b val="true"/>
        <sz val="11"/>
        <color rgb="FF1F4E79"/>
        <rFont val="Noto Sans CJK SC"/>
        <family val="2"/>
      </rPr>
      <t xml:space="preserve">條）</t>
    </r>
  </si>
  <si>
    <t xml:space="preserve">加班別</t>
  </si>
  <si>
    <t xml:space="preserve">時段</t>
  </si>
  <si>
    <t xml:space="preserve">倍率</t>
  </si>
  <si>
    <t xml:space="preserve">計算方式</t>
  </si>
  <si>
    <t xml:space="preserve">平日延長工時</t>
  </si>
  <si>
    <r>
      <rPr>
        <sz val="10"/>
        <rFont val="Noto Sans CJK SC"/>
        <family val="2"/>
      </rPr>
      <t xml:space="preserve">第</t>
    </r>
    <r>
      <rPr>
        <sz val="10"/>
        <rFont val="Microsoft JhengHei"/>
        <family val="0"/>
        <charset val="1"/>
      </rPr>
      <t xml:space="preserve">1–2</t>
    </r>
    <r>
      <rPr>
        <sz val="10"/>
        <rFont val="Noto Sans CJK SC"/>
        <family val="2"/>
      </rPr>
      <t xml:space="preserve">小時</t>
    </r>
  </si>
  <si>
    <r>
      <rPr>
        <sz val="10"/>
        <rFont val="Noto Sans CJK SC"/>
        <family val="2"/>
      </rPr>
      <t xml:space="preserve">時數</t>
    </r>
    <r>
      <rPr>
        <sz val="10"/>
        <rFont val="Microsoft JhengHei"/>
        <family val="0"/>
        <charset val="1"/>
      </rPr>
      <t xml:space="preserve">×</t>
    </r>
    <r>
      <rPr>
        <sz val="10"/>
        <rFont val="Noto Sans CJK SC"/>
        <family val="2"/>
      </rPr>
      <t xml:space="preserve">時薪</t>
    </r>
    <r>
      <rPr>
        <sz val="10"/>
        <rFont val="Microsoft JhengHei"/>
        <family val="0"/>
        <charset val="1"/>
      </rPr>
      <t xml:space="preserve">×</t>
    </r>
    <r>
      <rPr>
        <sz val="10"/>
        <rFont val="Noto Sans CJK SC"/>
        <family val="2"/>
      </rPr>
      <t xml:space="preserve">倍率</t>
    </r>
  </si>
  <si>
    <r>
      <rPr>
        <sz val="10"/>
        <rFont val="Noto Sans CJK SC"/>
        <family val="2"/>
      </rPr>
      <t xml:space="preserve">加給</t>
    </r>
    <r>
      <rPr>
        <sz val="10"/>
        <rFont val="Microsoft JhengHei"/>
        <family val="0"/>
        <charset val="1"/>
      </rPr>
      <t xml:space="preserve">1/3</t>
    </r>
    <r>
      <rPr>
        <sz val="10"/>
        <rFont val="Noto Sans CJK SC"/>
        <family val="2"/>
      </rPr>
      <t xml:space="preserve">以上，不可用</t>
    </r>
    <r>
      <rPr>
        <sz val="10"/>
        <rFont val="Microsoft JhengHei"/>
        <family val="0"/>
        <charset val="1"/>
      </rPr>
      <t xml:space="preserve">1.33</t>
    </r>
  </si>
  <si>
    <r>
      <rPr>
        <sz val="10"/>
        <rFont val="Noto Sans CJK SC"/>
        <family val="2"/>
      </rPr>
      <t xml:space="preserve">第</t>
    </r>
    <r>
      <rPr>
        <sz val="10"/>
        <rFont val="Microsoft JhengHei"/>
        <family val="0"/>
        <charset val="1"/>
      </rPr>
      <t xml:space="preserve">3–4</t>
    </r>
    <r>
      <rPr>
        <sz val="10"/>
        <rFont val="Noto Sans CJK SC"/>
        <family val="2"/>
      </rPr>
      <t xml:space="preserve">小時</t>
    </r>
  </si>
  <si>
    <r>
      <rPr>
        <sz val="10"/>
        <rFont val="Noto Sans CJK SC"/>
        <family val="2"/>
      </rPr>
      <t xml:space="preserve">再延長</t>
    </r>
    <r>
      <rPr>
        <sz val="10"/>
        <rFont val="Microsoft JhengHei"/>
        <family val="0"/>
        <charset val="1"/>
      </rPr>
      <t xml:space="preserve">2</t>
    </r>
    <r>
      <rPr>
        <sz val="10"/>
        <rFont val="Noto Sans CJK SC"/>
        <family val="2"/>
      </rPr>
      <t xml:space="preserve">小時內加給</t>
    </r>
    <r>
      <rPr>
        <sz val="10"/>
        <rFont val="Microsoft JhengHei"/>
        <family val="0"/>
        <charset val="1"/>
      </rPr>
      <t xml:space="preserve">2/3</t>
    </r>
    <r>
      <rPr>
        <sz val="10"/>
        <rFont val="Noto Sans CJK SC"/>
        <family val="2"/>
      </rPr>
      <t xml:space="preserve">以上，不可用</t>
    </r>
    <r>
      <rPr>
        <sz val="10"/>
        <rFont val="Microsoft JhengHei"/>
        <family val="0"/>
        <charset val="1"/>
      </rPr>
      <t xml:space="preserve">1.66</t>
    </r>
  </si>
  <si>
    <t xml:space="preserve">休息日出勤</t>
  </si>
  <si>
    <r>
      <rPr>
        <sz val="10"/>
        <rFont val="Noto Sans CJK SC"/>
        <family val="2"/>
      </rPr>
      <t xml:space="preserve">前</t>
    </r>
    <r>
      <rPr>
        <sz val="10"/>
        <rFont val="Microsoft JhengHei"/>
        <family val="0"/>
        <charset val="1"/>
      </rPr>
      <t xml:space="preserve">2</t>
    </r>
    <r>
      <rPr>
        <sz val="10"/>
        <rFont val="Noto Sans CJK SC"/>
        <family val="2"/>
      </rPr>
      <t xml:space="preserve">小時</t>
    </r>
  </si>
  <si>
    <t xml:space="preserve">需勞工同意；核實計算時數</t>
  </si>
  <si>
    <r>
      <rPr>
        <sz val="10"/>
        <rFont val="Noto Sans CJK SC"/>
        <family val="2"/>
      </rPr>
      <t xml:space="preserve">第</t>
    </r>
    <r>
      <rPr>
        <sz val="10"/>
        <rFont val="Microsoft JhengHei"/>
        <family val="0"/>
        <charset val="1"/>
      </rPr>
      <t xml:space="preserve">3–8</t>
    </r>
    <r>
      <rPr>
        <sz val="10"/>
        <rFont val="Noto Sans CJK SC"/>
        <family val="2"/>
      </rPr>
      <t xml:space="preserve">小時</t>
    </r>
  </si>
  <si>
    <r>
      <rPr>
        <sz val="10"/>
        <rFont val="Noto Sans CJK SC"/>
        <family val="2"/>
      </rPr>
      <t xml:space="preserve">第</t>
    </r>
    <r>
      <rPr>
        <sz val="10"/>
        <rFont val="Microsoft JhengHei"/>
        <family val="0"/>
        <charset val="1"/>
      </rPr>
      <t xml:space="preserve">9–12</t>
    </r>
    <r>
      <rPr>
        <sz val="10"/>
        <rFont val="Noto Sans CJK SC"/>
        <family val="2"/>
      </rPr>
      <t xml:space="preserve">小時</t>
    </r>
  </si>
  <si>
    <t xml:space="preserve">國定假日（含經同意的特休日）出勤</t>
  </si>
  <si>
    <r>
      <rPr>
        <sz val="10"/>
        <rFont val="Microsoft JhengHei"/>
        <family val="0"/>
        <charset val="1"/>
      </rPr>
      <t xml:space="preserve">8</t>
    </r>
    <r>
      <rPr>
        <sz val="10"/>
        <rFont val="Noto Sans CJK SC"/>
        <family val="2"/>
      </rPr>
      <t xml:space="preserve">小時內</t>
    </r>
  </si>
  <si>
    <r>
      <rPr>
        <sz val="10"/>
        <rFont val="Noto Sans CJK SC"/>
        <family val="2"/>
      </rPr>
      <t xml:space="preserve">日數</t>
    </r>
    <r>
      <rPr>
        <sz val="10"/>
        <rFont val="Microsoft JhengHei"/>
        <family val="0"/>
        <charset val="1"/>
      </rPr>
      <t xml:space="preserve">×</t>
    </r>
    <r>
      <rPr>
        <sz val="10"/>
        <rFont val="Noto Sans CJK SC"/>
        <family val="2"/>
      </rPr>
      <t xml:space="preserve">日薪（加發一日工資）</t>
    </r>
  </si>
  <si>
    <r>
      <rPr>
        <sz val="10"/>
        <rFont val="Noto Sans CJK SC"/>
        <family val="2"/>
      </rPr>
      <t xml:space="preserve">月薪制當日工資已含，出勤另加發一日工資，不足</t>
    </r>
    <r>
      <rPr>
        <sz val="10"/>
        <rFont val="Microsoft JhengHei"/>
        <family val="0"/>
        <charset val="1"/>
      </rPr>
      <t xml:space="preserve">8</t>
    </r>
    <r>
      <rPr>
        <sz val="10"/>
        <rFont val="Noto Sans CJK SC"/>
        <family val="2"/>
      </rPr>
      <t xml:space="preserve">小時亦同</t>
    </r>
  </si>
  <si>
    <t xml:space="preserve">國定假日延長工時</t>
  </si>
  <si>
    <r>
      <rPr>
        <sz val="10"/>
        <rFont val="Noto Sans CJK SC"/>
        <family val="2"/>
      </rPr>
      <t xml:space="preserve">第</t>
    </r>
    <r>
      <rPr>
        <sz val="10"/>
        <rFont val="Microsoft JhengHei"/>
        <family val="0"/>
        <charset val="1"/>
      </rPr>
      <t xml:space="preserve">9–10</t>
    </r>
    <r>
      <rPr>
        <sz val="10"/>
        <rFont val="Noto Sans CJK SC"/>
        <family val="2"/>
      </rPr>
      <t xml:space="preserve">小時</t>
    </r>
  </si>
  <si>
    <r>
      <rPr>
        <sz val="10"/>
        <rFont val="Noto Sans CJK SC"/>
        <family val="2"/>
      </rPr>
      <t xml:space="preserve">第</t>
    </r>
    <r>
      <rPr>
        <sz val="10"/>
        <rFont val="Microsoft JhengHei"/>
        <family val="0"/>
        <charset val="1"/>
      </rPr>
      <t xml:space="preserve">11–12</t>
    </r>
    <r>
      <rPr>
        <sz val="10"/>
        <rFont val="Noto Sans CJK SC"/>
        <family val="2"/>
      </rPr>
      <t xml:space="preserve">小時</t>
    </r>
  </si>
  <si>
    <t xml:space="preserve">例假日出勤（限天災、事變、突發事件）</t>
  </si>
  <si>
    <t xml:space="preserve">須補假一日；非緊急情況不得要求例假日出勤</t>
  </si>
  <si>
    <t xml:space="preserve">例假日延長工時</t>
  </si>
  <si>
    <r>
      <rPr>
        <sz val="10"/>
        <rFont val="Noto Sans CJK SC"/>
        <family val="2"/>
      </rPr>
      <t xml:space="preserve">超過</t>
    </r>
    <r>
      <rPr>
        <sz val="10"/>
        <rFont val="Microsoft JhengHei"/>
        <family val="0"/>
        <charset val="1"/>
      </rPr>
      <t xml:space="preserve">8</t>
    </r>
    <r>
      <rPr>
        <sz val="10"/>
        <rFont val="Noto Sans CJK SC"/>
        <family val="2"/>
      </rPr>
      <t xml:space="preserve">小時</t>
    </r>
  </si>
  <si>
    <r>
      <rPr>
        <sz val="9"/>
        <color rgb="FF7F7F7F"/>
        <rFont val="Noto Sans CJK SC"/>
        <family val="2"/>
      </rPr>
      <t xml:space="preserve">每日正常工時連同延長工時不得超過</t>
    </r>
    <r>
      <rPr>
        <sz val="9"/>
        <color rgb="FF7F7F7F"/>
        <rFont val="Microsoft JhengHei"/>
        <family val="0"/>
        <charset val="1"/>
      </rPr>
      <t xml:space="preserve">12</t>
    </r>
    <r>
      <rPr>
        <sz val="9"/>
        <color rgb="FF7F7F7F"/>
        <rFont val="Noto Sans CJK SC"/>
        <family val="2"/>
      </rPr>
      <t xml:space="preserve">小時；每月延長工時上限</t>
    </r>
    <r>
      <rPr>
        <sz val="9"/>
        <color rgb="FF7F7F7F"/>
        <rFont val="Microsoft JhengHei"/>
        <family val="0"/>
        <charset val="1"/>
      </rPr>
      <t xml:space="preserve">46</t>
    </r>
    <r>
      <rPr>
        <sz val="9"/>
        <color rgb="FF7F7F7F"/>
        <rFont val="Noto Sans CJK SC"/>
        <family val="2"/>
      </rPr>
      <t xml:space="preserve">小時（經工會或勞資會議同意，可單月</t>
    </r>
    <r>
      <rPr>
        <sz val="9"/>
        <color rgb="FF7F7F7F"/>
        <rFont val="Microsoft JhengHei"/>
        <family val="0"/>
        <charset val="1"/>
      </rPr>
      <t xml:space="preserve">54</t>
    </r>
    <r>
      <rPr>
        <sz val="9"/>
        <color rgb="FF7F7F7F"/>
        <rFont val="Noto Sans CJK SC"/>
        <family val="2"/>
      </rPr>
      <t xml:space="preserve">小時、</t>
    </r>
    <r>
      <rPr>
        <sz val="9"/>
        <color rgb="FF7F7F7F"/>
        <rFont val="Microsoft JhengHei"/>
        <family val="0"/>
        <charset val="1"/>
      </rPr>
      <t xml:space="preserve">3</t>
    </r>
    <r>
      <rPr>
        <sz val="9"/>
        <color rgb="FF7F7F7F"/>
        <rFont val="Noto Sans CJK SC"/>
        <family val="2"/>
      </rPr>
      <t xml:space="preserve">個月合計不超過</t>
    </r>
    <r>
      <rPr>
        <sz val="9"/>
        <color rgb="FF7F7F7F"/>
        <rFont val="Microsoft JhengHei"/>
        <family val="0"/>
        <charset val="1"/>
      </rPr>
      <t xml:space="preserve">138</t>
    </r>
    <r>
      <rPr>
        <sz val="9"/>
        <color rgb="FF7F7F7F"/>
        <rFont val="Noto Sans CJK SC"/>
        <family val="2"/>
      </rPr>
      <t xml:space="preserve">小時）。</t>
    </r>
  </si>
  <si>
    <r>
      <rPr>
        <sz val="9"/>
        <color rgb="FF7F7F7F"/>
        <rFont val="Noto Sans CJK SC"/>
        <family val="2"/>
      </rPr>
      <t xml:space="preserve">法規來源：勞動部、</t>
    </r>
    <r>
      <rPr>
        <sz val="9"/>
        <color rgb="FF7F7F7F"/>
        <rFont val="Microsoft JhengHei"/>
        <family val="0"/>
        <charset val="1"/>
      </rPr>
      <t xml:space="preserve">104</t>
    </r>
    <r>
      <rPr>
        <sz val="9"/>
        <color rgb="FF7F7F7F"/>
        <rFont val="Noto Sans CJK SC"/>
        <family val="2"/>
      </rPr>
      <t xml:space="preserve">人資學院等公開資料整理（查詢日期：</t>
    </r>
    <r>
      <rPr>
        <sz val="9"/>
        <color rgb="FF7F7F7F"/>
        <rFont val="Microsoft JhengHei"/>
        <family val="0"/>
        <charset val="1"/>
      </rPr>
      <t xml:space="preserve">2026-10-20</t>
    </r>
    <r>
      <rPr>
        <sz val="9"/>
        <color rgb="FF7F7F7F"/>
        <rFont val="Noto Sans CJK SC"/>
        <family val="2"/>
      </rPr>
      <t xml:space="preserve">），正式適用請以最新法規與公司工作規則為準。</t>
    </r>
  </si>
  <si>
    <t xml:space="preserve">員工出勤紀錄（逐日、精確到分鐘）</t>
  </si>
  <si>
    <r>
      <rPr>
        <sz val="9"/>
        <color rgb="FF7F7F7F"/>
        <rFont val="Noto Sans CJK SC"/>
        <family val="2"/>
      </rPr>
      <t xml:space="preserve">依勞基法第</t>
    </r>
    <r>
      <rPr>
        <sz val="9"/>
        <color rgb="FF7F7F7F"/>
        <rFont val="Microsoft JhengHei"/>
        <family val="0"/>
        <charset val="1"/>
      </rPr>
      <t xml:space="preserve">30</t>
    </r>
    <r>
      <rPr>
        <sz val="9"/>
        <color rgb="FF7F7F7F"/>
        <rFont val="Noto Sans CJK SC"/>
        <family val="2"/>
      </rPr>
      <t xml:space="preserve">條：逐日記載出勤情形至分鐘，保存</t>
    </r>
    <r>
      <rPr>
        <sz val="9"/>
        <color rgb="FF7F7F7F"/>
        <rFont val="Microsoft JhengHei"/>
        <family val="0"/>
        <charset val="1"/>
      </rPr>
      <t xml:space="preserve">5</t>
    </r>
    <r>
      <rPr>
        <sz val="9"/>
        <color rgb="FF7F7F7F"/>
        <rFont val="Noto Sans CJK SC"/>
        <family val="2"/>
      </rPr>
      <t xml:space="preserve">年；須以實際打卡時間填寫，不得以表定時間代替；勞工得申請副本</t>
    </r>
  </si>
  <si>
    <t xml:space="preserve">日期</t>
  </si>
  <si>
    <t xml:space="preserve">日別</t>
  </si>
  <si>
    <t xml:space="preserve">上班打卡</t>
  </si>
  <si>
    <t xml:space="preserve">下班打卡</t>
  </si>
  <si>
    <r>
      <rPr>
        <b val="true"/>
        <sz val="11"/>
        <color rgb="FFFFFFFF"/>
        <rFont val="Noto Sans CJK SC"/>
        <family val="2"/>
      </rPr>
      <t xml:space="preserve">休息</t>
    </r>
    <r>
      <rPr>
        <b val="true"/>
        <sz val="11"/>
        <color rgb="FFFFFFFF"/>
        <rFont val="Microsoft JhengHei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分</t>
    </r>
    <r>
      <rPr>
        <b val="true"/>
        <sz val="11"/>
        <color rgb="FFFFFFFF"/>
        <rFont val="Microsoft JhengHei"/>
        <family val="0"/>
        <charset val="1"/>
      </rPr>
      <t xml:space="preserve">)</t>
    </r>
  </si>
  <si>
    <t xml:space="preserve">工作時數</t>
  </si>
  <si>
    <t xml:space="preserve">加班時數</t>
  </si>
  <si>
    <t xml:space="preserve">加班同意</t>
  </si>
  <si>
    <t xml:space="preserve">檢核</t>
  </si>
  <si>
    <t xml:space="preserve">請假別（請假日填）</t>
  </si>
  <si>
    <t xml:space="preserve">平日</t>
  </si>
  <si>
    <t xml:space="preserve">是</t>
  </si>
  <si>
    <t xml:space="preserve">否</t>
  </si>
  <si>
    <t xml:space="preserve">休息日</t>
  </si>
  <si>
    <r>
      <rPr>
        <sz val="9"/>
        <color rgb="FF7F7F7F"/>
        <rFont val="Noto Sans CJK SC"/>
        <family val="2"/>
      </rPr>
      <t xml:space="preserve">範例僅示意，未與月結表逐筆對應；打卡鐘資料可匯出後貼入。加班需事前取得勞工同意；每日工作（含加班）不得逾</t>
    </r>
    <r>
      <rPr>
        <sz val="9"/>
        <color rgb="FF7F7F7F"/>
        <rFont val="Microsoft JhengHei"/>
        <family val="0"/>
        <charset val="1"/>
      </rPr>
      <t xml:space="preserve">12</t>
    </r>
    <r>
      <rPr>
        <sz val="9"/>
        <color rgb="FF7F7F7F"/>
        <rFont val="Noto Sans CJK SC"/>
        <family val="2"/>
      </rPr>
      <t xml:space="preserve">小時，每月延長工時另有上限。</t>
    </r>
  </si>
  <si>
    <t xml:space="preserve">請假申請登記</t>
  </si>
  <si>
    <r>
      <rPr>
        <sz val="9"/>
        <color rgb="FF7F7F7F"/>
        <rFont val="Noto Sans CJK SC"/>
        <family val="2"/>
      </rPr>
      <t xml:space="preserve">勞工有正當事由即得請假（勞基法第</t>
    </r>
    <r>
      <rPr>
        <sz val="9"/>
        <color rgb="FF7F7F7F"/>
        <rFont val="Microsoft JhengHei"/>
        <family val="0"/>
        <charset val="1"/>
      </rPr>
      <t xml:space="preserve">43</t>
    </r>
    <r>
      <rPr>
        <sz val="9"/>
        <color rgb="FF7F7F7F"/>
        <rFont val="Noto Sans CJK SC"/>
        <family val="2"/>
      </rPr>
      <t xml:space="preserve">條）；主管為「確認」而非核准；職務代理人為內部工作安排，非准假條件；急病或緊急事故得委託他人代辦（勞工請假規則第</t>
    </r>
    <r>
      <rPr>
        <sz val="9"/>
        <color rgb="FF7F7F7F"/>
        <rFont val="Microsoft JhengHei"/>
        <family val="0"/>
        <charset val="1"/>
      </rPr>
      <t xml:space="preserve">10</t>
    </r>
    <r>
      <rPr>
        <sz val="9"/>
        <color rgb="FF7F7F7F"/>
        <rFont val="Noto Sans CJK SC"/>
        <family val="2"/>
      </rPr>
      <t xml:space="preserve">條）</t>
    </r>
  </si>
  <si>
    <r>
      <rPr>
        <b val="true"/>
        <sz val="10"/>
        <color rgb="FF1F4E79"/>
        <rFont val="Noto Sans CJK SC"/>
        <family val="2"/>
      </rPr>
      <t xml:space="preserve">員工名單（新增員工請在此補上；證號別 </t>
    </r>
    <r>
      <rPr>
        <b val="true"/>
        <sz val="10"/>
        <color rgb="FF1F4E79"/>
        <rFont val="Microsoft JhengHei"/>
        <family val="0"/>
        <charset val="1"/>
      </rPr>
      <t xml:space="preserve">0</t>
    </r>
    <r>
      <rPr>
        <b val="true"/>
        <sz val="10"/>
        <color rgb="FF1F4E79"/>
        <rFont val="Noto Sans CJK SC"/>
        <family val="2"/>
      </rPr>
      <t xml:space="preserve">＝本國個人、</t>
    </r>
    <r>
      <rPr>
        <b val="true"/>
        <sz val="10"/>
        <color rgb="FF1F4E79"/>
        <rFont val="Microsoft JhengHei"/>
        <family val="0"/>
        <charset val="1"/>
      </rPr>
      <t xml:space="preserve">3</t>
    </r>
    <r>
      <rPr>
        <b val="true"/>
        <sz val="10"/>
        <color rgb="FF1F4E79"/>
        <rFont val="Noto Sans CJK SC"/>
        <family val="2"/>
      </rPr>
      <t xml:space="preserve">＝居住滿</t>
    </r>
    <r>
      <rPr>
        <b val="true"/>
        <sz val="10"/>
        <color rgb="FF1F4E79"/>
        <rFont val="Microsoft JhengHei"/>
        <family val="0"/>
        <charset val="1"/>
      </rPr>
      <t xml:space="preserve">183</t>
    </r>
    <r>
      <rPr>
        <b val="true"/>
        <sz val="10"/>
        <color rgb="FF1F4E79"/>
        <rFont val="Noto Sans CJK SC"/>
        <family val="2"/>
      </rPr>
      <t xml:space="preserve">天之外僑；戶籍地址供所得申報檔使用）</t>
    </r>
  </si>
  <si>
    <t xml:space="preserve">申請編號</t>
  </si>
  <si>
    <t xml:space="preserve">公司別</t>
  </si>
  <si>
    <t xml:space="preserve">申請日期</t>
  </si>
  <si>
    <t xml:space="preserve">申請人</t>
  </si>
  <si>
    <t xml:space="preserve">部門</t>
  </si>
  <si>
    <t xml:space="preserve">起始日期</t>
  </si>
  <si>
    <t xml:space="preserve">結束日期</t>
  </si>
  <si>
    <t xml:space="preserve">事由</t>
  </si>
  <si>
    <t xml:space="preserve">職務代理人</t>
  </si>
  <si>
    <t xml:space="preserve">代理人確認</t>
  </si>
  <si>
    <t xml:space="preserve">主管確認</t>
  </si>
  <si>
    <t xml:space="preserve">證明文件</t>
  </si>
  <si>
    <t xml:space="preserve">急病／緊急事故代辦</t>
  </si>
  <si>
    <t xml:space="preserve">代辦人</t>
  </si>
  <si>
    <t xml:space="preserve">離職日</t>
  </si>
  <si>
    <t xml:space="preserve">證號別</t>
  </si>
  <si>
    <t xml:space="preserve">戶籍地址</t>
  </si>
  <si>
    <t xml:space="preserve">LEAVE-202610-001</t>
  </si>
  <si>
    <t xml:space="preserve">文創科技股份有限公司</t>
  </si>
  <si>
    <t xml:space="preserve">就診休養</t>
  </si>
  <si>
    <t xml:space="preserve">已同意</t>
  </si>
  <si>
    <t xml:space="preserve">已確認</t>
  </si>
  <si>
    <t xml:space="preserve">就診證明／門診收據</t>
  </si>
  <si>
    <t xml:space="preserve">企劃部</t>
  </si>
  <si>
    <t xml:space="preserve">0</t>
  </si>
  <si>
    <r>
      <rPr>
        <sz val="10"/>
        <rFont val="Noto Sans CJK SC"/>
        <family val="2"/>
      </rPr>
      <t xml:space="preserve">台北市範例區範例路</t>
    </r>
    <r>
      <rPr>
        <sz val="10"/>
        <rFont val="Microsoft JhengHei"/>
        <family val="0"/>
        <charset val="1"/>
      </rPr>
      <t xml:space="preserve">1</t>
    </r>
    <r>
      <rPr>
        <sz val="10"/>
        <rFont val="Noto Sans CJK SC"/>
        <family val="2"/>
      </rPr>
      <t xml:space="preserve">號</t>
    </r>
  </si>
  <si>
    <t xml:space="preserve">LEAVE-202610-002</t>
  </si>
  <si>
    <t xml:space="preserve">家中事務</t>
  </si>
  <si>
    <t xml:space="preserve">工程部</t>
  </si>
  <si>
    <r>
      <rPr>
        <sz val="10"/>
        <rFont val="Noto Sans CJK SC"/>
        <family val="2"/>
      </rPr>
      <t xml:space="preserve">台北市範例區範例路</t>
    </r>
    <r>
      <rPr>
        <sz val="10"/>
        <rFont val="Microsoft JhengHei"/>
        <family val="0"/>
        <charset val="1"/>
      </rPr>
      <t xml:space="preserve">2</t>
    </r>
    <r>
      <rPr>
        <sz val="10"/>
        <rFont val="Noto Sans CJK SC"/>
        <family val="2"/>
      </rPr>
      <t xml:space="preserve">號</t>
    </r>
  </si>
  <si>
    <t xml:space="preserve">LEAVE-202610-003</t>
  </si>
  <si>
    <t xml:space="preserve">特休</t>
  </si>
  <si>
    <t xml:space="preserve">行政部</t>
  </si>
  <si>
    <r>
      <rPr>
        <sz val="10"/>
        <rFont val="Noto Sans CJK SC"/>
        <family val="2"/>
      </rPr>
      <t xml:space="preserve">台北市範例區範例路</t>
    </r>
    <r>
      <rPr>
        <sz val="10"/>
        <rFont val="Microsoft JhengHei"/>
        <family val="0"/>
        <charset val="1"/>
      </rPr>
      <t xml:space="preserve">3</t>
    </r>
    <r>
      <rPr>
        <sz val="10"/>
        <rFont val="Noto Sans CJK SC"/>
        <family val="2"/>
      </rPr>
      <t xml:space="preserve">號</t>
    </r>
  </si>
  <si>
    <t xml:space="preserve">說明：「需補證明」僅用於請勞工補件，不等於拒絕給假；生理假等依性別平等工作法不需證明。</t>
  </si>
  <si>
    <r>
      <rPr>
        <sz val="9"/>
        <color rgb="FF7F7F7F"/>
        <rFont val="Noto Sans CJK SC"/>
        <family val="2"/>
      </rPr>
      <t xml:space="preserve">假別與給薪規則見「流程</t>
    </r>
    <r>
      <rPr>
        <sz val="9"/>
        <color rgb="FF7F7F7F"/>
        <rFont val="Microsoft JhengHei"/>
        <family val="0"/>
        <charset val="1"/>
      </rPr>
      <t xml:space="preserve">1_</t>
    </r>
    <r>
      <rPr>
        <sz val="9"/>
        <color rgb="FF7F7F7F"/>
        <rFont val="Noto Sans CJK SC"/>
        <family val="2"/>
      </rPr>
      <t xml:space="preserve">參數」；請假日數累計後填入「流程</t>
    </r>
    <r>
      <rPr>
        <sz val="9"/>
        <color rgb="FF7F7F7F"/>
        <rFont val="Microsoft JhengHei"/>
        <family val="0"/>
        <charset val="1"/>
      </rPr>
      <t xml:space="preserve">1_</t>
    </r>
    <r>
      <rPr>
        <sz val="9"/>
        <color rgb="FF7F7F7F"/>
        <rFont val="Noto Sans CJK SC"/>
        <family val="2"/>
      </rPr>
      <t xml:space="preserve">月結表」對應假別欄。</t>
    </r>
  </si>
  <si>
    <t xml:space="preserve">特休餘額、請假累計與未休工資結算（曆年制）</t>
  </si>
  <si>
    <r>
      <rPr>
        <sz val="9"/>
        <color rgb="FF7F7F7F"/>
        <rFont val="Noto Sans CJK SC"/>
        <family val="2"/>
      </rPr>
      <t xml:space="preserve">曆年制：每年</t>
    </r>
    <r>
      <rPr>
        <sz val="9"/>
        <color rgb="FF7F7F7F"/>
        <rFont val="Microsoft JhengHei"/>
        <family val="0"/>
        <charset val="1"/>
      </rPr>
      <t xml:space="preserve">1/1–12/31</t>
    </r>
    <r>
      <rPr>
        <sz val="9"/>
        <color rgb="FF7F7F7F"/>
        <rFont val="Noto Sans CJK SC"/>
        <family val="2"/>
      </rPr>
      <t xml:space="preserve">，依年資分段按比例換算；年度終結或離職未休完須折發工資（勞基法第</t>
    </r>
    <r>
      <rPr>
        <sz val="9"/>
        <color rgb="FF7F7F7F"/>
        <rFont val="Microsoft JhengHei"/>
        <family val="0"/>
        <charset val="1"/>
      </rPr>
      <t xml:space="preserve">38</t>
    </r>
    <r>
      <rPr>
        <sz val="9"/>
        <color rgb="FF7F7F7F"/>
        <rFont val="Noto Sans CJK SC"/>
        <family val="2"/>
      </rPr>
      <t xml:space="preserve">條第</t>
    </r>
    <r>
      <rPr>
        <sz val="9"/>
        <color rgb="FF7F7F7F"/>
        <rFont val="Microsoft JhengHei"/>
        <family val="0"/>
        <charset val="1"/>
      </rPr>
      <t xml:space="preserve">4</t>
    </r>
    <r>
      <rPr>
        <sz val="9"/>
        <color rgb="FF7F7F7F"/>
        <rFont val="Noto Sans CJK SC"/>
        <family val="2"/>
      </rPr>
      <t xml:space="preserve">項、施行細則第</t>
    </r>
    <r>
      <rPr>
        <sz val="9"/>
        <color rgb="FF7F7F7F"/>
        <rFont val="Microsoft JhengHei"/>
        <family val="0"/>
        <charset val="1"/>
      </rPr>
      <t xml:space="preserve">24</t>
    </r>
    <r>
      <rPr>
        <sz val="9"/>
        <color rgb="FF7F7F7F"/>
        <rFont val="Noto Sans CJK SC"/>
        <family val="2"/>
      </rPr>
      <t xml:space="preserve">條之</t>
    </r>
    <r>
      <rPr>
        <sz val="9"/>
        <color rgb="FF7F7F7F"/>
        <rFont val="Microsoft JhengHei"/>
        <family val="0"/>
        <charset val="1"/>
      </rPr>
      <t xml:space="preserve">1</t>
    </r>
    <r>
      <rPr>
        <sz val="9"/>
        <color rgb="FF7F7F7F"/>
        <rFont val="Noto Sans CJK SC"/>
        <family val="2"/>
      </rPr>
      <t xml:space="preserve">）；僅計入主管已確認的請假</t>
    </r>
  </si>
  <si>
    <t xml:space="preserve">基準日</t>
  </si>
  <si>
    <r>
      <rPr>
        <b val="true"/>
        <sz val="10"/>
        <rFont val="Noto Sans CJK SC"/>
        <family val="2"/>
      </rPr>
      <t xml:space="preserve">特休進位單位</t>
    </r>
    <r>
      <rPr>
        <b val="true"/>
        <sz val="10"/>
        <rFont val="Microsoft JhengHei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日</t>
    </r>
    <r>
      <rPr>
        <b val="true"/>
        <sz val="10"/>
        <rFont val="Microsoft JhengHei"/>
        <family val="0"/>
        <charset val="1"/>
      </rPr>
      <t xml:space="preserve">)</t>
    </r>
  </si>
  <si>
    <r>
      <rPr>
        <sz val="9"/>
        <color rgb="FF7F7F7F"/>
        <rFont val="Noto Sans CJK SC"/>
        <family val="2"/>
      </rPr>
      <t xml:space="preserve">結算方式：年度結算請把基準日設為</t>
    </r>
    <r>
      <rPr>
        <sz val="9"/>
        <color rgb="FF7F7F7F"/>
        <rFont val="Microsoft JhengHei"/>
        <family val="0"/>
        <charset val="1"/>
      </rPr>
      <t xml:space="preserve">12/31</t>
    </r>
    <r>
      <rPr>
        <sz val="9"/>
        <color rgb="FF7F7F7F"/>
        <rFont val="Noto Sans CJK SC"/>
        <family val="2"/>
      </rPr>
      <t xml:space="preserve">，金額併入次年</t>
    </r>
    <r>
      <rPr>
        <sz val="9"/>
        <color rgb="FF7F7F7F"/>
        <rFont val="Microsoft JhengHei"/>
        <family val="0"/>
        <charset val="1"/>
      </rPr>
      <t xml:space="preserve">1</t>
    </r>
    <r>
      <rPr>
        <sz val="9"/>
        <color rgb="FF7F7F7F"/>
        <rFont val="Noto Sans CJK SC"/>
        <family val="2"/>
      </rPr>
      <t xml:space="preserve">月薪資（法定年度終結後</t>
    </r>
    <r>
      <rPr>
        <sz val="9"/>
        <color rgb="FF7F7F7F"/>
        <rFont val="Microsoft JhengHei"/>
        <family val="0"/>
        <charset val="1"/>
      </rPr>
      <t xml:space="preserve">30</t>
    </r>
    <r>
      <rPr>
        <sz val="9"/>
        <color rgb="FF7F7F7F"/>
        <rFont val="Noto Sans CJK SC"/>
        <family val="2"/>
      </rPr>
      <t xml:space="preserve">日內發給）；離職請在名單填離職日，基準日設為離職日，離職當日結清。</t>
    </r>
  </si>
  <si>
    <r>
      <rPr>
        <b val="true"/>
        <sz val="11"/>
        <color rgb="FFFFFFFF"/>
        <rFont val="Noto Sans CJK SC"/>
        <family val="2"/>
      </rPr>
      <t xml:space="preserve">年資</t>
    </r>
    <r>
      <rPr>
        <b val="true"/>
        <sz val="11"/>
        <color rgb="FFFFFFFF"/>
        <rFont val="Microsoft JhengHei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月</t>
    </r>
    <r>
      <rPr>
        <b val="true"/>
        <sz val="11"/>
        <color rgb="FFFFFFFF"/>
        <rFont val="Microsoft JhengHei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</si>
  <si>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曆年應有特休</t>
    </r>
    <r>
      <rPr>
        <b val="true"/>
        <sz val="11"/>
        <color rgb="FFFFFFFF"/>
        <rFont val="Microsoft JhengHei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按比例</t>
    </r>
    <r>
      <rPr>
        <b val="true"/>
        <sz val="11"/>
        <color rgb="FFFFFFFF"/>
        <rFont val="Microsoft JhengHei"/>
        <family val="0"/>
        <charset val="1"/>
      </rPr>
      <t xml:space="preserve">,</t>
    </r>
    <r>
      <rPr>
        <b val="true"/>
        <sz val="11"/>
        <color rgb="FFFFFFFF"/>
        <rFont val="Noto Sans CJK SC"/>
        <family val="2"/>
      </rPr>
      <t xml:space="preserve">日</t>
    </r>
    <r>
      <rPr>
        <b val="true"/>
        <sz val="11"/>
        <color rgb="FFFFFFFF"/>
        <rFont val="Microsoft JhengHei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</si>
  <si>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上年度遞延至本年</t>
    </r>
    <r>
      <rPr>
        <b val="true"/>
        <sz val="11"/>
        <color rgb="FFFFFFFF"/>
        <rFont val="Microsoft JhengHei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日</t>
    </r>
    <r>
      <rPr>
        <b val="true"/>
        <sz val="11"/>
        <color rgb="FFFFFFFF"/>
        <rFont val="Microsoft JhengHei"/>
        <family val="0"/>
        <charset val="1"/>
      </rPr>
      <t xml:space="preserve">)</t>
    </r>
  </si>
  <si>
    <t xml:space="preserve">本年度可休合計</t>
  </si>
  <si>
    <r>
      <rPr>
        <b val="true"/>
        <sz val="11"/>
        <color rgb="FFFFFFFF"/>
        <rFont val="Noto Sans CJK SC"/>
        <family val="2"/>
      </rPr>
      <t xml:space="preserve">已休特休</t>
    </r>
    <r>
      <rPr>
        <b val="true"/>
        <sz val="11"/>
        <color rgb="FFFFFFFF"/>
        <rFont val="Microsoft JhengHei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日</t>
    </r>
    <r>
      <rPr>
        <b val="true"/>
        <sz val="11"/>
        <color rgb="FFFFFFFF"/>
        <rFont val="Microsoft JhengHei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</si>
  <si>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剩餘特休</t>
    </r>
    <r>
      <rPr>
        <b val="true"/>
        <sz val="11"/>
        <color rgb="FFFFFFFF"/>
        <rFont val="Microsoft JhengHei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日</t>
    </r>
    <r>
      <rPr>
        <b val="true"/>
        <sz val="11"/>
        <color rgb="FFFFFFFF"/>
        <rFont val="Microsoft JhengHei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</si>
  <si>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本年度再遞延至次年</t>
    </r>
    <r>
      <rPr>
        <b val="true"/>
        <sz val="11"/>
        <color rgb="FFFFFFFF"/>
        <rFont val="Microsoft JhengHei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日</t>
    </r>
    <r>
      <rPr>
        <b val="true"/>
        <sz val="11"/>
        <color rgb="FFFFFFFF"/>
        <rFont val="Microsoft JhengHei"/>
        <family val="0"/>
        <charset val="1"/>
      </rPr>
      <t xml:space="preserve">)</t>
    </r>
  </si>
  <si>
    <t xml:space="preserve">結算類別</t>
  </si>
  <si>
    <r>
      <rPr>
        <b val="true"/>
        <sz val="11"/>
        <color rgb="FFFFFFFF"/>
        <rFont val="Noto Sans CJK SC"/>
        <family val="2"/>
      </rPr>
      <t xml:space="preserve">遞延日數未休</t>
    </r>
    <r>
      <rPr>
        <b val="true"/>
        <sz val="11"/>
        <color rgb="FFFFFFFF"/>
        <rFont val="Microsoft JhengHei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折發日</t>
    </r>
    <r>
      <rPr>
        <b val="true"/>
        <sz val="11"/>
        <color rgb="FFFFFFFF"/>
        <rFont val="Microsoft JhengHei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</si>
  <si>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本年度未休</t>
    </r>
    <r>
      <rPr>
        <b val="true"/>
        <sz val="11"/>
        <color rgb="FFFFFFFF"/>
        <rFont val="Microsoft JhengHei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折發日</t>
    </r>
    <r>
      <rPr>
        <b val="true"/>
        <sz val="11"/>
        <color rgb="FFFFFFFF"/>
        <rFont val="Microsoft JhengHei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</si>
  <si>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一日工資</t>
    </r>
    <r>
      <rPr>
        <b val="true"/>
        <sz val="11"/>
        <color rgb="FFFFFFFF"/>
        <rFont val="Microsoft JhengHei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結算基準</t>
    </r>
    <r>
      <rPr>
        <b val="true"/>
        <sz val="11"/>
        <color rgb="FFFFFFFF"/>
        <rFont val="Microsoft JhengHei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</si>
  <si>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遞延原年度日薪</t>
    </r>
    <r>
      <rPr>
        <b val="true"/>
        <sz val="11"/>
        <color rgb="FFFFFFFF"/>
        <rFont val="Microsoft JhengHei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空白＝沿用</t>
    </r>
    <r>
      <rPr>
        <b val="true"/>
        <sz val="11"/>
        <color rgb="FFFFFFFF"/>
        <rFont val="Microsoft JhengHei"/>
        <family val="0"/>
        <charset val="1"/>
      </rPr>
      <t xml:space="preserve">)</t>
    </r>
  </si>
  <si>
    <t xml:space="preserve">應折發未休特休工資</t>
  </si>
  <si>
    <t xml:space="preserve">病假（普通傷病假）（已休日）</t>
  </si>
  <si>
    <t xml:space="preserve">事假（已休日）</t>
  </si>
  <si>
    <t xml:space="preserve">家庭照顧假（已休日）</t>
  </si>
  <si>
    <t xml:space="preserve">生理假（已休日）</t>
  </si>
  <si>
    <t xml:space="preserve">安胎休養假（已休日）</t>
  </si>
  <si>
    <t xml:space="preserve">婚假（已休日）</t>
  </si>
  <si>
    <t xml:space="preserve">喪假（已休日）</t>
  </si>
  <si>
    <t xml:space="preserve">產假（已休日）</t>
  </si>
  <si>
    <t xml:space="preserve">產檢假（已休日）</t>
  </si>
  <si>
    <t xml:space="preserve">陪產檢及陪產假（已休日）</t>
  </si>
  <si>
    <t xml:space="preserve">公傷病假（已休日）</t>
  </si>
  <si>
    <t xml:space="preserve">公假（已休日）</t>
  </si>
  <si>
    <t xml:space="preserve">特別休假（已休日）</t>
  </si>
  <si>
    <t xml:space="preserve">育嬰留職停薪（已休日）</t>
  </si>
  <si>
    <r>
      <rPr>
        <b val="true"/>
        <sz val="11"/>
        <color rgb="FFFFFFFF"/>
        <rFont val="Noto Sans CJK SC"/>
        <family val="2"/>
      </rPr>
      <t xml:space="preserve">病假剩餘</t>
    </r>
    <r>
      <rPr>
        <b val="true"/>
        <sz val="11"/>
        <color rgb="FFFFFFFF"/>
        <rFont val="Microsoft JhengHei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日</t>
    </r>
    <r>
      <rPr>
        <b val="true"/>
        <sz val="11"/>
        <color rgb="FFFFFFFF"/>
        <rFont val="Microsoft JhengHei"/>
        <family val="0"/>
        <charset val="1"/>
      </rPr>
      <t xml:space="preserve">,</t>
    </r>
    <r>
      <rPr>
        <b val="true"/>
        <sz val="11"/>
        <color rgb="FFFFFFFF"/>
        <rFont val="Noto Sans CJK SC"/>
        <family val="2"/>
      </rPr>
      <t xml:space="preserve">以</t>
    </r>
    <r>
      <rPr>
        <b val="true"/>
        <sz val="11"/>
        <color rgb="FFFFFFFF"/>
        <rFont val="Microsoft JhengHei"/>
        <family val="0"/>
        <charset val="1"/>
      </rPr>
      <t xml:space="preserve">30</t>
    </r>
    <r>
      <rPr>
        <b val="true"/>
        <sz val="11"/>
        <color rgb="FFFFFFFF"/>
        <rFont val="Noto Sans CJK SC"/>
        <family val="2"/>
      </rPr>
      <t xml:space="preserve">日計</t>
    </r>
    <r>
      <rPr>
        <b val="true"/>
        <sz val="11"/>
        <color rgb="FFFFFFFF"/>
        <rFont val="Microsoft JhengHei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</si>
  <si>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事假剩餘</t>
    </r>
    <r>
      <rPr>
        <b val="true"/>
        <sz val="11"/>
        <color rgb="FFFFFFFF"/>
        <rFont val="Microsoft JhengHei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日</t>
    </r>
    <r>
      <rPr>
        <b val="true"/>
        <sz val="11"/>
        <color rgb="FFFFFFFF"/>
        <rFont val="Microsoft JhengHei"/>
        <family val="0"/>
        <charset val="1"/>
      </rPr>
      <t xml:space="preserve">,</t>
    </r>
    <r>
      <rPr>
        <b val="true"/>
        <sz val="11"/>
        <color rgb="FFFFFFFF"/>
        <rFont val="Noto Sans CJK SC"/>
        <family val="2"/>
      </rPr>
      <t xml:space="preserve">以</t>
    </r>
    <r>
      <rPr>
        <b val="true"/>
        <sz val="11"/>
        <color rgb="FFFFFFFF"/>
        <rFont val="Microsoft JhengHei"/>
        <family val="0"/>
        <charset val="1"/>
      </rPr>
      <t xml:space="preserve">14</t>
    </r>
    <r>
      <rPr>
        <b val="true"/>
        <sz val="11"/>
        <color rgb="FFFFFFFF"/>
        <rFont val="Noto Sans CJK SC"/>
        <family val="2"/>
      </rPr>
      <t xml:space="preserve">日計</t>
    </r>
    <r>
      <rPr>
        <b val="true"/>
        <sz val="11"/>
        <color rgb="FFFFFFFF"/>
        <rFont val="Microsoft JhengHei"/>
        <family val="0"/>
        <charset val="1"/>
      </rPr>
      <t xml:space="preserve">)</t>
    </r>
  </si>
  <si>
    <t xml:space="preserve">計算止日</t>
  </si>
  <si>
    <r>
      <rPr>
        <b val="true"/>
        <sz val="11"/>
        <color rgb="FFFFFFFF"/>
        <rFont val="Noto Sans CJK SC"/>
        <family val="2"/>
      </rPr>
      <t xml:space="preserve">分段點</t>
    </r>
    <r>
      <rPr>
        <b val="true"/>
        <sz val="11"/>
        <color rgb="FFFFFFFF"/>
        <rFont val="Microsoft JhengHei"/>
        <family val="0"/>
        <charset val="1"/>
      </rPr>
      <t xml:space="preserve">1</t>
    </r>
  </si>
  <si>
    <r>
      <rPr>
        <b val="true"/>
        <sz val="11"/>
        <color rgb="FFFFFFFF"/>
        <rFont val="Noto Sans CJK SC"/>
        <family val="2"/>
      </rPr>
      <t xml:space="preserve">分段點</t>
    </r>
    <r>
      <rPr>
        <b val="true"/>
        <sz val="11"/>
        <color rgb="FFFFFFFF"/>
        <rFont val="Microsoft JhengHei"/>
        <family val="0"/>
        <charset val="1"/>
      </rPr>
      <t xml:space="preserve">2</t>
    </r>
  </si>
  <si>
    <r>
      <rPr>
        <b val="true"/>
        <sz val="11"/>
        <color rgb="FFFFFFFF"/>
        <rFont val="Noto Sans CJK SC"/>
        <family val="2"/>
      </rPr>
      <t xml:space="preserve">年率</t>
    </r>
    <r>
      <rPr>
        <b val="true"/>
        <sz val="11"/>
        <color rgb="FFFFFFFF"/>
        <rFont val="Microsoft JhengHei"/>
        <family val="0"/>
        <charset val="1"/>
      </rPr>
      <t xml:space="preserve">0</t>
    </r>
  </si>
  <si>
    <r>
      <rPr>
        <b val="true"/>
        <sz val="11"/>
        <color rgb="FFFFFFFF"/>
        <rFont val="Noto Sans CJK SC"/>
        <family val="2"/>
      </rPr>
      <t xml:space="preserve">年率</t>
    </r>
    <r>
      <rPr>
        <b val="true"/>
        <sz val="11"/>
        <color rgb="FFFFFFFF"/>
        <rFont val="Microsoft JhengHei"/>
        <family val="0"/>
        <charset val="1"/>
      </rPr>
      <t xml:space="preserve">1</t>
    </r>
  </si>
  <si>
    <r>
      <rPr>
        <b val="true"/>
        <sz val="11"/>
        <color rgb="FFFFFFFF"/>
        <rFont val="Noto Sans CJK SC"/>
        <family val="2"/>
      </rPr>
      <t xml:space="preserve">年率</t>
    </r>
    <r>
      <rPr>
        <b val="true"/>
        <sz val="11"/>
        <color rgb="FFFFFFFF"/>
        <rFont val="Microsoft JhengHei"/>
        <family val="0"/>
        <charset val="1"/>
      </rPr>
      <t xml:space="preserve">2</t>
    </r>
  </si>
  <si>
    <t xml:space="preserve">未進位應有</t>
  </si>
  <si>
    <r>
      <rPr>
        <sz val="9"/>
        <color rgb="FF7F7F7F"/>
        <rFont val="Noto Sans CJK SC"/>
        <family val="2"/>
      </rPr>
      <t xml:space="preserve">曆年制按比例：把一年依年資分段（</t>
    </r>
    <r>
      <rPr>
        <sz val="9"/>
        <color rgb="FF7F7F7F"/>
        <rFont val="Microsoft JhengHei"/>
        <family val="0"/>
        <charset val="1"/>
      </rPr>
      <t xml:space="preserve">6</t>
    </r>
    <r>
      <rPr>
        <sz val="9"/>
        <color rgb="FF7F7F7F"/>
        <rFont val="Noto Sans CJK SC"/>
        <family val="2"/>
      </rPr>
      <t xml:space="preserve">個月滿未滿</t>
    </r>
    <r>
      <rPr>
        <sz val="9"/>
        <color rgb="FF7F7F7F"/>
        <rFont val="Microsoft JhengHei"/>
        <family val="0"/>
        <charset val="1"/>
      </rPr>
      <t xml:space="preserve">1</t>
    </r>
    <r>
      <rPr>
        <sz val="9"/>
        <color rgb="FF7F7F7F"/>
        <rFont val="Noto Sans CJK SC"/>
        <family val="2"/>
      </rPr>
      <t xml:space="preserve">年每年折算</t>
    </r>
    <r>
      <rPr>
        <sz val="9"/>
        <color rgb="FF7F7F7F"/>
        <rFont val="Microsoft JhengHei"/>
        <family val="0"/>
        <charset val="1"/>
      </rPr>
      <t xml:space="preserve">6</t>
    </r>
    <r>
      <rPr>
        <sz val="9"/>
        <color rgb="FF7F7F7F"/>
        <rFont val="Noto Sans CJK SC"/>
        <family val="2"/>
      </rPr>
      <t xml:space="preserve">日、滿</t>
    </r>
    <r>
      <rPr>
        <sz val="9"/>
        <color rgb="FF7F7F7F"/>
        <rFont val="Microsoft JhengHei"/>
        <family val="0"/>
        <charset val="1"/>
      </rPr>
      <t xml:space="preserve">1</t>
    </r>
    <r>
      <rPr>
        <sz val="9"/>
        <color rgb="FF7F7F7F"/>
        <rFont val="Noto Sans CJK SC"/>
        <family val="2"/>
      </rPr>
      <t xml:space="preserve">年</t>
    </r>
    <r>
      <rPr>
        <sz val="9"/>
        <color rgb="FF7F7F7F"/>
        <rFont val="Microsoft JhengHei"/>
        <family val="0"/>
        <charset val="1"/>
      </rPr>
      <t xml:space="preserve">7</t>
    </r>
    <r>
      <rPr>
        <sz val="9"/>
        <color rgb="FF7F7F7F"/>
        <rFont val="Noto Sans CJK SC"/>
        <family val="2"/>
      </rPr>
      <t xml:space="preserve">日、</t>
    </r>
    <r>
      <rPr>
        <sz val="9"/>
        <color rgb="FF7F7F7F"/>
        <rFont val="Microsoft JhengHei"/>
        <family val="0"/>
        <charset val="1"/>
      </rPr>
      <t xml:space="preserve">2</t>
    </r>
    <r>
      <rPr>
        <sz val="9"/>
        <color rgb="FF7F7F7F"/>
        <rFont val="Noto Sans CJK SC"/>
        <family val="2"/>
      </rPr>
      <t xml:space="preserve">年</t>
    </r>
    <r>
      <rPr>
        <sz val="9"/>
        <color rgb="FF7F7F7F"/>
        <rFont val="Microsoft JhengHei"/>
        <family val="0"/>
        <charset val="1"/>
      </rPr>
      <t xml:space="preserve">10</t>
    </r>
    <r>
      <rPr>
        <sz val="9"/>
        <color rgb="FF7F7F7F"/>
        <rFont val="Noto Sans CJK SC"/>
        <family val="2"/>
      </rPr>
      <t xml:space="preserve">日、</t>
    </r>
    <r>
      <rPr>
        <sz val="9"/>
        <color rgb="FF7F7F7F"/>
        <rFont val="Microsoft JhengHei"/>
        <family val="0"/>
        <charset val="1"/>
      </rPr>
      <t xml:space="preserve">3</t>
    </r>
    <r>
      <rPr>
        <sz val="9"/>
        <color rgb="FF7F7F7F"/>
        <rFont val="Noto Sans CJK SC"/>
        <family val="2"/>
      </rPr>
      <t xml:space="preserve">年</t>
    </r>
    <r>
      <rPr>
        <sz val="9"/>
        <color rgb="FF7F7F7F"/>
        <rFont val="Microsoft JhengHei"/>
        <family val="0"/>
        <charset val="1"/>
      </rPr>
      <t xml:space="preserve">14</t>
    </r>
    <r>
      <rPr>
        <sz val="9"/>
        <color rgb="FF7F7F7F"/>
        <rFont val="Noto Sans CJK SC"/>
        <family val="2"/>
      </rPr>
      <t xml:space="preserve">日、</t>
    </r>
    <r>
      <rPr>
        <sz val="9"/>
        <color rgb="FF7F7F7F"/>
        <rFont val="Microsoft JhengHei"/>
        <family val="0"/>
        <charset val="1"/>
      </rPr>
      <t xml:space="preserve">5</t>
    </r>
    <r>
      <rPr>
        <sz val="9"/>
        <color rgb="FF7F7F7F"/>
        <rFont val="Noto Sans CJK SC"/>
        <family val="2"/>
      </rPr>
      <t xml:space="preserve">年</t>
    </r>
    <r>
      <rPr>
        <sz val="9"/>
        <color rgb="FF7F7F7F"/>
        <rFont val="Microsoft JhengHei"/>
        <family val="0"/>
        <charset val="1"/>
      </rPr>
      <t xml:space="preserve">15</t>
    </r>
    <r>
      <rPr>
        <sz val="9"/>
        <color rgb="FF7F7F7F"/>
        <rFont val="Noto Sans CJK SC"/>
        <family val="2"/>
      </rPr>
      <t xml:space="preserve">日、</t>
    </r>
    <r>
      <rPr>
        <sz val="9"/>
        <color rgb="FF7F7F7F"/>
        <rFont val="Microsoft JhengHei"/>
        <family val="0"/>
        <charset val="1"/>
      </rPr>
      <t xml:space="preserve">10</t>
    </r>
    <r>
      <rPr>
        <sz val="9"/>
        <color rgb="FF7F7F7F"/>
        <rFont val="Noto Sans CJK SC"/>
        <family val="2"/>
      </rPr>
      <t xml:space="preserve">年以上每年加</t>
    </r>
    <r>
      <rPr>
        <sz val="9"/>
        <color rgb="FF7F7F7F"/>
        <rFont val="Microsoft JhengHei"/>
        <family val="0"/>
        <charset val="1"/>
      </rPr>
      <t xml:space="preserve">1</t>
    </r>
    <r>
      <rPr>
        <sz val="9"/>
        <color rgb="FF7F7F7F"/>
        <rFont val="Noto Sans CJK SC"/>
        <family val="2"/>
      </rPr>
      <t xml:space="preserve">日至</t>
    </r>
    <r>
      <rPr>
        <sz val="9"/>
        <color rgb="FF7F7F7F"/>
        <rFont val="Microsoft JhengHei"/>
        <family val="0"/>
        <charset val="1"/>
      </rPr>
      <t xml:space="preserve">30</t>
    </r>
    <r>
      <rPr>
        <sz val="9"/>
        <color rgb="FF7F7F7F"/>
        <rFont val="Noto Sans CJK SC"/>
        <family val="2"/>
      </rPr>
      <t xml:space="preserve">日），各段日數</t>
    </r>
    <r>
      <rPr>
        <sz val="9"/>
        <color rgb="FF7F7F7F"/>
        <rFont val="Microsoft JhengHei"/>
        <family val="0"/>
        <charset val="1"/>
      </rPr>
      <t xml:space="preserve">×</t>
    </r>
    <r>
      <rPr>
        <sz val="9"/>
        <color rgb="FF7F7F7F"/>
        <rFont val="Noto Sans CJK SC"/>
        <family val="2"/>
      </rPr>
      <t xml:space="preserve">該段占全年比例後相加，再依進位單位向上進位，避免低於法定標準。</t>
    </r>
  </si>
  <si>
    <t xml:space="preserve">遞延：須勞工提出並經雇主同意，只能遞延一次；遞延日數於次年度終結仍未休，按原年度終結時的日薪發給工資。已休日數視為先扣遞延日數。</t>
  </si>
  <si>
    <r>
      <rPr>
        <sz val="9"/>
        <color rgb="FF7F7F7F"/>
        <rFont val="Noto Sans CJK SC"/>
        <family val="2"/>
      </rPr>
      <t xml:space="preserve">一日工資＝年度終結或離職前最近一個月正常工作時間工資</t>
    </r>
    <r>
      <rPr>
        <sz val="9"/>
        <color rgb="FF7F7F7F"/>
        <rFont val="Microsoft JhengHei"/>
        <family val="0"/>
        <charset val="1"/>
      </rPr>
      <t xml:space="preserve">÷30</t>
    </r>
    <r>
      <rPr>
        <sz val="9"/>
        <color rgb="FF7F7F7F"/>
        <rFont val="Noto Sans CJK SC"/>
        <family val="2"/>
      </rPr>
      <t xml:space="preserve">（本表以月結表本薪加經常性給與計算）；請另填「遞延原年度日薪」以符合施行細則第</t>
    </r>
    <r>
      <rPr>
        <sz val="9"/>
        <color rgb="FF7F7F7F"/>
        <rFont val="Microsoft JhengHei"/>
        <family val="0"/>
        <charset val="1"/>
      </rPr>
      <t xml:space="preserve">24</t>
    </r>
    <r>
      <rPr>
        <sz val="9"/>
        <color rgb="FF7F7F7F"/>
        <rFont val="Noto Sans CJK SC"/>
        <family val="2"/>
      </rPr>
      <t xml:space="preserve">條之</t>
    </r>
    <r>
      <rPr>
        <sz val="9"/>
        <color rgb="FF7F7F7F"/>
        <rFont val="Microsoft JhengHei"/>
        <family val="0"/>
        <charset val="1"/>
      </rPr>
      <t xml:space="preserve">1</t>
    </r>
    <r>
      <rPr>
        <sz val="9"/>
        <color rgb="FF7F7F7F"/>
        <rFont val="Noto Sans CJK SC"/>
        <family val="2"/>
      </rPr>
      <t xml:space="preserve">。</t>
    </r>
  </si>
  <si>
    <t xml:space="preserve">工資各項目計算方式明細（薪資單）</t>
  </si>
  <si>
    <r>
      <rPr>
        <sz val="9"/>
        <color rgb="FF7F7F7F"/>
        <rFont val="Noto Sans CJK SC"/>
        <family val="2"/>
      </rPr>
      <t xml:space="preserve">依勞基法第</t>
    </r>
    <r>
      <rPr>
        <sz val="9"/>
        <color rgb="FF7F7F7F"/>
        <rFont val="Microsoft JhengHei"/>
        <family val="0"/>
        <charset val="1"/>
      </rPr>
      <t xml:space="preserve">23</t>
    </r>
    <r>
      <rPr>
        <sz val="9"/>
        <color rgb="FF7F7F7F"/>
        <rFont val="Noto Sans CJK SC"/>
        <family val="2"/>
      </rPr>
      <t xml:space="preserve">條及施行細則第</t>
    </r>
    <r>
      <rPr>
        <sz val="9"/>
        <color rgb="FF7F7F7F"/>
        <rFont val="Microsoft JhengHei"/>
        <family val="0"/>
        <charset val="1"/>
      </rPr>
      <t xml:space="preserve">14-1</t>
    </r>
    <r>
      <rPr>
        <sz val="9"/>
        <color rgb="FF7F7F7F"/>
        <rFont val="Noto Sans CJK SC"/>
        <family val="2"/>
      </rPr>
      <t xml:space="preserve">條：發薪時提供工資總額、各項目給付金額、扣除項目金額及實發金額；可電子提供，不得要求勞工申請核可或簽名後收回</t>
    </r>
  </si>
  <si>
    <t xml:space="preserve">員工姓名</t>
  </si>
  <si>
    <r>
      <rPr>
        <sz val="10"/>
        <color rgb="FF0000FF"/>
        <rFont val="Noto Sans CJK SC"/>
        <family val="2"/>
      </rPr>
      <t xml:space="preserve">範例員工</t>
    </r>
    <r>
      <rPr>
        <sz val="10"/>
        <color rgb="FF0000FF"/>
        <rFont val="Microsoft JhengHei"/>
        <family val="0"/>
        <charset val="1"/>
      </rPr>
      <t xml:space="preserve">A</t>
    </r>
  </si>
  <si>
    <t xml:space="preserve">列位置</t>
  </si>
  <si>
    <t xml:space="preserve">類別</t>
  </si>
  <si>
    <t xml:space="preserve">項目</t>
  </si>
  <si>
    <t xml:space="preserve">金額</t>
  </si>
  <si>
    <t xml:space="preserve">計算方式／說明</t>
  </si>
  <si>
    <t xml:space="preserve">加項</t>
  </si>
  <si>
    <t xml:space="preserve">依計薪日數折算</t>
  </si>
  <si>
    <r>
      <rPr>
        <sz val="10"/>
        <rFont val="Noto Sans CJK SC"/>
        <family val="2"/>
      </rPr>
      <t xml:space="preserve">（本薪＋經常性給與）</t>
    </r>
    <r>
      <rPr>
        <sz val="10"/>
        <rFont val="Microsoft JhengHei"/>
        <family val="0"/>
        <charset val="1"/>
      </rPr>
      <t xml:space="preserve">÷30÷8×</t>
    </r>
    <r>
      <rPr>
        <sz val="10"/>
        <rFont val="Noto Sans CJK SC"/>
        <family val="2"/>
      </rPr>
      <t xml:space="preserve">加班時數</t>
    </r>
    <r>
      <rPr>
        <sz val="10"/>
        <rFont val="Microsoft JhengHei"/>
        <family val="0"/>
        <charset val="1"/>
      </rPr>
      <t xml:space="preserve">×</t>
    </r>
    <r>
      <rPr>
        <sz val="10"/>
        <rFont val="Noto Sans CJK SC"/>
        <family val="2"/>
      </rPr>
      <t xml:space="preserve">法定倍率；假日出勤加發一日工資</t>
    </r>
  </si>
  <si>
    <t xml:space="preserve">特別休假未休日數折發工資</t>
  </si>
  <si>
    <r>
      <rPr>
        <sz val="10"/>
        <rFont val="Noto Sans CJK SC"/>
        <family val="2"/>
      </rPr>
      <t xml:space="preserve">其他</t>
    </r>
    <r>
      <rPr>
        <sz val="10"/>
        <rFont val="Microsoft JhengHei"/>
        <family val="0"/>
        <charset val="1"/>
      </rPr>
      <t xml:space="preserve">(</t>
    </r>
    <r>
      <rPr>
        <sz val="10"/>
        <rFont val="Noto Sans CJK SC"/>
        <family val="2"/>
      </rPr>
      <t xml:space="preserve">兼職</t>
    </r>
    <r>
      <rPr>
        <sz val="10"/>
        <rFont val="Microsoft JhengHei"/>
        <family val="0"/>
        <charset val="1"/>
      </rPr>
      <t xml:space="preserve">)</t>
    </r>
  </si>
  <si>
    <t xml:space="preserve">減項</t>
  </si>
  <si>
    <t xml:space="preserve">依假別給薪比例扣除</t>
  </si>
  <si>
    <t xml:space="preserve">以分鐘折算時薪，不得超過實際工資</t>
  </si>
  <si>
    <t xml:space="preserve">事假、家庭照顧假、育嬰留停等不給薪假別</t>
  </si>
  <si>
    <t xml:space="preserve">所得稅扣繳</t>
  </si>
  <si>
    <t xml:space="preserve">勞保自付額</t>
  </si>
  <si>
    <t xml:space="preserve">依法令規定扣除</t>
  </si>
  <si>
    <t xml:space="preserve">健保自付額</t>
  </si>
  <si>
    <t xml:space="preserve">依法令規定扣除；含眷屬</t>
  </si>
  <si>
    <t xml:space="preserve">勞退自願提繳</t>
  </si>
  <si>
    <t xml:space="preserve">勞工自願提繳，非強制</t>
  </si>
  <si>
    <t xml:space="preserve">補充保險費</t>
  </si>
  <si>
    <t xml:space="preserve">須有法令依據或勞資雙方約定</t>
  </si>
  <si>
    <t xml:space="preserve">工資總額（加項合計）</t>
  </si>
  <si>
    <t xml:space="preserve">扣除項目合計</t>
  </si>
  <si>
    <t xml:space="preserve">實際發給金額</t>
  </si>
  <si>
    <r>
      <rPr>
        <sz val="10"/>
        <rFont val="Noto Sans CJK SC"/>
        <family val="2"/>
      </rPr>
      <t xml:space="preserve">核對（應為 </t>
    </r>
    <r>
      <rPr>
        <sz val="10"/>
        <rFont val="Microsoft JhengHei"/>
        <family val="0"/>
        <charset val="1"/>
      </rPr>
      <t xml:space="preserve">0</t>
    </r>
    <r>
      <rPr>
        <sz val="10"/>
        <rFont val="Noto Sans CJK SC"/>
        <family val="2"/>
      </rPr>
      <t xml:space="preserve">）</t>
    </r>
  </si>
  <si>
    <t xml:space="preserve">本月加班時數合計</t>
  </si>
  <si>
    <t xml:space="preserve">本月請假日數合計</t>
  </si>
  <si>
    <r>
      <rPr>
        <sz val="9"/>
        <color rgb="FF7F7F7F"/>
        <rFont val="Noto Sans CJK SC"/>
        <family val="2"/>
      </rPr>
      <t xml:space="preserve">特別休假：本年度已休期日／未休日數／折發工資，須記載於工資清冊，並每年定期以書面通知勞工（勞基法第</t>
    </r>
    <r>
      <rPr>
        <sz val="9"/>
        <color rgb="FF7F7F7F"/>
        <rFont val="Microsoft JhengHei"/>
        <family val="0"/>
        <charset val="1"/>
      </rPr>
      <t xml:space="preserve">38</t>
    </r>
    <r>
      <rPr>
        <sz val="9"/>
        <color rgb="FF7F7F7F"/>
        <rFont val="Noto Sans CJK SC"/>
        <family val="2"/>
      </rPr>
      <t xml:space="preserve">條）。</t>
    </r>
  </si>
  <si>
    <r>
      <rPr>
        <sz val="9"/>
        <color rgb="FF7F7F7F"/>
        <rFont val="Noto Sans CJK SC"/>
        <family val="2"/>
      </rPr>
      <t xml:space="preserve">本表由「流程</t>
    </r>
    <r>
      <rPr>
        <sz val="9"/>
        <color rgb="FF7F7F7F"/>
        <rFont val="Microsoft JhengHei"/>
        <family val="0"/>
        <charset val="1"/>
      </rPr>
      <t xml:space="preserve">1_</t>
    </r>
    <r>
      <rPr>
        <sz val="9"/>
        <color rgb="FF7F7F7F"/>
        <rFont val="Noto Sans CJK SC"/>
        <family val="2"/>
      </rPr>
      <t xml:space="preserve">月結表」自動帶出；月結表即為工資清冊，應保存</t>
    </r>
    <r>
      <rPr>
        <sz val="9"/>
        <color rgb="FF7F7F7F"/>
        <rFont val="Microsoft JhengHei"/>
        <family val="0"/>
        <charset val="1"/>
      </rPr>
      <t xml:space="preserve">5</t>
    </r>
    <r>
      <rPr>
        <sz val="9"/>
        <color rgb="FF7F7F7F"/>
        <rFont val="Noto Sans CJK SC"/>
        <family val="2"/>
      </rPr>
      <t xml:space="preserve">年。</t>
    </r>
  </si>
  <si>
    <t xml:space="preserve">薪資傳票彙總（自動由月結表帶入，格式比照公司薪資傳票）</t>
  </si>
  <si>
    <r>
      <rPr>
        <sz val="9"/>
        <color rgb="FF7F7F7F"/>
        <rFont val="Noto Sans CJK SC"/>
        <family val="2"/>
      </rPr>
      <t xml:space="preserve">科目代號依公司現行會計科目表；淡黃色儲存格可修改；金額為 </t>
    </r>
    <r>
      <rPr>
        <sz val="9"/>
        <color rgb="FF7F7F7F"/>
        <rFont val="Microsoft JhengHei"/>
        <family val="0"/>
        <charset val="1"/>
      </rPr>
      <t xml:space="preserve">0 </t>
    </r>
    <r>
      <rPr>
        <sz val="9"/>
        <color rgb="FF7F7F7F"/>
        <rFont val="Noto Sans CJK SC"/>
        <family val="2"/>
      </rPr>
      <t xml:space="preserve">的列不需 </t>
    </r>
    <r>
      <rPr>
        <sz val="9"/>
        <color rgb="FF7F7F7F"/>
        <rFont val="Microsoft JhengHei"/>
        <family val="0"/>
        <charset val="1"/>
      </rPr>
      <t xml:space="preserve">key </t>
    </r>
    <r>
      <rPr>
        <sz val="9"/>
        <color rgb="FF7F7F7F"/>
        <rFont val="Noto Sans CJK SC"/>
        <family val="2"/>
      </rPr>
      <t xml:space="preserve">入</t>
    </r>
  </si>
  <si>
    <t xml:space="preserve">科目代號</t>
  </si>
  <si>
    <t xml:space="preserve">會計科目</t>
  </si>
  <si>
    <t xml:space="preserve">借方金額</t>
  </si>
  <si>
    <t xml:space="preserve">貸方金額</t>
  </si>
  <si>
    <t xml:space="preserve">摘要</t>
  </si>
  <si>
    <t xml:space="preserve">6110</t>
  </si>
  <si>
    <t xml:space="preserve">薪資支出</t>
  </si>
  <si>
    <r>
      <rPr>
        <sz val="10"/>
        <rFont val="Microsoft JhengHei"/>
        <family val="0"/>
        <charset val="1"/>
      </rPr>
      <t xml:space="preserve">10</t>
    </r>
    <r>
      <rPr>
        <sz val="10"/>
        <rFont val="Noto Sans CJK SC"/>
        <family val="2"/>
      </rPr>
      <t xml:space="preserve">月份薪資（應稅所得＋資遣費＋未休假薪資）</t>
    </r>
  </si>
  <si>
    <r>
      <rPr>
        <sz val="10"/>
        <rFont val="Microsoft JhengHei"/>
        <family val="0"/>
        <charset val="1"/>
      </rPr>
      <t xml:space="preserve">10</t>
    </r>
    <r>
      <rPr>
        <sz val="10"/>
        <rFont val="Noto Sans CJK SC"/>
        <family val="2"/>
      </rPr>
      <t xml:space="preserve">月份兼職人員薪資</t>
    </r>
  </si>
  <si>
    <t xml:space="preserve">6190</t>
  </si>
  <si>
    <r>
      <rPr>
        <sz val="10"/>
        <rFont val="Microsoft JhengHei"/>
        <family val="0"/>
        <charset val="1"/>
      </rPr>
      <t xml:space="preserve">10</t>
    </r>
    <r>
      <rPr>
        <sz val="10"/>
        <rFont val="Noto Sans CJK SC"/>
        <family val="2"/>
      </rPr>
      <t xml:space="preserve">月份</t>
    </r>
  </si>
  <si>
    <t xml:space="preserve">223001</t>
  </si>
  <si>
    <t xml:space="preserve">代收勞保費</t>
  </si>
  <si>
    <r>
      <rPr>
        <sz val="10"/>
        <rFont val="Microsoft JhengHei"/>
        <family val="0"/>
        <charset val="1"/>
      </rPr>
      <t xml:space="preserve">10</t>
    </r>
    <r>
      <rPr>
        <sz val="10"/>
        <rFont val="Noto Sans CJK SC"/>
        <family val="2"/>
      </rPr>
      <t xml:space="preserve">月份（員工負擔＋補退）</t>
    </r>
  </si>
  <si>
    <t xml:space="preserve">223002</t>
  </si>
  <si>
    <t xml:space="preserve">代收健保費</t>
  </si>
  <si>
    <t xml:space="preserve">223010</t>
  </si>
  <si>
    <t xml:space="preserve">代收勞退</t>
  </si>
  <si>
    <r>
      <rPr>
        <sz val="10"/>
        <rFont val="Microsoft JhengHei"/>
        <family val="0"/>
        <charset val="1"/>
      </rPr>
      <t xml:space="preserve">10</t>
    </r>
    <r>
      <rPr>
        <sz val="10"/>
        <rFont val="Noto Sans CJK SC"/>
        <family val="2"/>
      </rPr>
      <t xml:space="preserve">月份（員工自願提繳）</t>
    </r>
  </si>
  <si>
    <t xml:space="preserve">223004</t>
  </si>
  <si>
    <t xml:space="preserve">代收其他款項</t>
  </si>
  <si>
    <t xml:space="preserve">223015</t>
  </si>
  <si>
    <t xml:space="preserve">代收補充保險費</t>
  </si>
  <si>
    <r>
      <rPr>
        <sz val="10"/>
        <rFont val="Microsoft JhengHei"/>
        <family val="0"/>
        <charset val="1"/>
      </rPr>
      <t xml:space="preserve">10</t>
    </r>
    <r>
      <rPr>
        <sz val="10"/>
        <rFont val="Noto Sans CJK SC"/>
        <family val="2"/>
      </rPr>
      <t xml:space="preserve">月份薪資</t>
    </r>
  </si>
  <si>
    <t xml:space="preserve">代收其他款項（薪資所得稅扣繳）</t>
  </si>
  <si>
    <r>
      <rPr>
        <sz val="10"/>
        <rFont val="Microsoft JhengHei"/>
        <family val="0"/>
        <charset val="1"/>
      </rPr>
      <t xml:space="preserve">10</t>
    </r>
    <r>
      <rPr>
        <sz val="10"/>
        <rFont val="Noto Sans CJK SC"/>
        <family val="2"/>
      </rPr>
      <t xml:space="preserve">月份薪資、獎金扣繳（科目請確認）</t>
    </r>
  </si>
  <si>
    <t xml:space="preserve">215003</t>
  </si>
  <si>
    <t xml:space="preserve">應付薪資</t>
  </si>
  <si>
    <r>
      <rPr>
        <sz val="10"/>
        <rFont val="Microsoft JhengHei"/>
        <family val="0"/>
        <charset val="1"/>
      </rPr>
      <t xml:space="preserve">10</t>
    </r>
    <r>
      <rPr>
        <sz val="10"/>
        <rFont val="Noto Sans CJK SC"/>
        <family val="2"/>
      </rPr>
      <t xml:space="preserve">月份薪資（實領金額）</t>
    </r>
  </si>
  <si>
    <t xml:space="preserve">617001</t>
  </si>
  <si>
    <r>
      <rPr>
        <sz val="10"/>
        <rFont val="Microsoft JhengHei"/>
        <family val="0"/>
        <charset val="1"/>
      </rPr>
      <t xml:space="preserve">10</t>
    </r>
    <r>
      <rPr>
        <sz val="10"/>
        <rFont val="Noto Sans CJK SC"/>
        <family val="2"/>
      </rPr>
      <t xml:space="preserve">月份公司負擔</t>
    </r>
  </si>
  <si>
    <t xml:space="preserve">215004</t>
  </si>
  <si>
    <t xml:space="preserve">應付保險費</t>
  </si>
  <si>
    <t xml:space="preserve">617002</t>
  </si>
  <si>
    <t xml:space="preserve">618001</t>
  </si>
  <si>
    <r>
      <rPr>
        <sz val="10"/>
        <rFont val="Noto Sans CJK SC"/>
        <family val="2"/>
      </rPr>
      <t xml:space="preserve">勞工退休金</t>
    </r>
    <r>
      <rPr>
        <sz val="10"/>
        <rFont val="Microsoft JhengHei"/>
        <family val="0"/>
        <charset val="1"/>
      </rPr>
      <t xml:space="preserve">-</t>
    </r>
    <r>
      <rPr>
        <sz val="10"/>
        <rFont val="Noto Sans CJK SC"/>
        <family val="2"/>
      </rPr>
      <t xml:space="preserve">新制</t>
    </r>
  </si>
  <si>
    <r>
      <rPr>
        <sz val="10"/>
        <rFont val="Microsoft JhengHei"/>
        <family val="0"/>
        <charset val="1"/>
      </rPr>
      <t xml:space="preserve">10</t>
    </r>
    <r>
      <rPr>
        <sz val="10"/>
        <rFont val="Noto Sans CJK SC"/>
        <family val="2"/>
      </rPr>
      <t xml:space="preserve">月份公司提撥勞退金</t>
    </r>
  </si>
  <si>
    <t xml:space="preserve">215001</t>
  </si>
  <si>
    <t xml:space="preserve">應付費用</t>
  </si>
  <si>
    <r>
      <rPr>
        <sz val="10"/>
        <rFont val="Microsoft JhengHei"/>
        <family val="0"/>
        <charset val="1"/>
      </rPr>
      <t xml:space="preserve">10</t>
    </r>
    <r>
      <rPr>
        <sz val="10"/>
        <rFont val="Noto Sans CJK SC"/>
        <family val="2"/>
      </rPr>
      <t xml:space="preserve">月份公司負擔（工資墊償基金提繳）</t>
    </r>
  </si>
  <si>
    <r>
      <rPr>
        <sz val="10"/>
        <rFont val="Microsoft JhengHei"/>
        <family val="0"/>
        <charset val="1"/>
      </rPr>
      <t xml:space="preserve">10</t>
    </r>
    <r>
      <rPr>
        <sz val="10"/>
        <rFont val="Noto Sans CJK SC"/>
        <family val="2"/>
      </rPr>
      <t xml:space="preserve">月份公司負擔補充保費</t>
    </r>
  </si>
  <si>
    <t xml:space="preserve">借方合計</t>
  </si>
  <si>
    <t xml:space="preserve">貸方合計</t>
  </si>
  <si>
    <r>
      <rPr>
        <b val="true"/>
        <sz val="10"/>
        <rFont val="Noto Sans CJK SC"/>
        <family val="2"/>
      </rPr>
      <t xml:space="preserve">差額（應為 </t>
    </r>
    <r>
      <rPr>
        <b val="true"/>
        <sz val="10"/>
        <rFont val="Microsoft JhengHei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</t>
    </r>
  </si>
  <si>
    <t xml:space="preserve">註：顧問費等非薪資項目不在本表；工資墊償基金、公司負擔補充保費兩組為選填（填入借方金額，貸方自動等額）。</t>
  </si>
  <si>
    <t xml:space="preserve">費用報銷申請資料表</t>
  </si>
  <si>
    <r>
      <rPr>
        <sz val="9"/>
        <color rgb="FF7F7F7F"/>
        <rFont val="Noto Sans CJK SC"/>
        <family val="2"/>
      </rPr>
      <t xml:space="preserve">每月約 </t>
    </r>
    <r>
      <rPr>
        <sz val="9"/>
        <color rgb="FF7F7F7F"/>
        <rFont val="Microsoft JhengHei"/>
        <family val="0"/>
        <charset val="1"/>
      </rPr>
      <t xml:space="preserve">30 </t>
    </r>
    <r>
      <rPr>
        <sz val="9"/>
        <color rgb="FF7F7F7F"/>
        <rFont val="Noto Sans CJK SC"/>
        <family val="2"/>
      </rPr>
      <t xml:space="preserve">筆；付款日為次月 </t>
    </r>
    <r>
      <rPr>
        <sz val="9"/>
        <color rgb="FF7F7F7F"/>
        <rFont val="Microsoft JhengHei"/>
        <family val="0"/>
        <charset val="1"/>
      </rPr>
      <t xml:space="preserve">5 </t>
    </r>
    <r>
      <rPr>
        <sz val="9"/>
        <color rgb="FF7F7F7F"/>
        <rFont val="Noto Sans CJK SC"/>
        <family val="2"/>
      </rPr>
      <t xml:space="preserve">日與 </t>
    </r>
    <r>
      <rPr>
        <sz val="9"/>
        <color rgb="FF7F7F7F"/>
        <rFont val="Microsoft JhengHei"/>
        <family val="0"/>
        <charset val="1"/>
      </rPr>
      <t xml:space="preserve">15 </t>
    </r>
    <r>
      <rPr>
        <sz val="9"/>
        <color rgb="FF7F7F7F"/>
        <rFont val="Noto Sans CJK SC"/>
        <family val="2"/>
      </rPr>
      <t xml:space="preserve">日；會計科目用下拉選單選擇，科目代號自動帶出</t>
    </r>
  </si>
  <si>
    <t xml:space="preserve">憑證種類</t>
  </si>
  <si>
    <t xml:space="preserve">憑證日期</t>
  </si>
  <si>
    <t xml:space="preserve">統一編號</t>
  </si>
  <si>
    <t xml:space="preserve">廠商名稱</t>
  </si>
  <si>
    <t xml:space="preserve">未稅金額</t>
  </si>
  <si>
    <t xml:space="preserve">稅額</t>
  </si>
  <si>
    <t xml:space="preserve">含稅金額</t>
  </si>
  <si>
    <t xml:space="preserve">用途說明</t>
  </si>
  <si>
    <t xml:space="preserve">憑證檔案路徑</t>
  </si>
  <si>
    <t xml:space="preserve">目前狀態</t>
  </si>
  <si>
    <t xml:space="preserve">預定付款日</t>
  </si>
  <si>
    <t xml:space="preserve">買受人為本公司統編</t>
  </si>
  <si>
    <t xml:space="preserve">進項稅額檢核</t>
  </si>
  <si>
    <t xml:space="preserve">發票字軌號碼</t>
  </si>
  <si>
    <t xml:space="preserve">扣抵類別</t>
  </si>
  <si>
    <t xml:space="preserve">課稅別</t>
  </si>
  <si>
    <t xml:space="preserve">營業稅申報狀態</t>
  </si>
  <si>
    <t xml:space="preserve">EXP-202610-001</t>
  </si>
  <si>
    <t xml:space="preserve">交通費</t>
  </si>
  <si>
    <t xml:space="preserve">電子發票</t>
  </si>
  <si>
    <t xml:space="preserve">12345675</t>
  </si>
  <si>
    <t xml:space="preserve">範例運輸股份有限公司</t>
  </si>
  <si>
    <t xml:space="preserve">客戶拜訪計程車資</t>
  </si>
  <si>
    <r>
      <rPr>
        <sz val="10"/>
        <rFont val="Noto Sans CJK SC"/>
        <family val="2"/>
      </rPr>
      <t xml:space="preserve">憑證</t>
    </r>
    <r>
      <rPr>
        <sz val="10"/>
        <rFont val="Microsoft JhengHei"/>
        <family val="0"/>
        <charset val="1"/>
      </rPr>
      <t xml:space="preserve">/EXP-202610-001_1.pdf</t>
    </r>
  </si>
  <si>
    <t xml:space="preserve">會計審核中</t>
  </si>
  <si>
    <t xml:space="preserve">AB12345678</t>
  </si>
  <si>
    <t xml:space="preserve">進貨及費用</t>
  </si>
  <si>
    <t xml:space="preserve">應稅</t>
  </si>
  <si>
    <t xml:space="preserve">未申報</t>
  </si>
  <si>
    <r>
      <rPr>
        <sz val="9"/>
        <color rgb="FF7F7F7F"/>
        <rFont val="Noto Sans CJK SC"/>
        <family val="2"/>
      </rPr>
      <t xml:space="preserve">簽核鏈：申請人 → 財務會計 → </t>
    </r>
    <r>
      <rPr>
        <sz val="9"/>
        <color rgb="FF7F7F7F"/>
        <rFont val="Microsoft JhengHei"/>
        <family val="0"/>
        <charset val="1"/>
      </rPr>
      <t xml:space="preserve">CFO → CEO</t>
    </r>
    <r>
      <rPr>
        <sz val="9"/>
        <color rgb="FF7F7F7F"/>
        <rFont val="Noto Sans CJK SC"/>
        <family val="2"/>
      </rPr>
      <t xml:space="preserve">。已預設 </t>
    </r>
    <r>
      <rPr>
        <sz val="9"/>
        <color rgb="FF7F7F7F"/>
        <rFont val="Microsoft JhengHei"/>
        <family val="0"/>
        <charset val="1"/>
      </rPr>
      <t xml:space="preserve">60 </t>
    </r>
    <r>
      <rPr>
        <sz val="9"/>
        <color rgb="FF7F7F7F"/>
        <rFont val="Noto Sans CJK SC"/>
        <family val="2"/>
      </rPr>
      <t xml:space="preserve">列（每月約 </t>
    </r>
    <r>
      <rPr>
        <sz val="9"/>
        <color rgb="FF7F7F7F"/>
        <rFont val="Microsoft JhengHei"/>
        <family val="0"/>
        <charset val="1"/>
      </rPr>
      <t xml:space="preserve">30 </t>
    </r>
    <r>
      <rPr>
        <sz val="9"/>
        <color rgb="FF7F7F7F"/>
        <rFont val="Noto Sans CJK SC"/>
        <family val="2"/>
      </rPr>
      <t xml:space="preserve">筆），不夠請往下複製。原始紙本憑證須保存至少</t>
    </r>
    <r>
      <rPr>
        <sz val="9"/>
        <color rgb="FF7F7F7F"/>
        <rFont val="Microsoft JhengHei"/>
        <family val="0"/>
        <charset val="1"/>
      </rPr>
      <t xml:space="preserve">5</t>
    </r>
    <r>
      <rPr>
        <sz val="9"/>
        <color rgb="FF7F7F7F"/>
        <rFont val="Noto Sans CJK SC"/>
        <family val="2"/>
      </rPr>
      <t xml:space="preserve">年，電子歸檔不當然取代原始憑證。</t>
    </r>
  </si>
  <si>
    <t xml:space="preserve">費用類別與會計科目對照</t>
  </si>
  <si>
    <t xml:space="preserve">科目代號依公司現行會計科目表（金城資訊）；左表供申請人選類別，右表為常用科目對照</t>
  </si>
  <si>
    <t xml:space="preserve">費用類別</t>
  </si>
  <si>
    <t xml:space="preserve">科目名稱</t>
  </si>
  <si>
    <t xml:space="preserve">報銷傳票用途</t>
  </si>
  <si>
    <t xml:space="preserve">報銷可選會計科目</t>
  </si>
  <si>
    <t xml:space="preserve">6470</t>
  </si>
  <si>
    <t xml:space="preserve">計程車、高鐵、停車費、油資、洽公車資</t>
  </si>
  <si>
    <t xml:space="preserve">110303</t>
  </si>
  <si>
    <r>
      <rPr>
        <sz val="10"/>
        <rFont val="Noto Sans CJK SC"/>
        <family val="2"/>
      </rPr>
      <t xml:space="preserve">活期</t>
    </r>
    <r>
      <rPr>
        <sz val="10"/>
        <rFont val="Microsoft JhengHei"/>
        <family val="0"/>
        <charset val="1"/>
      </rPr>
      <t xml:space="preserve">-</t>
    </r>
    <r>
      <rPr>
        <sz val="10"/>
        <rFont val="Noto Sans CJK SC"/>
        <family val="2"/>
      </rPr>
      <t xml:space="preserve">中國信託</t>
    </r>
  </si>
  <si>
    <t xml:space="preserve">付款時貸方</t>
  </si>
  <si>
    <t xml:space="preserve">餐費（會議）</t>
  </si>
  <si>
    <t xml:space="preserve">雜項費用</t>
  </si>
  <si>
    <t xml:space="preserve">62E0</t>
  </si>
  <si>
    <t xml:space="preserve">會議餐費入雜項費用；需註明事由與人數</t>
  </si>
  <si>
    <t xml:space="preserve">1140</t>
  </si>
  <si>
    <t xml:space="preserve">應收帳款</t>
  </si>
  <si>
    <t xml:space="preserve">辦公用品</t>
  </si>
  <si>
    <t xml:space="preserve">文具用品</t>
  </si>
  <si>
    <t xml:space="preserve">6210</t>
  </si>
  <si>
    <t xml:space="preserve">耗材、文具</t>
  </si>
  <si>
    <t xml:space="preserve">1180</t>
  </si>
  <si>
    <r>
      <rPr>
        <sz val="10"/>
        <rFont val="Noto Sans CJK SC"/>
        <family val="2"/>
      </rPr>
      <t xml:space="preserve">其他應收款</t>
    </r>
    <r>
      <rPr>
        <sz val="10"/>
        <rFont val="Microsoft JhengHei"/>
        <family val="0"/>
        <charset val="1"/>
      </rPr>
      <t xml:space="preserve">-</t>
    </r>
    <r>
      <rPr>
        <sz val="10"/>
        <rFont val="Noto Sans CJK SC"/>
        <family val="2"/>
      </rPr>
      <t xml:space="preserve">關係人</t>
    </r>
  </si>
  <si>
    <t xml:space="preserve">郵電費</t>
  </si>
  <si>
    <t xml:space="preserve">6240</t>
  </si>
  <si>
    <t xml:space="preserve">電話網路、郵資</t>
  </si>
  <si>
    <t xml:space="preserve">119208</t>
  </si>
  <si>
    <t xml:space="preserve">其他預付費用</t>
  </si>
  <si>
    <t xml:space="preserve">運費</t>
  </si>
  <si>
    <t xml:space="preserve">6420</t>
  </si>
  <si>
    <t xml:space="preserve">快遞費</t>
  </si>
  <si>
    <t xml:space="preserve">119304</t>
  </si>
  <si>
    <t xml:space="preserve">報銷稅額（進項稅額）</t>
  </si>
  <si>
    <t xml:space="preserve">交際費</t>
  </si>
  <si>
    <t xml:space="preserve">6440</t>
  </si>
  <si>
    <t xml:space="preserve">送禮、贈禮；需註明對象與事由</t>
  </si>
  <si>
    <t xml:space="preserve">119402</t>
  </si>
  <si>
    <t xml:space="preserve">代付款</t>
  </si>
  <si>
    <t xml:space="preserve">員工福利</t>
  </si>
  <si>
    <t xml:space="preserve">6150</t>
  </si>
  <si>
    <t xml:space="preserve">節慶禮金等</t>
  </si>
  <si>
    <t xml:space="preserve">1539</t>
  </si>
  <si>
    <r>
      <rPr>
        <sz val="10"/>
        <rFont val="Noto Sans CJK SC"/>
        <family val="2"/>
      </rPr>
      <t xml:space="preserve">累計折舊</t>
    </r>
    <r>
      <rPr>
        <sz val="10"/>
        <rFont val="Microsoft JhengHei"/>
        <family val="0"/>
        <charset val="1"/>
      </rPr>
      <t xml:space="preserve">-</t>
    </r>
    <r>
      <rPr>
        <sz val="10"/>
        <rFont val="Noto Sans CJK SC"/>
        <family val="2"/>
      </rPr>
      <t xml:space="preserve">生財器具</t>
    </r>
  </si>
  <si>
    <t xml:space="preserve">水電費</t>
  </si>
  <si>
    <t xml:space="preserve">6250</t>
  </si>
  <si>
    <t xml:space="preserve">1549</t>
  </si>
  <si>
    <r>
      <rPr>
        <sz val="10"/>
        <rFont val="Noto Sans CJK SC"/>
        <family val="2"/>
      </rPr>
      <t xml:space="preserve">累計折舊</t>
    </r>
    <r>
      <rPr>
        <sz val="10"/>
        <rFont val="Microsoft JhengHei"/>
        <family val="0"/>
        <charset val="1"/>
      </rPr>
      <t xml:space="preserve">-</t>
    </r>
    <r>
      <rPr>
        <sz val="10"/>
        <rFont val="Noto Sans CJK SC"/>
        <family val="2"/>
      </rPr>
      <t xml:space="preserve">電腦設備</t>
    </r>
  </si>
  <si>
    <t xml:space="preserve">書報雜誌</t>
  </si>
  <si>
    <t xml:space="preserve">書報雜誌費用</t>
  </si>
  <si>
    <t xml:space="preserve">6270</t>
  </si>
  <si>
    <t xml:space="preserve">1820</t>
  </si>
  <si>
    <t xml:space="preserve">存出保證金</t>
  </si>
  <si>
    <t xml:space="preserve">租金</t>
  </si>
  <si>
    <t xml:space="preserve">租金支出</t>
  </si>
  <si>
    <t xml:space="preserve">6290</t>
  </si>
  <si>
    <t xml:space="preserve">188001</t>
  </si>
  <si>
    <t xml:space="preserve">未攤銷費用</t>
  </si>
  <si>
    <t xml:space="preserve">維修</t>
  </si>
  <si>
    <t xml:space="preserve">維護修繕費用</t>
  </si>
  <si>
    <t xml:space="preserve">62C0</t>
  </si>
  <si>
    <t xml:space="preserve">214001</t>
  </si>
  <si>
    <t xml:space="preserve">應付帳款</t>
  </si>
  <si>
    <t xml:space="preserve">手續費</t>
  </si>
  <si>
    <t xml:space="preserve">62F0</t>
  </si>
  <si>
    <t xml:space="preserve">銀行手續費</t>
  </si>
  <si>
    <t xml:space="preserve">214003</t>
  </si>
  <si>
    <t xml:space="preserve">暫估應付帳款</t>
  </si>
  <si>
    <t xml:space="preserve">顧問費</t>
  </si>
  <si>
    <t xml:space="preserve">顧問費用</t>
  </si>
  <si>
    <t xml:space="preserve">6320</t>
  </si>
  <si>
    <t xml:space="preserve">需確認是否扣繳</t>
  </si>
  <si>
    <t xml:space="preserve">公司提撥勞退應付</t>
  </si>
  <si>
    <t xml:space="preserve">勞務費</t>
  </si>
  <si>
    <t xml:space="preserve">勞務費用</t>
  </si>
  <si>
    <t xml:space="preserve">6330</t>
  </si>
  <si>
    <t xml:space="preserve">215002</t>
  </si>
  <si>
    <r>
      <rPr>
        <sz val="10"/>
        <rFont val="Noto Sans CJK SC"/>
        <family val="2"/>
      </rPr>
      <t xml:space="preserve">應付費用</t>
    </r>
    <r>
      <rPr>
        <sz val="10"/>
        <rFont val="Microsoft JhengHei"/>
        <family val="0"/>
        <charset val="1"/>
      </rPr>
      <t xml:space="preserve">--</t>
    </r>
    <r>
      <rPr>
        <sz val="10"/>
        <rFont val="Noto Sans CJK SC"/>
        <family val="2"/>
      </rPr>
      <t xml:space="preserve">員工</t>
    </r>
  </si>
  <si>
    <t xml:space="preserve">員工報銷應付（貸方）</t>
  </si>
  <si>
    <t xml:space="preserve">軟體訂閱／雜項</t>
  </si>
  <si>
    <t xml:space="preserve">訂閱費入雜項費用；無法歸類者，會計複核</t>
  </si>
  <si>
    <t xml:space="preserve">薪資傳票：應付薪資</t>
  </si>
  <si>
    <t xml:space="preserve">公司負擔勞健保應付</t>
  </si>
  <si>
    <t xml:space="preserve">2160</t>
  </si>
  <si>
    <t xml:space="preserve">應付稅款</t>
  </si>
  <si>
    <t xml:space="preserve">2210</t>
  </si>
  <si>
    <t xml:space="preserve">銷項稅額</t>
  </si>
  <si>
    <r>
      <rPr>
        <sz val="10"/>
        <rFont val="Noto Sans CJK SC"/>
        <family val="2"/>
      </rPr>
      <t xml:space="preserve">代收其他款項（代扣</t>
    </r>
    <r>
      <rPr>
        <sz val="10"/>
        <rFont val="Microsoft JhengHei"/>
        <family val="0"/>
        <charset val="1"/>
      </rPr>
      <t xml:space="preserve">10%</t>
    </r>
    <r>
      <rPr>
        <sz val="10"/>
        <rFont val="Noto Sans CJK SC"/>
        <family val="2"/>
      </rPr>
      <t xml:space="preserve">稅亦用此科目）</t>
    </r>
  </si>
  <si>
    <t xml:space="preserve">代收勞退金</t>
  </si>
  <si>
    <t xml:space="preserve">2880</t>
  </si>
  <si>
    <r>
      <rPr>
        <sz val="10"/>
        <rFont val="Noto Sans CJK SC"/>
        <family val="2"/>
      </rPr>
      <t xml:space="preserve">其他負債</t>
    </r>
    <r>
      <rPr>
        <sz val="10"/>
        <rFont val="Microsoft JhengHei"/>
        <family val="0"/>
        <charset val="1"/>
      </rPr>
      <t xml:space="preserve">-</t>
    </r>
    <r>
      <rPr>
        <sz val="10"/>
        <rFont val="Noto Sans CJK SC"/>
        <family val="2"/>
      </rPr>
      <t xml:space="preserve">其他</t>
    </r>
  </si>
  <si>
    <t xml:space="preserve">461020</t>
  </si>
  <si>
    <t xml:space="preserve">行動通訊收入</t>
  </si>
  <si>
    <t xml:space="preserve">561020</t>
  </si>
  <si>
    <t xml:space="preserve">行動通訊成本</t>
  </si>
  <si>
    <t xml:space="preserve">薪資傳票：薪資支出</t>
  </si>
  <si>
    <t xml:space="preserve">公司負擔勞保費</t>
  </si>
  <si>
    <t xml:space="preserve">公司負擔健保費</t>
  </si>
  <si>
    <t xml:space="preserve">公司提撥勞退</t>
  </si>
  <si>
    <t xml:space="preserve">薪資傳票：伙食費</t>
  </si>
  <si>
    <t xml:space="preserve">62B0</t>
  </si>
  <si>
    <t xml:space="preserve">折舊費用</t>
  </si>
  <si>
    <t xml:space="preserve">6640</t>
  </si>
  <si>
    <t xml:space="preserve">各項攤提</t>
  </si>
  <si>
    <t xml:space="preserve">7160</t>
  </si>
  <si>
    <t xml:space="preserve">其他收入</t>
  </si>
  <si>
    <t xml:space="preserve">8110</t>
  </si>
  <si>
    <t xml:space="preserve">利息支出</t>
  </si>
  <si>
    <t xml:space="preserve">合約／報價單／用印申請登記</t>
  </si>
  <si>
    <t xml:space="preserve">保留實體用印或電子章使用紀錄；歸檔時由程式依本表產生目錄。標題列已加篩選，可依對方單位、關鍵字、合約迄日、到期提醒快速尋找</t>
  </si>
  <si>
    <t xml:space="preserve">文件類型</t>
  </si>
  <si>
    <t xml:space="preserve">文件名稱</t>
  </si>
  <si>
    <t xml:space="preserve">對方單位</t>
  </si>
  <si>
    <t xml:space="preserve">合約起日</t>
  </si>
  <si>
    <t xml:space="preserve">合約迄日</t>
  </si>
  <si>
    <t xml:space="preserve">合約期間</t>
  </si>
  <si>
    <t xml:space="preserve">到期提醒</t>
  </si>
  <si>
    <t xml:space="preserve">自動續約</t>
  </si>
  <si>
    <r>
      <rPr>
        <b val="true"/>
        <sz val="11"/>
        <color rgb="FFFFFFFF"/>
        <rFont val="Noto Sans CJK SC"/>
        <family val="2"/>
      </rPr>
      <t xml:space="preserve">合約金額</t>
    </r>
    <r>
      <rPr>
        <b val="true"/>
        <sz val="11"/>
        <color rgb="FFFFFFFF"/>
        <rFont val="Microsoft JhengHei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含稅</t>
    </r>
    <r>
      <rPr>
        <b val="true"/>
        <sz val="11"/>
        <color rgb="FFFFFFFF"/>
        <rFont val="Microsoft JhengHei"/>
        <family val="0"/>
        <charset val="1"/>
      </rPr>
      <t xml:space="preserve">)</t>
    </r>
  </si>
  <si>
    <t xml:space="preserve">說明（內容摘要）</t>
  </si>
  <si>
    <t xml:space="preserve">關鍵字</t>
  </si>
  <si>
    <t xml:space="preserve">用印種類</t>
  </si>
  <si>
    <t xml:space="preserve">簽核狀態</t>
  </si>
  <si>
    <t xml:space="preserve">用印日期</t>
  </si>
  <si>
    <t xml:space="preserve">用印人</t>
  </si>
  <si>
    <t xml:space="preserve">掃描檔路徑</t>
  </si>
  <si>
    <t xml:space="preserve">歸檔編號</t>
  </si>
  <si>
    <t xml:space="preserve">SEAL-202610-001</t>
  </si>
  <si>
    <t xml:space="preserve">合約</t>
  </si>
  <si>
    <t xml:space="preserve">範例合作備忘錄</t>
  </si>
  <si>
    <t xml:space="preserve">範例股份有限公司</t>
  </si>
  <si>
    <t xml:space="preserve">雙方就範例專案合作之原則性約定；不含保密與競業條款</t>
  </si>
  <si>
    <r>
      <rPr>
        <sz val="10"/>
        <rFont val="Noto Sans CJK SC"/>
        <family val="2"/>
      </rPr>
      <t xml:space="preserve">合作</t>
    </r>
    <r>
      <rPr>
        <sz val="10"/>
        <rFont val="Microsoft JhengHei"/>
        <family val="0"/>
        <charset val="1"/>
      </rPr>
      <t xml:space="preserve">;</t>
    </r>
    <r>
      <rPr>
        <sz val="10"/>
        <rFont val="Noto Sans CJK SC"/>
        <family val="2"/>
      </rPr>
      <t xml:space="preserve">備忘錄</t>
    </r>
    <r>
      <rPr>
        <sz val="10"/>
        <rFont val="Microsoft JhengHei"/>
        <family val="0"/>
        <charset val="1"/>
      </rPr>
      <t xml:space="preserve">;</t>
    </r>
    <r>
      <rPr>
        <sz val="10"/>
        <rFont val="Noto Sans CJK SC"/>
        <family val="2"/>
      </rPr>
      <t xml:space="preserve">範例股份有限公司</t>
    </r>
  </si>
  <si>
    <t xml:space="preserve">公司大章</t>
  </si>
  <si>
    <t xml:space="preserve">已簽核</t>
  </si>
  <si>
    <t xml:space="preserve">行政</t>
  </si>
  <si>
    <r>
      <rPr>
        <sz val="10"/>
        <rFont val="Noto Sans CJK SC"/>
        <family val="2"/>
      </rPr>
      <t xml:space="preserve">歸檔</t>
    </r>
    <r>
      <rPr>
        <sz val="10"/>
        <rFont val="Microsoft JhengHei"/>
        <family val="0"/>
        <charset val="1"/>
      </rPr>
      <t xml:space="preserve">/SEAL-202610-001_final.pdf</t>
    </r>
  </si>
  <si>
    <t xml:space="preserve">2026-C-001</t>
  </si>
  <si>
    <t xml:space="preserve">合約期間與到期提醒由公式計算；無期限合約請「自動續約」選「無期限」並將合約迄日留白。關鍵字請用分號分隔，方便篩選與搜尋。</t>
  </si>
  <si>
    <t xml:space="preserve">營業稅 銷項發票登記</t>
  </si>
  <si>
    <r>
      <rPr>
        <sz val="9"/>
        <color rgb="FF7F7F7F"/>
        <rFont val="Noto Sans CJK SC"/>
        <family val="2"/>
      </rPr>
      <t xml:space="preserve">把公司開立的銷項發票逐張填入；由 </t>
    </r>
    <r>
      <rPr>
        <sz val="9"/>
        <color rgb="FF7F7F7F"/>
        <rFont val="Microsoft JhengHei"/>
        <family val="0"/>
        <charset val="1"/>
      </rPr>
      <t xml:space="preserve">vat_export.py </t>
    </r>
    <r>
      <rPr>
        <sz val="9"/>
        <color rgb="FF7F7F7F"/>
        <rFont val="Noto Sans CJK SC"/>
        <family val="2"/>
      </rPr>
      <t xml:space="preserve">產生營業稅進銷項資料檔（</t>
    </r>
    <r>
      <rPr>
        <sz val="9"/>
        <color rgb="FF7F7F7F"/>
        <rFont val="Microsoft JhengHei"/>
        <family val="0"/>
        <charset val="1"/>
      </rPr>
      <t xml:space="preserve">81</t>
    </r>
    <r>
      <rPr>
        <sz val="9"/>
        <color rgb="FF7F7F7F"/>
        <rFont val="Noto Sans CJK SC"/>
        <family val="2"/>
      </rPr>
      <t xml:space="preserve">字元 </t>
    </r>
    <r>
      <rPr>
        <sz val="9"/>
        <color rgb="FF7F7F7F"/>
        <rFont val="Microsoft JhengHei"/>
        <family val="0"/>
        <charset val="1"/>
      </rPr>
      <t xml:space="preserve">TXT</t>
    </r>
    <r>
      <rPr>
        <sz val="9"/>
        <color rgb="FF7F7F7F"/>
        <rFont val="Noto Sans CJK SC"/>
        <family val="2"/>
      </rPr>
      <t xml:space="preserve">）與銷項明細表。買受人為非營業人時，買受人統編留白</t>
    </r>
  </si>
  <si>
    <t xml:space="preserve">發票開立日期</t>
  </si>
  <si>
    <t xml:space="preserve">格式代號</t>
  </si>
  <si>
    <t xml:space="preserve">買受人統編</t>
  </si>
  <si>
    <t xml:space="preserve">買受人名稱</t>
  </si>
  <si>
    <r>
      <rPr>
        <b val="true"/>
        <sz val="11"/>
        <color rgb="FFFFFFFF"/>
        <rFont val="Noto Sans CJK SC"/>
        <family val="2"/>
      </rPr>
      <t xml:space="preserve">銷售額</t>
    </r>
    <r>
      <rPr>
        <b val="true"/>
        <sz val="11"/>
        <color rgb="FFFFFFFF"/>
        <rFont val="Microsoft JhengHei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未稅</t>
    </r>
    <r>
      <rPr>
        <b val="true"/>
        <sz val="11"/>
        <color rgb="FFFFFFFF"/>
        <rFont val="Microsoft JhengHei"/>
        <family val="0"/>
        <charset val="1"/>
      </rPr>
      <t xml:space="preserve">)</t>
    </r>
  </si>
  <si>
    <t xml:space="preserve">營業稅額</t>
  </si>
  <si>
    <t xml:space="preserve">通關方式註記</t>
  </si>
  <si>
    <t xml:space="preserve">說明</t>
  </si>
  <si>
    <r>
      <rPr>
        <sz val="10"/>
        <rFont val="Microsoft JhengHei"/>
        <family val="0"/>
        <charset val="1"/>
      </rPr>
      <t xml:space="preserve">31 </t>
    </r>
    <r>
      <rPr>
        <sz val="10"/>
        <rFont val="Noto Sans CJK SC"/>
        <family val="2"/>
      </rPr>
      <t xml:space="preserve">三聯式／電子計算機統一發票</t>
    </r>
  </si>
  <si>
    <t xml:space="preserve">CD12345678</t>
  </si>
  <si>
    <t xml:space="preserve">範例客戶股份有限公司</t>
  </si>
  <si>
    <t xml:space="preserve">範例專案服務費</t>
  </si>
  <si>
    <r>
      <rPr>
        <sz val="10"/>
        <rFont val="Microsoft JhengHei"/>
        <family val="0"/>
        <charset val="1"/>
      </rPr>
      <t xml:space="preserve">35 </t>
    </r>
    <r>
      <rPr>
        <sz val="10"/>
        <rFont val="Noto Sans CJK SC"/>
        <family val="2"/>
      </rPr>
      <t xml:space="preserve">三聯式收銀機及電子發票</t>
    </r>
  </si>
  <si>
    <t xml:space="preserve">CD12345679</t>
  </si>
  <si>
    <t xml:space="preserve">一般消費者</t>
  </si>
  <si>
    <t xml:space="preserve">範例零售</t>
  </si>
  <si>
    <t xml:space="preserve">課稅別選「作廢」時只需填發票字軌號碼；稅額為內含者（二聯式）請依營業稅申報規定處理，並與會計確認。</t>
  </si>
  <si>
    <t xml:space="preserve">申報設定（營業稅進銷項檔、各類所得申報檔、補充保費申報檔共用）</t>
  </si>
  <si>
    <t xml:space="preserve">淡黃色為需填寫；灰字為說明。範例值皆為虛構，請改成公司實際資料；此表含稅籍資料，請隨檔案一併加密保管</t>
  </si>
  <si>
    <t xml:space="preserve">設定值</t>
  </si>
  <si>
    <t xml:space="preserve">代碼</t>
  </si>
  <si>
    <t xml:space="preserve">營利事業統一編號</t>
  </si>
  <si>
    <t xml:space="preserve">70845354</t>
  </si>
  <si>
    <r>
      <rPr>
        <sz val="10"/>
        <color rgb="FF7F7F7F"/>
        <rFont val="Microsoft JhengHei"/>
        <family val="0"/>
        <charset val="1"/>
      </rPr>
      <t xml:space="preserve">8</t>
    </r>
    <r>
      <rPr>
        <sz val="10"/>
        <color rgb="FF7F7F7F"/>
        <rFont val="Noto Sans CJK SC"/>
        <family val="2"/>
      </rPr>
      <t xml:space="preserve">碼數字</t>
    </r>
  </si>
  <si>
    <t xml:space="preserve">company_id</t>
  </si>
  <si>
    <t xml:space="preserve">營業人稅籍編號（營業稅進銷項檔）</t>
  </si>
  <si>
    <t xml:space="preserve">000000000</t>
  </si>
  <si>
    <r>
      <rPr>
        <sz val="10"/>
        <color rgb="FF7F7F7F"/>
        <rFont val="Microsoft JhengHei"/>
        <family val="0"/>
        <charset val="1"/>
      </rPr>
      <t xml:space="preserve">9</t>
    </r>
    <r>
      <rPr>
        <sz val="10"/>
        <color rgb="FF7F7F7F"/>
        <rFont val="Noto Sans CJK SC"/>
        <family val="2"/>
      </rPr>
      <t xml:space="preserve">碼；範例值，請填營業稅稅籍編號</t>
    </r>
  </si>
  <si>
    <t xml:space="preserve">vat_tax_no</t>
  </si>
  <si>
    <t xml:space="preserve">扣繳單位稅籍編號（所得申報）</t>
  </si>
  <si>
    <r>
      <rPr>
        <sz val="10"/>
        <color rgb="FF7F7F7F"/>
        <rFont val="Microsoft JhengHei"/>
        <family val="0"/>
        <charset val="1"/>
      </rPr>
      <t xml:space="preserve">9</t>
    </r>
    <r>
      <rPr>
        <sz val="10"/>
        <color rgb="FF7F7F7F"/>
        <rFont val="Noto Sans CJK SC"/>
        <family val="2"/>
      </rPr>
      <t xml:space="preserve">碼；通常與營業稅稅籍編號相同；範例值</t>
    </r>
  </si>
  <si>
    <t xml:space="preserve">wh_tax_no</t>
  </si>
  <si>
    <t xml:space="preserve">稽徵機關代號</t>
  </si>
  <si>
    <t xml:space="preserve">A00</t>
  </si>
  <si>
    <r>
      <rPr>
        <sz val="10"/>
        <color rgb="FF7F7F7F"/>
        <rFont val="Microsoft JhengHei"/>
        <family val="0"/>
        <charset val="1"/>
      </rPr>
      <t xml:space="preserve">3</t>
    </r>
    <r>
      <rPr>
        <sz val="10"/>
        <color rgb="FF7F7F7F"/>
        <rFont val="Noto Sans CJK SC"/>
        <family val="2"/>
      </rPr>
      <t xml:space="preserve">碼，首碼英文、後</t>
    </r>
    <r>
      <rPr>
        <sz val="10"/>
        <color rgb="FF7F7F7F"/>
        <rFont val="Microsoft JhengHei"/>
        <family val="0"/>
        <charset val="1"/>
      </rPr>
      <t xml:space="preserve">2</t>
    </r>
    <r>
      <rPr>
        <sz val="10"/>
        <color rgb="FF7F7F7F"/>
        <rFont val="Noto Sans CJK SC"/>
        <family val="2"/>
      </rPr>
      <t xml:space="preserve">碼數字，為公司所在地國稅局分局代號；範例值</t>
    </r>
  </si>
  <si>
    <t xml:space="preserve">tax_office</t>
  </si>
  <si>
    <t xml:space="preserve">申報單位名稱</t>
  </si>
  <si>
    <r>
      <rPr>
        <sz val="10"/>
        <color rgb="FF7F7F7F"/>
        <rFont val="Noto Sans CJK SC"/>
        <family val="2"/>
      </rPr>
      <t xml:space="preserve">最多</t>
    </r>
    <r>
      <rPr>
        <sz val="10"/>
        <color rgb="FF7F7F7F"/>
        <rFont val="Microsoft JhengHei"/>
        <family val="0"/>
        <charset val="1"/>
      </rPr>
      <t xml:space="preserve">50</t>
    </r>
    <r>
      <rPr>
        <sz val="10"/>
        <color rgb="FF7F7F7F"/>
        <rFont val="Noto Sans CJK SC"/>
        <family val="2"/>
      </rPr>
      <t xml:space="preserve">字，須與稅籍登記名稱一致</t>
    </r>
  </si>
  <si>
    <t xml:space="preserve">unit_name</t>
  </si>
  <si>
    <t xml:space="preserve">申報單位地址</t>
  </si>
  <si>
    <r>
      <rPr>
        <sz val="10"/>
        <color rgb="FF000000"/>
        <rFont val="Noto Sans CJK SC"/>
        <family val="2"/>
      </rPr>
      <t xml:space="preserve">台北市範例區範例路</t>
    </r>
    <r>
      <rPr>
        <sz val="10"/>
        <color rgb="FF000000"/>
        <rFont val="Microsoft JhengHei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號</t>
    </r>
  </si>
  <si>
    <r>
      <rPr>
        <sz val="10"/>
        <color rgb="FF7F7F7F"/>
        <rFont val="Noto Sans CJK SC"/>
        <family val="2"/>
      </rPr>
      <t xml:space="preserve">最多</t>
    </r>
    <r>
      <rPr>
        <sz val="10"/>
        <color rgb="FF7F7F7F"/>
        <rFont val="Microsoft JhengHei"/>
        <family val="0"/>
        <charset val="1"/>
      </rPr>
      <t xml:space="preserve">26</t>
    </r>
    <r>
      <rPr>
        <sz val="10"/>
        <color rgb="FF7F7F7F"/>
        <rFont val="Noto Sans CJK SC"/>
        <family val="2"/>
      </rPr>
      <t xml:space="preserve">字；範例值</t>
    </r>
  </si>
  <si>
    <t xml:space="preserve">unit_addr</t>
  </si>
  <si>
    <t xml:space="preserve">扣繳義務人姓名</t>
  </si>
  <si>
    <t xml:space="preserve">範例負責人</t>
  </si>
  <si>
    <r>
      <rPr>
        <sz val="10"/>
        <color rgb="FF7F7F7F"/>
        <rFont val="Noto Sans CJK SC"/>
        <family val="2"/>
      </rPr>
      <t xml:space="preserve">最多</t>
    </r>
    <r>
      <rPr>
        <sz val="10"/>
        <color rgb="FF7F7F7F"/>
        <rFont val="Microsoft JhengHei"/>
        <family val="0"/>
        <charset val="1"/>
      </rPr>
      <t xml:space="preserve">20</t>
    </r>
    <r>
      <rPr>
        <sz val="10"/>
        <color rgb="FF7F7F7F"/>
        <rFont val="Noto Sans CJK SC"/>
        <family val="2"/>
      </rPr>
      <t xml:space="preserve">字；範例值</t>
    </r>
  </si>
  <si>
    <t xml:space="preserve">payer_name</t>
  </si>
  <si>
    <t xml:space="preserve">聯絡人姓名</t>
  </si>
  <si>
    <t xml:space="preserve">範例聯絡人</t>
  </si>
  <si>
    <t xml:space="preserve">contact</t>
  </si>
  <si>
    <t xml:space="preserve">聯絡電話</t>
  </si>
  <si>
    <t xml:space="preserve">0200000000</t>
  </si>
  <si>
    <r>
      <rPr>
        <sz val="10"/>
        <color rgb="FF7F7F7F"/>
        <rFont val="Noto Sans CJK SC"/>
        <family val="2"/>
      </rPr>
      <t xml:space="preserve">電話或手機，最多</t>
    </r>
    <r>
      <rPr>
        <sz val="10"/>
        <color rgb="FF7F7F7F"/>
        <rFont val="Microsoft JhengHei"/>
        <family val="0"/>
        <charset val="1"/>
      </rPr>
      <t xml:space="preserve">15</t>
    </r>
    <r>
      <rPr>
        <sz val="10"/>
        <color rgb="FF7F7F7F"/>
        <rFont val="Noto Sans CJK SC"/>
        <family val="2"/>
      </rPr>
      <t xml:space="preserve">碼；範例值</t>
    </r>
  </si>
  <si>
    <t xml:space="preserve">phone</t>
  </si>
  <si>
    <t xml:space="preserve">電子郵件</t>
  </si>
  <si>
    <t xml:space="preserve">example@example.com</t>
  </si>
  <si>
    <r>
      <rPr>
        <sz val="10"/>
        <color rgb="FF7F7F7F"/>
        <rFont val="Noto Sans CJK SC"/>
        <family val="2"/>
      </rPr>
      <t xml:space="preserve">最多</t>
    </r>
    <r>
      <rPr>
        <sz val="10"/>
        <color rgb="FF7F7F7F"/>
        <rFont val="Microsoft JhengHei"/>
        <family val="0"/>
        <charset val="1"/>
      </rPr>
      <t xml:space="preserve">30</t>
    </r>
    <r>
      <rPr>
        <sz val="10"/>
        <color rgb="FF7F7F7F"/>
        <rFont val="Noto Sans CJK SC"/>
        <family val="2"/>
      </rPr>
      <t xml:space="preserve">碼；範例值</t>
    </r>
  </si>
  <si>
    <t xml:space="preserve">email</t>
  </si>
  <si>
    <t xml:space="preserve">申報單位房屋稅籍編號</t>
  </si>
  <si>
    <t xml:space="preserve">A00000000000</t>
  </si>
  <si>
    <r>
      <rPr>
        <sz val="10"/>
        <color rgb="FF7F7F7F"/>
        <rFont val="Microsoft JhengHei"/>
        <family val="0"/>
        <charset val="1"/>
      </rPr>
      <t xml:space="preserve">12</t>
    </r>
    <r>
      <rPr>
        <sz val="10"/>
        <color rgb="FF7F7F7F"/>
        <rFont val="Noto Sans CJK SC"/>
        <family val="2"/>
      </rPr>
      <t xml:space="preserve">碼，見房屋稅繳款書；範例值</t>
    </r>
  </si>
  <si>
    <t xml:space="preserve">house_tax_no</t>
  </si>
  <si>
    <t xml:space="preserve">健保投保單位代號</t>
  </si>
  <si>
    <r>
      <rPr>
        <sz val="10"/>
        <color rgb="FF7F7F7F"/>
        <rFont val="Microsoft JhengHei"/>
        <family val="0"/>
        <charset val="1"/>
      </rPr>
      <t xml:space="preserve">9</t>
    </r>
    <r>
      <rPr>
        <sz val="10"/>
        <color rgb="FF7F7F7F"/>
        <rFont val="Noto Sans CJK SC"/>
        <family val="2"/>
      </rPr>
      <t xml:space="preserve">碼；補充保費獎金檔使用；範例值</t>
    </r>
  </si>
  <si>
    <t xml:space="preserve">nhi_unit</t>
  </si>
  <si>
    <r>
      <rPr>
        <sz val="10"/>
        <color rgb="FF000000"/>
        <rFont val="Noto Sans CJK SC"/>
        <family val="2"/>
      </rPr>
      <t xml:space="preserve">薪資發放月份（</t>
    </r>
    <r>
      <rPr>
        <sz val="10"/>
        <color rgb="FF000000"/>
        <rFont val="Microsoft JhengHei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＝當月，</t>
    </r>
    <r>
      <rPr>
        <sz val="10"/>
        <color rgb="FF000000"/>
        <rFont val="Microsoft JhengHei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＝次月）</t>
    </r>
  </si>
  <si>
    <r>
      <rPr>
        <sz val="10"/>
        <color rgb="FF7F7F7F"/>
        <rFont val="Noto Sans CJK SC"/>
        <family val="2"/>
      </rPr>
      <t xml:space="preserve">所得以給付日認列年度；若次月發薪請填 </t>
    </r>
    <r>
      <rPr>
        <sz val="10"/>
        <color rgb="FF7F7F7F"/>
        <rFont val="Microsoft JhengHei"/>
        <family val="0"/>
        <charset val="1"/>
      </rPr>
      <t xml:space="preserve">1</t>
    </r>
    <r>
      <rPr>
        <sz val="10"/>
        <color rgb="FF7F7F7F"/>
        <rFont val="Noto Sans CJK SC"/>
        <family val="2"/>
      </rPr>
      <t xml:space="preserve">，</t>
    </r>
    <r>
      <rPr>
        <sz val="10"/>
        <color rgb="FF7F7F7F"/>
        <rFont val="Microsoft JhengHei"/>
        <family val="0"/>
        <charset val="1"/>
      </rPr>
      <t xml:space="preserve">12 </t>
    </r>
    <r>
      <rPr>
        <sz val="10"/>
        <color rgb="FF7F7F7F"/>
        <rFont val="Noto Sans CJK SC"/>
        <family val="2"/>
      </rPr>
      <t xml:space="preserve">月薪資會歸入次年所得</t>
    </r>
  </si>
  <si>
    <t xml:space="preserve">pay_offset</t>
  </si>
  <si>
    <r>
      <rPr>
        <sz val="10"/>
        <color rgb="FF000000"/>
        <rFont val="Noto Sans CJK SC"/>
        <family val="2"/>
      </rPr>
      <t xml:space="preserve">薪資發放日（</t>
    </r>
    <r>
      <rPr>
        <sz val="10"/>
        <color rgb="FF000000"/>
        <rFont val="Microsoft JhengHei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＝當月月底）</t>
    </r>
  </si>
  <si>
    <r>
      <rPr>
        <sz val="10"/>
        <color rgb="FF7F7F7F"/>
        <rFont val="Microsoft JhengHei"/>
        <family val="0"/>
        <charset val="1"/>
      </rPr>
      <t xml:space="preserve">1–28 </t>
    </r>
    <r>
      <rPr>
        <sz val="10"/>
        <color rgb="FF7F7F7F"/>
        <rFont val="Noto Sans CJK SC"/>
        <family val="2"/>
      </rPr>
      <t xml:space="preserve">為固定日期；補充保費給付日期使用</t>
    </r>
  </si>
  <si>
    <t xml:space="preserve">pay_day</t>
  </si>
  <si>
    <r>
      <rPr>
        <sz val="10"/>
        <color rgb="FF000000"/>
        <rFont val="Noto Sans CJK SC"/>
        <family val="2"/>
      </rPr>
      <t xml:space="preserve">憑單填發方式（</t>
    </r>
    <r>
      <rPr>
        <sz val="10"/>
        <color rgb="FF000000"/>
        <rFont val="Microsoft JhengHei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免填發 </t>
    </r>
    <r>
      <rPr>
        <sz val="10"/>
        <color rgb="FF000000"/>
        <rFont val="Microsoft JhengHei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電子 </t>
    </r>
    <r>
      <rPr>
        <sz val="10"/>
        <color rgb="FF000000"/>
        <rFont val="Microsoft JhengHei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紙本）</t>
    </r>
  </si>
  <si>
    <t xml:space="preserve">1</t>
  </si>
  <si>
    <t xml:space="preserve">免填發須符合法定條件（期限內申報且所得人為境內居住個人），請會計確認</t>
  </si>
  <si>
    <t xml:space="preserve">issue_mode</t>
  </si>
  <si>
    <t xml:space="preserve">軟體註記</t>
  </si>
  <si>
    <t xml:space="preserve">A</t>
  </si>
  <si>
    <r>
      <rPr>
        <sz val="10"/>
        <color rgb="FF7F7F7F"/>
        <rFont val="Microsoft JhengHei"/>
        <family val="0"/>
        <charset val="1"/>
      </rPr>
      <t xml:space="preserve">A</t>
    </r>
    <r>
      <rPr>
        <sz val="10"/>
        <color rgb="FF7F7F7F"/>
        <rFont val="Noto Sans CJK SC"/>
        <family val="2"/>
      </rPr>
      <t xml:space="preserve">＝自行撰寫程式</t>
    </r>
  </si>
  <si>
    <t xml:space="preserve">soft_flag</t>
  </si>
  <si>
    <t xml:space="preserve">補充保險費費率</t>
  </si>
  <si>
    <t xml:space="preserve">0.0211</t>
  </si>
  <si>
    <t xml:space="preserve">2.11%</t>
  </si>
  <si>
    <t xml:space="preserve">supp_rate</t>
  </si>
  <si>
    <t xml:space="preserve">獎金計費倍數（累計超過投保金額幾倍）</t>
  </si>
  <si>
    <t xml:space="preserve">4</t>
  </si>
  <si>
    <r>
      <rPr>
        <sz val="10"/>
        <color rgb="FF7F7F7F"/>
        <rFont val="Noto Sans CJK SC"/>
        <family val="2"/>
      </rPr>
      <t xml:space="preserve">全年累計超過當月投保金額</t>
    </r>
    <r>
      <rPr>
        <sz val="10"/>
        <color rgb="FF7F7F7F"/>
        <rFont val="Microsoft JhengHei"/>
        <family val="0"/>
        <charset val="1"/>
      </rPr>
      <t xml:space="preserve">4</t>
    </r>
    <r>
      <rPr>
        <sz val="10"/>
        <color rgb="FF7F7F7F"/>
        <rFont val="Noto Sans CJK SC"/>
        <family val="2"/>
      </rPr>
      <t xml:space="preserve">倍的部分</t>
    </r>
  </si>
  <si>
    <t xml:space="preserve">bonus_mult</t>
  </si>
  <si>
    <t xml:space="preserve">簽核歷程紀錄（三流程共用）</t>
  </si>
  <si>
    <t xml:space="preserve">每次簽核或退回都新增一列，不得修改舊列</t>
  </si>
  <si>
    <t xml:space="preserve">單據編號</t>
  </si>
  <si>
    <t xml:space="preserve">流程</t>
  </si>
  <si>
    <t xml:space="preserve">關卡</t>
  </si>
  <si>
    <t xml:space="preserve">簽核人</t>
  </si>
  <si>
    <t xml:space="preserve">動作</t>
  </si>
  <si>
    <t xml:space="preserve">意見</t>
  </si>
  <si>
    <t xml:space="preserve">時間戳記</t>
  </si>
  <si>
    <t xml:space="preserve">費用報銷</t>
  </si>
  <si>
    <t xml:space="preserve">申請人送出</t>
  </si>
  <si>
    <t xml:space="preserve">送出</t>
  </si>
  <si>
    <t xml:space="preserve">2026-10-08 10:12</t>
  </si>
  <si>
    <t xml:space="preserve">財務會計</t>
  </si>
  <si>
    <t xml:space="preserve">核准</t>
  </si>
  <si>
    <t xml:space="preserve">憑證齊全</t>
  </si>
  <si>
    <t xml:space="preserve">2026-10-08 14:30</t>
  </si>
  <si>
    <t xml:space="preserve">CFO</t>
  </si>
  <si>
    <t xml:space="preserve">2026-10-09 09:05</t>
  </si>
  <si>
    <t xml:space="preserve">CEO</t>
  </si>
  <si>
    <t xml:space="preserve">2026-10-09 16:40</t>
  </si>
  <si>
    <t xml:space="preserve">用印申請</t>
  </si>
  <si>
    <t xml:space="preserve">2026-10-12 09:30</t>
  </si>
  <si>
    <t xml:space="preserve">部門主管</t>
  </si>
  <si>
    <t xml:space="preserve">工程部主管</t>
  </si>
  <si>
    <t xml:space="preserve">條文已確認</t>
  </si>
  <si>
    <t xml:space="preserve">2026-10-12 11:20</t>
  </si>
  <si>
    <t xml:space="preserve">2026-10-12 17:05</t>
  </si>
  <si>
    <t xml:space="preserve">行政用印</t>
  </si>
  <si>
    <t xml:space="preserve">已用印</t>
  </si>
  <si>
    <t xml:space="preserve">公司大章，已掃描</t>
  </si>
  <si>
    <t xml:space="preserve">2026-10-13 10:15</t>
  </si>
  <si>
    <t xml:space="preserve">2026-10-12 09:10</t>
  </si>
  <si>
    <t xml:space="preserve">同意</t>
  </si>
  <si>
    <t xml:space="preserve">已知悉並接手職務</t>
  </si>
  <si>
    <t xml:space="preserve">2026-10-12 10:00</t>
  </si>
  <si>
    <t xml:space="preserve">企劃部主管</t>
  </si>
  <si>
    <t xml:space="preserve">確認</t>
  </si>
  <si>
    <t xml:space="preserve">已確認事由與工作安排</t>
  </si>
  <si>
    <t xml:space="preserve">2026-10-12 14:30</t>
  </si>
  <si>
    <t xml:space="preserve">PAY-202610</t>
  </si>
  <si>
    <t xml:space="preserve">薪資</t>
  </si>
  <si>
    <t xml:space="preserve">員工出勤確認</t>
  </si>
  <si>
    <t xml:space="preserve">各部門主管</t>
  </si>
  <si>
    <t xml:space="preserve">全員出勤已確認</t>
  </si>
  <si>
    <t xml:space="preserve">2026-10-30 15:00</t>
  </si>
  <si>
    <t xml:space="preserve">月結表已核對</t>
  </si>
  <si>
    <t xml:space="preserve">2026-10-31 10:00</t>
  </si>
  <si>
    <t xml:space="preserve">2026-10-31 14:20</t>
  </si>
  <si>
    <t xml:space="preserve">例外情況處理規則</t>
  </si>
  <si>
    <t xml:space="preserve">情況</t>
  </si>
  <si>
    <t xml:space="preserve">處理方式</t>
  </si>
  <si>
    <t xml:space="preserve">留存紀錄</t>
  </si>
  <si>
    <t xml:space="preserve">漏打卡</t>
  </si>
  <si>
    <t xml:space="preserve">員工於平台補打卡申請並填原因，主管簽核後才計入月結</t>
  </si>
  <si>
    <t xml:space="preserve">補打卡申請單、簽核歷程</t>
  </si>
  <si>
    <t xml:space="preserve">請假未事先送出</t>
  </si>
  <si>
    <t xml:space="preserve">補請假單，主管簽核；月結前未核准者暫不扣薪，結算後調整</t>
  </si>
  <si>
    <t xml:space="preserve">請假單、調整紀錄</t>
  </si>
  <si>
    <t xml:space="preserve">憑證缺漏或模糊</t>
  </si>
  <si>
    <t xml:space="preserve">2</t>
  </si>
  <si>
    <t xml:space="preserve">會計退件，申請人重新拍照上傳；原憑證保留於歷程</t>
  </si>
  <si>
    <t xml:space="preserve">退件原因、新舊憑證</t>
  </si>
  <si>
    <t xml:space="preserve">金額修正</t>
  </si>
  <si>
    <t xml:space="preserve">由申請人修正後重送，需重新簽核，不得由會計直接改金額</t>
  </si>
  <si>
    <t xml:space="preserve">修正前後版本</t>
  </si>
  <si>
    <t xml:space="preserve">用印後內容變更</t>
  </si>
  <si>
    <t xml:space="preserve">3</t>
  </si>
  <si>
    <t xml:space="preserve">作廢原申請，重新送簽並重新用印；原件註記作廢</t>
  </si>
  <si>
    <t xml:space="preserve">作廢註記、新舊申請編號</t>
  </si>
  <si>
    <t xml:space="preserve">代理人同日也請假或未指定代理人</t>
  </si>
  <si>
    <t xml:space="preserve">職務代理人屬內部安排，不得作為給假條件；僅提示申請人與主管另行安排工作</t>
  </si>
  <si>
    <t xml:space="preserve">代理安排紀錄</t>
  </si>
  <si>
    <t xml:space="preserve">急病或緊急事故</t>
  </si>
  <si>
    <t xml:space="preserve">得委託他人代辦請假，事後依公司規定補件；不得僅因未事先填單即視為曠職</t>
  </si>
  <si>
    <t xml:space="preserve">代辦人、補件日期</t>
  </si>
  <si>
    <t xml:space="preserve">主管不在</t>
  </si>
  <si>
    <t xml:space="preserve">全部</t>
  </si>
  <si>
    <t xml:space="preserve">依代理人設定轉簽；代理須在平台登錄起迄日</t>
  </si>
  <si>
    <t xml:space="preserve">代理設定紀錄</t>
  </si>
  <si>
    <r>
      <rPr>
        <b val="true"/>
        <sz val="14"/>
        <color rgb="FF1F4E79"/>
        <rFont val="Microsoft JhengHei"/>
        <family val="0"/>
        <charset val="1"/>
      </rPr>
      <t xml:space="preserve">Google </t>
    </r>
    <r>
      <rPr>
        <b val="true"/>
        <sz val="14"/>
        <color rgb="FF1F4E79"/>
        <rFont val="Noto Sans CJK SC"/>
        <family val="2"/>
      </rPr>
      <t xml:space="preserve">表單／自建平台題目清單</t>
    </r>
  </si>
  <si>
    <t xml:space="preserve">題目</t>
  </si>
  <si>
    <t xml:space="preserve">類型</t>
  </si>
  <si>
    <t xml:space="preserve">必填</t>
  </si>
  <si>
    <r>
      <rPr>
        <sz val="10"/>
        <rFont val="Microsoft JhengHei"/>
        <family val="0"/>
        <charset val="1"/>
      </rPr>
      <t xml:space="preserve">2 </t>
    </r>
    <r>
      <rPr>
        <sz val="10"/>
        <rFont val="Noto Sans CJK SC"/>
        <family val="2"/>
      </rPr>
      <t xml:space="preserve">費用報銷</t>
    </r>
  </si>
  <si>
    <t xml:space="preserve">單選</t>
  </si>
  <si>
    <t xml:space="preserve">文創科技股份有限公司／小貓／知識產權</t>
  </si>
  <si>
    <t xml:space="preserve">下拉</t>
  </si>
  <si>
    <r>
      <rPr>
        <sz val="10"/>
        <rFont val="Noto Sans CJK SC"/>
        <family val="2"/>
      </rPr>
      <t xml:space="preserve">選項取自「會計科目對照」</t>
    </r>
    <r>
      <rPr>
        <sz val="10"/>
        <rFont val="Microsoft JhengHei"/>
        <family val="0"/>
        <charset val="1"/>
      </rPr>
      <t xml:space="preserve">J </t>
    </r>
    <r>
      <rPr>
        <sz val="10"/>
        <rFont val="Noto Sans CJK SC"/>
        <family val="2"/>
      </rPr>
      <t xml:space="preserve">欄；科目代號自動帶出</t>
    </r>
  </si>
  <si>
    <t xml:space="preserve">憑證照片</t>
  </si>
  <si>
    <t xml:space="preserve">檔案上傳</t>
  </si>
  <si>
    <r>
      <rPr>
        <sz val="10"/>
        <rFont val="Noto Sans CJK SC"/>
        <family val="2"/>
      </rPr>
      <t xml:space="preserve">可多張；限 </t>
    </r>
    <r>
      <rPr>
        <sz val="10"/>
        <rFont val="Microsoft JhengHei"/>
        <family val="0"/>
        <charset val="1"/>
      </rPr>
      <t xml:space="preserve">PDF</t>
    </r>
    <r>
      <rPr>
        <sz val="10"/>
        <rFont val="Noto Sans CJK SC"/>
        <family val="2"/>
      </rPr>
      <t xml:space="preserve">／</t>
    </r>
    <r>
      <rPr>
        <sz val="10"/>
        <rFont val="Microsoft JhengHei"/>
        <family val="0"/>
        <charset val="1"/>
      </rPr>
      <t xml:space="preserve">JPG</t>
    </r>
    <r>
      <rPr>
        <sz val="10"/>
        <rFont val="Noto Sans CJK SC"/>
        <family val="2"/>
      </rPr>
      <t xml:space="preserve">／</t>
    </r>
    <r>
      <rPr>
        <sz val="10"/>
        <rFont val="Microsoft JhengHei"/>
        <family val="0"/>
        <charset val="1"/>
      </rPr>
      <t xml:space="preserve">PNG</t>
    </r>
  </si>
  <si>
    <t xml:space="preserve">數字</t>
  </si>
  <si>
    <t xml:space="preserve">與憑證核對</t>
  </si>
  <si>
    <t xml:space="preserve">簡答</t>
  </si>
  <si>
    <r>
      <rPr>
        <sz val="10"/>
        <rFont val="Microsoft JhengHei"/>
        <family val="0"/>
        <charset val="1"/>
      </rPr>
      <t xml:space="preserve">3 </t>
    </r>
    <r>
      <rPr>
        <sz val="10"/>
        <rFont val="Noto Sans CJK SC"/>
        <family val="2"/>
      </rPr>
      <t xml:space="preserve">用印申請</t>
    </r>
  </si>
  <si>
    <t xml:space="preserve">合約／報價單／函文／其他</t>
  </si>
  <si>
    <t xml:space="preserve">大章／小章／發票章／電子章</t>
  </si>
  <si>
    <t xml:space="preserve">文件檔案</t>
  </si>
  <si>
    <r>
      <rPr>
        <sz val="10"/>
        <rFont val="Noto Sans CJK SC"/>
        <family val="2"/>
      </rPr>
      <t xml:space="preserve">用印前定稿 </t>
    </r>
    <r>
      <rPr>
        <sz val="10"/>
        <rFont val="Microsoft JhengHei"/>
        <family val="0"/>
        <charset val="1"/>
      </rPr>
      <t xml:space="preserve">PDF</t>
    </r>
  </si>
  <si>
    <r>
      <rPr>
        <sz val="10"/>
        <rFont val="Microsoft JhengHei"/>
        <family val="0"/>
        <charset val="1"/>
      </rPr>
      <t xml:space="preserve">1 </t>
    </r>
    <r>
      <rPr>
        <sz val="10"/>
        <rFont val="Noto Sans CJK SC"/>
        <family val="2"/>
      </rPr>
      <t xml:space="preserve">出勤</t>
    </r>
  </si>
  <si>
    <t xml:space="preserve">補打卡日期與原因</t>
  </si>
  <si>
    <t xml:space="preserve">日期＋簡答</t>
  </si>
  <si>
    <t xml:space="preserve">僅漏打卡時使用</t>
  </si>
  <si>
    <t xml:space="preserve">請假類別、起迄日</t>
  </si>
  <si>
    <t xml:space="preserve">單選＋日期</t>
  </si>
  <si>
    <t xml:space="preserve">事假／病假／特休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</si>
</sst>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;\(#,##0\);\-"/>
    <numFmt numFmtId="166" formatCode="0.0"/>
    <numFmt numFmtId="167" formatCode="0.00%"/>
    <numFmt numFmtId="168" formatCode="0%"/>
    <numFmt numFmtId="169" formatCode="0.00"/>
    <numFmt numFmtId="170" formatCode="yyyy\-mm\-dd"/>
    <numFmt numFmtId="171" formatCode="hh:mm"/>
    <numFmt numFmtId="172" formatCode="#,##0.##"/>
    <numFmt numFmtId="173" formatCode="General"/>
    <numFmt numFmtId="174" formatCode="#,##0.##;\(#,##0.##\);\-"/>
    <numFmt numFmtId="175" formatCode="#,##0.00"/>
    <numFmt numFmtId="176" formatCode="#,##0"/>
    <numFmt numFmtId="177" formatCode="@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Noto Sans CJK SC"/>
      <family val="2"/>
    </font>
    <font>
      <sz val="9"/>
      <color rgb="FF7F7F7F"/>
      <name val="Noto Sans CJK SC"/>
      <family val="2"/>
    </font>
    <font>
      <b val="true"/>
      <sz val="11"/>
      <color rgb="FFFFFFFF"/>
      <name val="Noto Sans CJK SC"/>
      <family val="2"/>
    </font>
    <font>
      <sz val="10"/>
      <name val="Noto Sans CJK SC"/>
      <family val="2"/>
    </font>
    <font>
      <sz val="10"/>
      <name val="Microsoft JhengHei"/>
      <family val="0"/>
      <charset val="1"/>
    </font>
    <font>
      <b val="true"/>
      <sz val="11"/>
      <name val="Noto Sans CJK SC"/>
      <family val="2"/>
    </font>
    <font>
      <sz val="9"/>
      <color rgb="FF7F7F7F"/>
      <name val="Microsoft JhengHei"/>
      <family val="0"/>
      <charset val="1"/>
    </font>
    <font>
      <b val="true"/>
      <sz val="11"/>
      <color rgb="FFFFFFFF"/>
      <name val="Microsoft JhengHei"/>
      <family val="0"/>
      <charset val="1"/>
    </font>
    <font>
      <b val="true"/>
      <sz val="10"/>
      <name val="Noto Sans CJK SC"/>
      <family val="2"/>
    </font>
    <font>
      <b val="true"/>
      <sz val="10"/>
      <name val="Microsoft JhengHei"/>
      <family val="0"/>
      <charset val="1"/>
    </font>
    <font>
      <sz val="10"/>
      <color rgb="FF0000FF"/>
      <name val="Microsoft JhengHei"/>
      <family val="0"/>
      <charset val="1"/>
    </font>
    <font>
      <b val="true"/>
      <sz val="11"/>
      <color rgb="FF1F4E79"/>
      <name val="Noto Sans CJK SC"/>
      <family val="2"/>
    </font>
    <font>
      <b val="true"/>
      <sz val="11"/>
      <color rgb="FF1F4E79"/>
      <name val="Microsoft JhengHei"/>
      <family val="0"/>
      <charset val="1"/>
    </font>
    <font>
      <b val="true"/>
      <sz val="10"/>
      <color rgb="FF1F4E79"/>
      <name val="Noto Sans CJK SC"/>
      <family val="2"/>
    </font>
    <font>
      <b val="true"/>
      <sz val="10"/>
      <color rgb="FF1F4E79"/>
      <name val="Microsoft JhengHei"/>
      <family val="0"/>
      <charset val="1"/>
    </font>
    <font>
      <sz val="10"/>
      <color rgb="FF0000FF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Microsoft JhengHei"/>
      <family val="0"/>
      <charset val="1"/>
    </font>
    <font>
      <sz val="10"/>
      <color rgb="FF7F7F7F"/>
      <name val="Microsoft JhengHei"/>
      <family val="0"/>
      <charset val="1"/>
    </font>
    <font>
      <sz val="10"/>
      <color rgb="FF7F7F7F"/>
      <name val="Noto Sans CJK SC"/>
      <family val="2"/>
    </font>
    <font>
      <b val="true"/>
      <sz val="14"/>
      <color rgb="FF1F4E79"/>
      <name val="Microsoft JhengHe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4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4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4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5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5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6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2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2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7.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4" t="s">
        <v>5</v>
      </c>
    </row>
    <row r="6" customFormat="false" ht="15" hidden="false" customHeight="false" outlineLevel="0" collapsed="false">
      <c r="A6" s="4" t="s">
        <v>6</v>
      </c>
      <c r="B6" s="4" t="s">
        <v>7</v>
      </c>
    </row>
    <row r="7" customFormat="false" ht="15" hidden="false" customHeight="false" outlineLevel="0" collapsed="false">
      <c r="A7" s="4" t="s">
        <v>8</v>
      </c>
      <c r="B7" s="4" t="s">
        <v>9</v>
      </c>
    </row>
    <row r="8" customFormat="false" ht="15" hidden="false" customHeight="false" outlineLevel="0" collapsed="false">
      <c r="A8" s="4" t="s">
        <v>10</v>
      </c>
      <c r="B8" s="4" t="s">
        <v>11</v>
      </c>
    </row>
    <row r="9" customFormat="false" ht="15" hidden="false" customHeight="false" outlineLevel="0" collapsed="false">
      <c r="A9" s="4" t="s">
        <v>12</v>
      </c>
      <c r="B9" s="4" t="s">
        <v>13</v>
      </c>
    </row>
    <row r="10" customFormat="false" ht="15" hidden="false" customHeight="false" outlineLevel="0" collapsed="false">
      <c r="A10" s="4" t="s">
        <v>14</v>
      </c>
      <c r="B10" s="4" t="s">
        <v>15</v>
      </c>
    </row>
    <row r="11" customFormat="false" ht="15" hidden="false" customHeight="false" outlineLevel="0" collapsed="false">
      <c r="A11" s="4" t="s">
        <v>16</v>
      </c>
      <c r="B11" s="4" t="s">
        <v>17</v>
      </c>
    </row>
    <row r="12" customFormat="false" ht="15" hidden="false" customHeight="false" outlineLevel="0" collapsed="false">
      <c r="A12" s="4" t="s">
        <v>18</v>
      </c>
      <c r="B12" s="4" t="s">
        <v>19</v>
      </c>
    </row>
    <row r="13" customFormat="false" ht="15" hidden="false" customHeight="false" outlineLevel="0" collapsed="false">
      <c r="A13" s="4" t="s">
        <v>20</v>
      </c>
      <c r="B13" s="4" t="s">
        <v>21</v>
      </c>
    </row>
    <row r="14" customFormat="false" ht="17.15" hidden="false" customHeight="false" outlineLevel="0" collapsed="false">
      <c r="A14" s="5" t="s">
        <v>22</v>
      </c>
      <c r="B14" s="4" t="s">
        <v>23</v>
      </c>
    </row>
    <row r="15" customFormat="false" ht="44" hidden="false" customHeight="false" outlineLevel="0" collapsed="false">
      <c r="A15" s="4" t="s">
        <v>24</v>
      </c>
      <c r="B15" s="4" t="s">
        <v>25</v>
      </c>
    </row>
    <row r="16" customFormat="false" ht="44" hidden="false" customHeight="false" outlineLevel="0" collapsed="false">
      <c r="A16" s="4" t="s">
        <v>26</v>
      </c>
      <c r="B16" s="4" t="s">
        <v>27</v>
      </c>
    </row>
    <row r="17" customFormat="false" ht="58.2" hidden="false" customHeight="false" outlineLevel="0" collapsed="false">
      <c r="A17" s="4" t="s">
        <v>28</v>
      </c>
      <c r="B17" s="4" t="s">
        <v>29</v>
      </c>
    </row>
    <row r="18" customFormat="false" ht="15" hidden="false" customHeight="false" outlineLevel="0" collapsed="false">
      <c r="A18" s="4" t="s">
        <v>30</v>
      </c>
      <c r="B18" s="4" t="s">
        <v>31</v>
      </c>
    </row>
    <row r="19" customFormat="false" ht="15" hidden="false" customHeight="false" outlineLevel="0" collapsed="false">
      <c r="A19" s="4" t="s">
        <v>32</v>
      </c>
      <c r="B19" s="4" t="s">
        <v>33</v>
      </c>
    </row>
    <row r="20" customFormat="false" ht="15" hidden="false" customHeight="false" outlineLevel="0" collapsed="false">
      <c r="A20" s="4" t="s">
        <v>34</v>
      </c>
      <c r="B20" s="6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5" min="4" style="0" width="52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37</v>
      </c>
    </row>
    <row r="4" customFormat="false" ht="17.15" hidden="false" customHeight="false" outlineLevel="0" collapsed="false">
      <c r="A4" s="3" t="s">
        <v>38</v>
      </c>
      <c r="B4" s="3" t="s">
        <v>39</v>
      </c>
      <c r="C4" s="3" t="s">
        <v>40</v>
      </c>
      <c r="D4" s="3" t="s">
        <v>41</v>
      </c>
      <c r="E4" s="3" t="s">
        <v>42</v>
      </c>
      <c r="F4" s="3" t="s">
        <v>43</v>
      </c>
    </row>
    <row r="5" customFormat="false" ht="29.85" hidden="false" customHeight="false" outlineLevel="0" collapsed="false">
      <c r="A5" s="7" t="n">
        <v>1</v>
      </c>
      <c r="B5" s="8" t="s">
        <v>44</v>
      </c>
      <c r="C5" s="8" t="s">
        <v>45</v>
      </c>
      <c r="D5" s="8" t="s">
        <v>46</v>
      </c>
      <c r="E5" s="8" t="s">
        <v>47</v>
      </c>
      <c r="F5" s="8" t="s">
        <v>48</v>
      </c>
    </row>
    <row r="6" customFormat="false" ht="29.85" hidden="false" customHeight="false" outlineLevel="0" collapsed="false">
      <c r="A6" s="8" t="n">
        <v>2</v>
      </c>
      <c r="B6" s="8" t="s">
        <v>49</v>
      </c>
      <c r="C6" s="8" t="s">
        <v>50</v>
      </c>
      <c r="D6" s="8" t="s">
        <v>51</v>
      </c>
      <c r="E6" s="8" t="s">
        <v>52</v>
      </c>
      <c r="F6" s="8" t="s">
        <v>48</v>
      </c>
    </row>
    <row r="7" customFormat="false" ht="29.85" hidden="false" customHeight="false" outlineLevel="0" collapsed="false">
      <c r="A7" s="8" t="n">
        <v>3</v>
      </c>
      <c r="B7" s="8" t="s">
        <v>53</v>
      </c>
      <c r="C7" s="8" t="s">
        <v>54</v>
      </c>
      <c r="D7" s="8" t="s">
        <v>55</v>
      </c>
      <c r="E7" s="8" t="s">
        <v>56</v>
      </c>
      <c r="F7" s="8" t="s">
        <v>48</v>
      </c>
    </row>
    <row r="8" customFormat="false" ht="44" hidden="false" customHeight="false" outlineLevel="0" collapsed="false">
      <c r="A8" s="8" t="n">
        <v>4</v>
      </c>
      <c r="B8" s="8" t="s">
        <v>57</v>
      </c>
      <c r="C8" s="8" t="s">
        <v>58</v>
      </c>
      <c r="D8" s="8" t="s">
        <v>59</v>
      </c>
      <c r="E8" s="8" t="s">
        <v>60</v>
      </c>
      <c r="F8" s="8" t="s">
        <v>48</v>
      </c>
    </row>
    <row r="9" customFormat="false" ht="29.85" hidden="false" customHeight="false" outlineLevel="0" collapsed="false">
      <c r="A9" s="8" t="n">
        <v>5</v>
      </c>
      <c r="B9" s="8" t="s">
        <v>61</v>
      </c>
      <c r="C9" s="8" t="s">
        <v>62</v>
      </c>
      <c r="D9" s="8" t="s">
        <v>63</v>
      </c>
      <c r="E9" s="8" t="s">
        <v>64</v>
      </c>
      <c r="F9" s="8" t="s">
        <v>48</v>
      </c>
    </row>
    <row r="10" customFormat="false" ht="29.85" hidden="false" customHeight="false" outlineLevel="0" collapsed="false">
      <c r="A10" s="8" t="n">
        <v>6</v>
      </c>
      <c r="B10" s="8" t="s">
        <v>65</v>
      </c>
      <c r="C10" s="8" t="s">
        <v>66</v>
      </c>
      <c r="D10" s="8" t="s">
        <v>67</v>
      </c>
      <c r="E10" s="8" t="s">
        <v>68</v>
      </c>
      <c r="F10" s="8" t="s">
        <v>69</v>
      </c>
    </row>
    <row r="11" customFormat="false" ht="29.85" hidden="false" customHeight="false" outlineLevel="0" collapsed="false">
      <c r="A11" s="8" t="n">
        <v>7</v>
      </c>
      <c r="B11" s="8" t="s">
        <v>70</v>
      </c>
      <c r="C11" s="8" t="s">
        <v>71</v>
      </c>
      <c r="D11" s="8" t="s">
        <v>72</v>
      </c>
      <c r="E11" s="8" t="s">
        <v>73</v>
      </c>
      <c r="F11" s="8" t="s">
        <v>48</v>
      </c>
    </row>
    <row r="12" customFormat="false" ht="29.85" hidden="false" customHeight="false" outlineLevel="0" collapsed="false">
      <c r="A12" s="8" t="n">
        <v>8</v>
      </c>
      <c r="B12" s="8" t="s">
        <v>74</v>
      </c>
      <c r="C12" s="8" t="s">
        <v>75</v>
      </c>
      <c r="D12" s="8" t="s">
        <v>76</v>
      </c>
      <c r="E12" s="8" t="s">
        <v>77</v>
      </c>
      <c r="F12" s="8" t="s">
        <v>78</v>
      </c>
    </row>
    <row r="13" customFormat="false" ht="72.35" hidden="false" customHeight="false" outlineLevel="0" collapsed="false">
      <c r="A13" s="8" t="n">
        <v>9</v>
      </c>
      <c r="B13" s="8" t="s">
        <v>79</v>
      </c>
      <c r="C13" s="8" t="s">
        <v>80</v>
      </c>
      <c r="D13" s="8" t="s">
        <v>81</v>
      </c>
      <c r="E13" s="8" t="s">
        <v>82</v>
      </c>
      <c r="F13" s="8" t="s">
        <v>48</v>
      </c>
    </row>
    <row r="14" customFormat="false" ht="58.2" hidden="false" customHeight="false" outlineLevel="0" collapsed="false">
      <c r="A14" s="8" t="n">
        <v>10</v>
      </c>
      <c r="B14" s="8" t="s">
        <v>83</v>
      </c>
      <c r="C14" s="8" t="s">
        <v>84</v>
      </c>
      <c r="D14" s="8" t="s">
        <v>85</v>
      </c>
      <c r="E14" s="8" t="s">
        <v>86</v>
      </c>
      <c r="F14" s="8" t="s">
        <v>87</v>
      </c>
    </row>
    <row r="15" customFormat="false" ht="15" hidden="false" customHeight="false" outlineLevel="0" collapsed="false">
      <c r="A15" s="8" t="n">
        <v>11</v>
      </c>
      <c r="B15" s="8" t="s">
        <v>88</v>
      </c>
      <c r="C15" s="8" t="s">
        <v>89</v>
      </c>
      <c r="D15" s="8" t="s">
        <v>90</v>
      </c>
      <c r="E15" s="8" t="s">
        <v>91</v>
      </c>
      <c r="F15" s="8" t="s">
        <v>48</v>
      </c>
    </row>
    <row r="16" customFormat="false" ht="29.85" hidden="false" customHeight="false" outlineLevel="0" collapsed="false">
      <c r="A16" s="8" t="n">
        <v>12</v>
      </c>
      <c r="B16" s="8" t="s">
        <v>92</v>
      </c>
      <c r="C16" s="8" t="s">
        <v>93</v>
      </c>
      <c r="D16" s="8" t="s">
        <v>94</v>
      </c>
      <c r="E16" s="8" t="s">
        <v>95</v>
      </c>
      <c r="F16" s="8" t="s">
        <v>48</v>
      </c>
    </row>
    <row r="17" customFormat="false" ht="29.85" hidden="false" customHeight="false" outlineLevel="0" collapsed="false">
      <c r="A17" s="8" t="n">
        <v>13</v>
      </c>
      <c r="B17" s="8" t="s">
        <v>96</v>
      </c>
      <c r="C17" s="8" t="s">
        <v>84</v>
      </c>
      <c r="D17" s="8" t="s">
        <v>97</v>
      </c>
      <c r="E17" s="8" t="s">
        <v>98</v>
      </c>
      <c r="F17" s="8" t="s">
        <v>87</v>
      </c>
    </row>
    <row r="18" customFormat="false" ht="29.85" hidden="false" customHeight="false" outlineLevel="0" collapsed="false">
      <c r="A18" s="8" t="n">
        <v>14</v>
      </c>
      <c r="B18" s="8" t="s">
        <v>99</v>
      </c>
      <c r="C18" s="8" t="s">
        <v>100</v>
      </c>
      <c r="D18" s="8" t="s">
        <v>101</v>
      </c>
      <c r="E18" s="8" t="s">
        <v>102</v>
      </c>
      <c r="F18" s="8" t="s">
        <v>69</v>
      </c>
    </row>
    <row r="19" customFormat="false" ht="44" hidden="false" customHeight="false" outlineLevel="0" collapsed="false">
      <c r="A19" s="8" t="n">
        <v>15</v>
      </c>
      <c r="B19" s="8" t="s">
        <v>103</v>
      </c>
      <c r="C19" s="8" t="s">
        <v>104</v>
      </c>
      <c r="D19" s="8" t="s">
        <v>105</v>
      </c>
      <c r="E19" s="8" t="s">
        <v>106</v>
      </c>
      <c r="F19" s="8" t="s">
        <v>87</v>
      </c>
    </row>
    <row r="20" customFormat="false" ht="44" hidden="false" customHeight="false" outlineLevel="0" collapsed="false">
      <c r="A20" s="8" t="n">
        <v>16</v>
      </c>
      <c r="B20" s="8" t="s">
        <v>107</v>
      </c>
      <c r="C20" s="8" t="s">
        <v>108</v>
      </c>
      <c r="D20" s="8" t="s">
        <v>109</v>
      </c>
      <c r="E20" s="8" t="s">
        <v>110</v>
      </c>
      <c r="F20" s="8" t="s">
        <v>69</v>
      </c>
    </row>
    <row r="21" customFormat="false" ht="29.85" hidden="false" customHeight="false" outlineLevel="0" collapsed="false">
      <c r="A21" s="8" t="n">
        <v>17</v>
      </c>
      <c r="B21" s="8" t="s">
        <v>111</v>
      </c>
      <c r="C21" s="8" t="s">
        <v>112</v>
      </c>
      <c r="D21" s="8" t="s">
        <v>113</v>
      </c>
      <c r="E21" s="8" t="s">
        <v>114</v>
      </c>
      <c r="F21" s="8" t="s">
        <v>48</v>
      </c>
    </row>
    <row r="22" customFormat="false" ht="29.85" hidden="false" customHeight="false" outlineLevel="0" collapsed="false">
      <c r="A22" s="8" t="n">
        <v>18</v>
      </c>
      <c r="B22" s="8" t="s">
        <v>115</v>
      </c>
      <c r="C22" s="8" t="s">
        <v>116</v>
      </c>
      <c r="D22" s="8" t="s">
        <v>117</v>
      </c>
      <c r="E22" s="8" t="s">
        <v>118</v>
      </c>
      <c r="F22" s="8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W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2" min="1" style="0" width="11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12" min="7" style="0" width="11"/>
    <col collapsed="false" customWidth="true" hidden="true" outlineLevel="1" max="22" min="13" style="0" width="11"/>
    <col collapsed="false" customWidth="true" hidden="false" outlineLevel="0" max="23" min="23" style="0" width="11"/>
    <col collapsed="false" customWidth="true" hidden="true" outlineLevel="1" max="24" min="24" style="0" width="11"/>
    <col collapsed="false" customWidth="true" hidden="false" outlineLevel="0" max="29" min="25" style="0" width="11"/>
    <col collapsed="false" customWidth="true" hidden="true" outlineLevel="1" max="30" min="30" style="0" width="11"/>
    <col collapsed="false" customWidth="true" hidden="false" outlineLevel="0" max="31" min="31" style="0" width="11"/>
    <col collapsed="false" customWidth="true" hidden="true" outlineLevel="1" max="35" min="32" style="0" width="11"/>
    <col collapsed="false" customWidth="true" hidden="false" outlineLevel="0" max="36" min="36" style="0" width="11"/>
    <col collapsed="false" customWidth="true" hidden="true" outlineLevel="1" max="37" min="37" style="0" width="11"/>
    <col collapsed="false" customWidth="true" hidden="false" outlineLevel="0" max="38" min="38" style="0" width="11"/>
    <col collapsed="false" customWidth="true" hidden="true" outlineLevel="1" max="39" min="39" style="0" width="11"/>
    <col collapsed="false" customWidth="true" hidden="false" outlineLevel="0" max="46" min="40" style="0" width="11"/>
    <col collapsed="false" customWidth="true" hidden="true" outlineLevel="1" max="48" min="47" style="0" width="11"/>
    <col collapsed="false" customWidth="true" hidden="false" outlineLevel="0" max="51" min="49" style="0" width="11"/>
    <col collapsed="false" customWidth="true" hidden="true" outlineLevel="1" max="52" min="52" style="0" width="11"/>
    <col collapsed="false" customWidth="true" hidden="false" outlineLevel="0" max="61" min="53" style="0" width="11"/>
    <col collapsed="false" customWidth="true" hidden="true" outlineLevel="1" max="62" min="62" style="0" width="11"/>
    <col collapsed="false" customWidth="true" hidden="false" outlineLevel="0" max="64" min="63" style="0" width="11"/>
    <col collapsed="false" customWidth="true" hidden="true" outlineLevel="1" max="69" min="65" style="0" width="11"/>
    <col collapsed="false" customWidth="true" hidden="false" outlineLevel="0" max="70" min="70" style="0" width="11"/>
    <col collapsed="false" customWidth="true" hidden="false" outlineLevel="0" max="71" min="71" style="0" width="24"/>
    <col collapsed="false" customWidth="true" hidden="false" outlineLevel="0" max="74" min="72" style="0" width="11"/>
    <col collapsed="false" customWidth="true" hidden="false" outlineLevel="0" max="75" min="75" style="0" width="18"/>
  </cols>
  <sheetData>
    <row r="1" customFormat="false" ht="17.35" hidden="false" customHeight="false" outlineLevel="0" collapsed="false">
      <c r="A1" s="1" t="s">
        <v>119</v>
      </c>
    </row>
    <row r="2" customFormat="false" ht="15" hidden="false" customHeight="false" outlineLevel="0" collapsed="false">
      <c r="A2" s="2" t="s">
        <v>120</v>
      </c>
    </row>
    <row r="5" customFormat="false" ht="48" hidden="false" customHeight="true" outlineLevel="0" collapsed="false">
      <c r="A5" s="3" t="s">
        <v>38</v>
      </c>
      <c r="B5" s="3" t="s">
        <v>121</v>
      </c>
      <c r="C5" s="3" t="s">
        <v>122</v>
      </c>
      <c r="D5" s="3" t="s">
        <v>123</v>
      </c>
      <c r="E5" s="3" t="s">
        <v>124</v>
      </c>
      <c r="F5" s="3" t="s">
        <v>125</v>
      </c>
      <c r="G5" s="3" t="s">
        <v>126</v>
      </c>
      <c r="H5" s="3" t="s">
        <v>127</v>
      </c>
      <c r="I5" s="3" t="s">
        <v>128</v>
      </c>
      <c r="J5" s="3" t="s">
        <v>129</v>
      </c>
      <c r="K5" s="3" t="s">
        <v>130</v>
      </c>
      <c r="L5" s="3" t="s">
        <v>131</v>
      </c>
      <c r="M5" s="3" t="s">
        <v>132</v>
      </c>
      <c r="N5" s="3" t="s">
        <v>133</v>
      </c>
      <c r="O5" s="3" t="s">
        <v>134</v>
      </c>
      <c r="P5" s="3" t="s">
        <v>135</v>
      </c>
      <c r="Q5" s="3" t="s">
        <v>136</v>
      </c>
      <c r="R5" s="3" t="s">
        <v>137</v>
      </c>
      <c r="S5" s="3" t="s">
        <v>138</v>
      </c>
      <c r="T5" s="3" t="s">
        <v>139</v>
      </c>
      <c r="U5" s="3" t="s">
        <v>140</v>
      </c>
      <c r="V5" s="3" t="s">
        <v>141</v>
      </c>
      <c r="W5" s="3" t="s">
        <v>79</v>
      </c>
      <c r="X5" s="3" t="s">
        <v>142</v>
      </c>
      <c r="Y5" s="3" t="s">
        <v>143</v>
      </c>
      <c r="Z5" s="3" t="s">
        <v>144</v>
      </c>
      <c r="AA5" s="3" t="s">
        <v>145</v>
      </c>
      <c r="AB5" s="3" t="s">
        <v>146</v>
      </c>
      <c r="AC5" s="3" t="s">
        <v>147</v>
      </c>
      <c r="AD5" s="3" t="s">
        <v>148</v>
      </c>
      <c r="AE5" s="3" t="s">
        <v>149</v>
      </c>
      <c r="AF5" s="3" t="s">
        <v>150</v>
      </c>
      <c r="AG5" s="3" t="s">
        <v>151</v>
      </c>
      <c r="AH5" s="3" t="s">
        <v>152</v>
      </c>
      <c r="AI5" s="3" t="s">
        <v>153</v>
      </c>
      <c r="AJ5" s="3" t="s">
        <v>154</v>
      </c>
      <c r="AK5" s="3" t="s">
        <v>155</v>
      </c>
      <c r="AL5" s="3" t="s">
        <v>126</v>
      </c>
      <c r="AM5" s="3" t="s">
        <v>156</v>
      </c>
      <c r="AN5" s="3" t="s">
        <v>157</v>
      </c>
      <c r="AO5" s="3" t="s">
        <v>88</v>
      </c>
      <c r="AP5" s="3" t="s">
        <v>158</v>
      </c>
      <c r="AQ5" s="3" t="s">
        <v>61</v>
      </c>
      <c r="AR5" s="3" t="s">
        <v>159</v>
      </c>
      <c r="AS5" s="3" t="s">
        <v>127</v>
      </c>
      <c r="AT5" s="3" t="s">
        <v>160</v>
      </c>
      <c r="AU5" s="3" t="s">
        <v>161</v>
      </c>
      <c r="AV5" s="3" t="s">
        <v>162</v>
      </c>
      <c r="AW5" s="3" t="s">
        <v>163</v>
      </c>
      <c r="AX5" s="3" t="s">
        <v>164</v>
      </c>
      <c r="AY5" s="3" t="s">
        <v>165</v>
      </c>
      <c r="AZ5" s="3" t="s">
        <v>166</v>
      </c>
      <c r="BA5" s="3" t="s">
        <v>167</v>
      </c>
      <c r="BB5" s="3" t="s">
        <v>168</v>
      </c>
      <c r="BC5" s="3" t="s">
        <v>169</v>
      </c>
      <c r="BD5" s="3" t="s">
        <v>170</v>
      </c>
      <c r="BE5" s="3" t="s">
        <v>171</v>
      </c>
      <c r="BF5" s="3" t="s">
        <v>172</v>
      </c>
      <c r="BG5" s="3" t="s">
        <v>173</v>
      </c>
      <c r="BH5" s="3" t="s">
        <v>174</v>
      </c>
      <c r="BI5" s="3" t="s">
        <v>175</v>
      </c>
      <c r="BJ5" s="3" t="s">
        <v>176</v>
      </c>
      <c r="BK5" s="3" t="s">
        <v>177</v>
      </c>
      <c r="BL5" s="3" t="s">
        <v>178</v>
      </c>
      <c r="BM5" s="3" t="s">
        <v>179</v>
      </c>
      <c r="BN5" s="3" t="s">
        <v>180</v>
      </c>
      <c r="BO5" s="3" t="s">
        <v>181</v>
      </c>
      <c r="BP5" s="3" t="s">
        <v>182</v>
      </c>
      <c r="BQ5" s="3" t="s">
        <v>183</v>
      </c>
      <c r="BR5" s="3" t="s">
        <v>184</v>
      </c>
      <c r="BS5" s="3" t="s">
        <v>185</v>
      </c>
      <c r="BT5" s="3" t="s">
        <v>186</v>
      </c>
      <c r="BU5" s="3" t="s">
        <v>187</v>
      </c>
      <c r="BV5" s="3" t="s">
        <v>188</v>
      </c>
      <c r="BW5" s="3" t="s">
        <v>189</v>
      </c>
    </row>
    <row r="6" customFormat="false" ht="15" hidden="false" customHeight="false" outlineLevel="0" collapsed="false">
      <c r="A6" s="9" t="n">
        <v>1</v>
      </c>
      <c r="B6" s="9" t="s">
        <v>190</v>
      </c>
      <c r="C6" s="10" t="s">
        <v>191</v>
      </c>
      <c r="D6" s="9" t="s">
        <v>192</v>
      </c>
      <c r="E6" s="10" t="n">
        <v>1</v>
      </c>
      <c r="F6" s="9" t="s">
        <v>193</v>
      </c>
      <c r="G6" s="11" t="n">
        <v>60000</v>
      </c>
      <c r="H6" s="11" t="n">
        <v>3000</v>
      </c>
      <c r="I6" s="10" t="n">
        <v>30</v>
      </c>
      <c r="J6" s="11" t="n">
        <v>1</v>
      </c>
      <c r="K6" s="11" t="n">
        <v>30</v>
      </c>
      <c r="L6" s="11" t="n">
        <v>0</v>
      </c>
      <c r="M6" s="11" t="n">
        <v>0</v>
      </c>
      <c r="N6" s="11" t="n">
        <v>0</v>
      </c>
      <c r="O6" s="11" t="n">
        <v>0</v>
      </c>
      <c r="P6" s="11" t="n">
        <v>0</v>
      </c>
      <c r="Q6" s="11" t="n">
        <v>0</v>
      </c>
      <c r="R6" s="11" t="n">
        <v>0</v>
      </c>
      <c r="S6" s="11" t="n">
        <v>0</v>
      </c>
      <c r="T6" s="11" t="n">
        <v>0</v>
      </c>
      <c r="U6" s="11" t="n">
        <v>0</v>
      </c>
      <c r="V6" s="11" t="n">
        <v>0</v>
      </c>
      <c r="W6" s="11" t="n">
        <v>0</v>
      </c>
      <c r="X6" s="11" t="n">
        <v>0</v>
      </c>
      <c r="Y6" s="12" t="n">
        <f aca="false">J6+L6+M6+N6+O6+P6+Q6+R6+S6+T6+U6+V6+W6+X6</f>
        <v>1</v>
      </c>
      <c r="Z6" s="13" t="n">
        <v>2</v>
      </c>
      <c r="AA6" s="13" t="n">
        <v>2</v>
      </c>
      <c r="AB6" s="13" t="n">
        <v>0</v>
      </c>
      <c r="AC6" s="13" t="n">
        <v>0</v>
      </c>
      <c r="AD6" s="13" t="n">
        <v>0</v>
      </c>
      <c r="AE6" s="11" t="n">
        <v>0</v>
      </c>
      <c r="AF6" s="13" t="n">
        <v>0</v>
      </c>
      <c r="AG6" s="13" t="n">
        <v>0</v>
      </c>
      <c r="AH6" s="11" t="n">
        <v>0</v>
      </c>
      <c r="AI6" s="13" t="n">
        <v>0</v>
      </c>
      <c r="AJ6" s="14" t="n">
        <f aca="false">Z6+AA6+AB6+AC6+AD6+AF6+AG6+AI6</f>
        <v>4</v>
      </c>
      <c r="AK6" s="4" t="str">
        <f aca="false">IF(AJ6&gt;46,"逾46小時","")</f>
        <v/>
      </c>
      <c r="AL6" s="12" t="n">
        <f aca="false">ROUND(G6/流程1_參數!$C$5*I6,0)</f>
        <v>60000</v>
      </c>
      <c r="AM6" s="11" t="n">
        <v>0</v>
      </c>
      <c r="AN6" s="12" t="n">
        <f aca="false">ROUND(G6/流程1_參數!$C$5*(J6*流程1_參數!$D$21+M6*流程1_參數!$D$24+O6*流程1_參數!$D$25),0)</f>
        <v>1000</v>
      </c>
      <c r="AO6" s="12" t="n">
        <f aca="false">ROUND(G6/流程1_參數!$C$5/流程1_參數!$C$6/60*K6*流程1_參數!$C$8,0)</f>
        <v>125</v>
      </c>
      <c r="AP6" s="12" t="n">
        <f aca="false">ROUND(G6/流程1_參數!$C$5*(L6*流程1_參數!$D$22+N6*流程1_參數!$D$23+X6*流程1_參數!$D$34),0)</f>
        <v>0</v>
      </c>
      <c r="AQ6" s="12" t="n">
        <f aca="false">ROUND((G6+H6*流程1_參數!$C$7)/流程1_參數!$C$5/流程1_參數!$C$6*(Z6*流程1_參數!$D$38+AA6*流程1_參數!$D$39+AB6*流程1_參數!$D$40+AC6*流程1_參數!$D$41+AD6*流程1_參數!$D$42+AF6*流程1_參數!$D$44+AG6*流程1_參數!$D$45+AI6*流程1_參數!$D$47)+(G6+H6*流程1_參數!$C$7)/流程1_參數!$C$5*(AE6*流程1_參數!$D$43+AH6*流程1_參數!$D$46),0)</f>
        <v>1580</v>
      </c>
      <c r="AR6" s="12" t="n">
        <f aca="false">AL6+AM6+AQ6-AN6-AO6-AP6</f>
        <v>60455</v>
      </c>
      <c r="AS6" s="12" t="n">
        <f aca="false">H6</f>
        <v>3000</v>
      </c>
      <c r="AT6" s="12" t="n">
        <f aca="false">AR6+AS6</f>
        <v>63455</v>
      </c>
      <c r="AU6" s="11" t="n">
        <v>0</v>
      </c>
      <c r="AV6" s="11" t="n">
        <v>0</v>
      </c>
      <c r="AW6" s="11" t="n">
        <v>45800</v>
      </c>
      <c r="AX6" s="12" t="n">
        <f aca="false">ROUND(AW6*流程1_參數!$C$9*流程1_參數!$C$10,0)</f>
        <v>1145</v>
      </c>
      <c r="AY6" s="12" t="n">
        <f aca="false">ROUND(AW6*流程1_參數!$C$9*流程1_參數!$C$11,0)</f>
        <v>4007</v>
      </c>
      <c r="AZ6" s="11" t="n">
        <v>0</v>
      </c>
      <c r="BA6" s="12" t="n">
        <f aca="false">AX6+AY6+AZ6</f>
        <v>5152</v>
      </c>
      <c r="BB6" s="12" t="n">
        <f aca="false">BE6+BG6</f>
        <v>3828</v>
      </c>
      <c r="BC6" s="11" t="n">
        <v>63800</v>
      </c>
      <c r="BD6" s="15" t="n">
        <f aca="false">流程1_參數!$C$17</f>
        <v>0.06</v>
      </c>
      <c r="BE6" s="12" t="n">
        <f aca="false">ROUND(BC6*BD6,0)</f>
        <v>3828</v>
      </c>
      <c r="BF6" s="16" t="n">
        <v>0</v>
      </c>
      <c r="BG6" s="12" t="n">
        <f aca="false">ROUND(BC6*BF6,0)</f>
        <v>0</v>
      </c>
      <c r="BH6" s="11" t="n">
        <v>63800</v>
      </c>
      <c r="BI6" s="12" t="n">
        <f aca="false">ROUND(BH6*流程1_參數!$C$12*流程1_參數!$C$13*(1+MIN(E6,流程1_參數!$C$15)),0)</f>
        <v>1979</v>
      </c>
      <c r="BJ6" s="11" t="n">
        <v>0</v>
      </c>
      <c r="BK6" s="12" t="n">
        <f aca="false">ROUND(BH6*流程1_參數!$C$12*流程1_參數!$C$14*流程1_參數!$C$16,0)</f>
        <v>3087</v>
      </c>
      <c r="BL6" s="12" t="n">
        <f aca="false">BI6+BJ6+BK6</f>
        <v>5066</v>
      </c>
      <c r="BM6" s="11" t="n">
        <v>0</v>
      </c>
      <c r="BN6" s="11" t="n">
        <v>0</v>
      </c>
      <c r="BO6" s="11" t="n">
        <v>0</v>
      </c>
      <c r="BP6" s="12" t="n">
        <f aca="false">IFERROR(INDEX(流程1_特休與請假查詢!$Q$5:$Q$34,MATCH(B6,流程1_特休與請假查詢!$A$5:$A$34,0)),0)</f>
        <v>0</v>
      </c>
      <c r="BQ6" s="11" t="n">
        <v>0</v>
      </c>
      <c r="BR6" s="12" t="n">
        <f aca="false">AT6+BO6+BP6+BQ6</f>
        <v>63455</v>
      </c>
      <c r="BS6" s="10" t="s">
        <v>194</v>
      </c>
      <c r="BT6" s="12" t="n">
        <f aca="false">BR6</f>
        <v>63455</v>
      </c>
      <c r="BU6" s="12" t="n">
        <f aca="false">AU6+AV6+AX6+AZ6+BG6+BI6+BJ6+BM6+BN6</f>
        <v>3124</v>
      </c>
      <c r="BV6" s="12" t="n">
        <f aca="false">BT6-BU6</f>
        <v>60331</v>
      </c>
      <c r="BW6" s="10"/>
    </row>
    <row r="7" customFormat="false" ht="15" hidden="false" customHeight="false" outlineLevel="0" collapsed="false">
      <c r="A7" s="10" t="n">
        <v>2</v>
      </c>
      <c r="B7" s="9" t="s">
        <v>195</v>
      </c>
      <c r="C7" s="10" t="s">
        <v>196</v>
      </c>
      <c r="D7" s="9" t="s">
        <v>197</v>
      </c>
      <c r="E7" s="10" t="n">
        <v>0</v>
      </c>
      <c r="F7" s="9" t="s">
        <v>198</v>
      </c>
      <c r="G7" s="11" t="n">
        <v>65000</v>
      </c>
      <c r="H7" s="11" t="n">
        <v>3000</v>
      </c>
      <c r="I7" s="10" t="n">
        <v>30</v>
      </c>
      <c r="J7" s="11" t="n">
        <v>0</v>
      </c>
      <c r="K7" s="11" t="n">
        <v>0</v>
      </c>
      <c r="L7" s="11" t="n">
        <v>1</v>
      </c>
      <c r="M7" s="11" t="n">
        <v>0</v>
      </c>
      <c r="N7" s="11" t="n">
        <v>0</v>
      </c>
      <c r="O7" s="11" t="n">
        <v>0</v>
      </c>
      <c r="P7" s="11" t="n">
        <v>0</v>
      </c>
      <c r="Q7" s="11" t="n">
        <v>0</v>
      </c>
      <c r="R7" s="11" t="n">
        <v>0</v>
      </c>
      <c r="S7" s="11" t="n">
        <v>0</v>
      </c>
      <c r="T7" s="11" t="n">
        <v>0</v>
      </c>
      <c r="U7" s="11" t="n">
        <v>0</v>
      </c>
      <c r="V7" s="11" t="n">
        <v>0</v>
      </c>
      <c r="W7" s="11" t="n">
        <v>1</v>
      </c>
      <c r="X7" s="11" t="n">
        <v>0</v>
      </c>
      <c r="Y7" s="12" t="n">
        <f aca="false">J7+L7+M7+N7+O7+P7+Q7+R7+S7+T7+U7+V7+W7+X7</f>
        <v>2</v>
      </c>
      <c r="Z7" s="13" t="n">
        <v>0</v>
      </c>
      <c r="AA7" s="13" t="n">
        <v>0</v>
      </c>
      <c r="AB7" s="13" t="n">
        <v>2</v>
      </c>
      <c r="AC7" s="13" t="n">
        <v>6</v>
      </c>
      <c r="AD7" s="13" t="n">
        <v>0</v>
      </c>
      <c r="AE7" s="11" t="n">
        <v>1</v>
      </c>
      <c r="AF7" s="13" t="n">
        <v>0</v>
      </c>
      <c r="AG7" s="13" t="n">
        <v>0</v>
      </c>
      <c r="AH7" s="11" t="n">
        <v>0</v>
      </c>
      <c r="AI7" s="13" t="n">
        <v>0</v>
      </c>
      <c r="AJ7" s="14" t="n">
        <f aca="false">Z7+AA7+AB7+AC7+AD7+AF7+AG7+AI7</f>
        <v>8</v>
      </c>
      <c r="AK7" s="4" t="str">
        <f aca="false">IF(AJ7&gt;46,"逾46小時","")</f>
        <v/>
      </c>
      <c r="AL7" s="12" t="n">
        <f aca="false">ROUND(G7/流程1_參數!$C$5*I7,0)</f>
        <v>65000</v>
      </c>
      <c r="AM7" s="11" t="n">
        <v>0</v>
      </c>
      <c r="AN7" s="12" t="n">
        <f aca="false">ROUND(G7/流程1_參數!$C$5*(J7*流程1_參數!$D$21+M7*流程1_參數!$D$24+O7*流程1_參數!$D$25),0)</f>
        <v>0</v>
      </c>
      <c r="AO7" s="12" t="n">
        <f aca="false">ROUND(G7/流程1_參數!$C$5/流程1_參數!$C$6/60*K7*流程1_參數!$C$8,0)</f>
        <v>0</v>
      </c>
      <c r="AP7" s="12" t="n">
        <f aca="false">ROUND(G7/流程1_參數!$C$5*(L7*流程1_參數!$D$22+N7*流程1_參數!$D$23+X7*流程1_參數!$D$34),0)</f>
        <v>2167</v>
      </c>
      <c r="AQ7" s="12" t="n">
        <f aca="false">ROUND((G7+H7*流程1_參數!$C$7)/流程1_參數!$C$5/流程1_參數!$C$6*(Z7*流程1_參數!$D$38+AA7*流程1_參數!$D$39+AB7*流程1_參數!$D$40+AC7*流程1_參數!$D$41+AD7*流程1_參數!$D$42+AF7*流程1_參數!$D$44+AG7*流程1_參數!$D$45+AI7*流程1_參數!$D$47)+(G7+H7*流程1_參數!$C$7)/流程1_參數!$C$5*(AE7*流程1_參數!$D$43+AH7*流程1_參數!$D$46),0)</f>
        <v>5865</v>
      </c>
      <c r="AR7" s="12" t="n">
        <f aca="false">AL7+AM7+AQ7-AN7-AO7-AP7</f>
        <v>68698</v>
      </c>
      <c r="AS7" s="12" t="n">
        <f aca="false">H7</f>
        <v>3000</v>
      </c>
      <c r="AT7" s="12" t="n">
        <f aca="false">AR7+AS7</f>
        <v>71698</v>
      </c>
      <c r="AU7" s="11" t="n">
        <v>0</v>
      </c>
      <c r="AV7" s="11" t="n">
        <v>0</v>
      </c>
      <c r="AW7" s="11" t="n">
        <v>45800</v>
      </c>
      <c r="AX7" s="12" t="n">
        <f aca="false">ROUND(AW7*流程1_參數!$C$9*流程1_參數!$C$10,0)</f>
        <v>1145</v>
      </c>
      <c r="AY7" s="12" t="n">
        <f aca="false">ROUND(AW7*流程1_參數!$C$9*流程1_參數!$C$11,0)</f>
        <v>4007</v>
      </c>
      <c r="AZ7" s="11" t="n">
        <v>0</v>
      </c>
      <c r="BA7" s="12" t="n">
        <f aca="false">AX7+AY7+AZ7</f>
        <v>5152</v>
      </c>
      <c r="BB7" s="12" t="n">
        <f aca="false">BE7+BG7</f>
        <v>6282</v>
      </c>
      <c r="BC7" s="11" t="n">
        <v>69800</v>
      </c>
      <c r="BD7" s="15" t="n">
        <f aca="false">流程1_參數!$C$17</f>
        <v>0.06</v>
      </c>
      <c r="BE7" s="12" t="n">
        <f aca="false">ROUND(BC7*BD7,0)</f>
        <v>4188</v>
      </c>
      <c r="BF7" s="16" t="n">
        <v>0.03</v>
      </c>
      <c r="BG7" s="12" t="n">
        <f aca="false">ROUND(BC7*BF7,0)</f>
        <v>2094</v>
      </c>
      <c r="BH7" s="11" t="n">
        <v>69800</v>
      </c>
      <c r="BI7" s="12" t="n">
        <f aca="false">ROUND(BH7*流程1_參數!$C$12*流程1_參數!$C$13*(1+MIN(E7,流程1_參數!$C$15)),0)</f>
        <v>1083</v>
      </c>
      <c r="BJ7" s="11" t="n">
        <v>0</v>
      </c>
      <c r="BK7" s="12" t="n">
        <f aca="false">ROUND(BH7*流程1_參數!$C$12*流程1_參數!$C$14*流程1_參數!$C$16,0)</f>
        <v>3378</v>
      </c>
      <c r="BL7" s="12" t="n">
        <f aca="false">BI7+BJ7+BK7</f>
        <v>4461</v>
      </c>
      <c r="BM7" s="11" t="n">
        <v>0</v>
      </c>
      <c r="BN7" s="11" t="n">
        <v>0</v>
      </c>
      <c r="BO7" s="11" t="n">
        <v>0</v>
      </c>
      <c r="BP7" s="12" t="n">
        <f aca="false">IFERROR(INDEX(流程1_特休與請假查詢!$Q$5:$Q$34,MATCH(B7,流程1_特休與請假查詢!$A$5:$A$34,0)),0)</f>
        <v>0</v>
      </c>
      <c r="BQ7" s="11" t="n">
        <v>0</v>
      </c>
      <c r="BR7" s="12" t="n">
        <f aca="false">AT7+BO7+BP7+BQ7</f>
        <v>71698</v>
      </c>
      <c r="BS7" s="10" t="s">
        <v>194</v>
      </c>
      <c r="BT7" s="12" t="n">
        <f aca="false">BR7</f>
        <v>71698</v>
      </c>
      <c r="BU7" s="12" t="n">
        <f aca="false">AU7+AV7+AX7+AZ7+BG7+BI7+BJ7+BM7+BN7</f>
        <v>4322</v>
      </c>
      <c r="BV7" s="12" t="n">
        <f aca="false">BT7-BU7</f>
        <v>67376</v>
      </c>
      <c r="BW7" s="10"/>
    </row>
    <row r="8" customFormat="false" ht="15" hidden="false" customHeight="false" outlineLevel="0" collapsed="false">
      <c r="A8" s="10" t="n">
        <v>3</v>
      </c>
      <c r="B8" s="9" t="s">
        <v>199</v>
      </c>
      <c r="C8" s="10" t="s">
        <v>200</v>
      </c>
      <c r="D8" s="9" t="s">
        <v>201</v>
      </c>
      <c r="E8" s="10" t="n">
        <v>2</v>
      </c>
      <c r="F8" s="9" t="s">
        <v>202</v>
      </c>
      <c r="G8" s="11" t="n">
        <v>42000</v>
      </c>
      <c r="H8" s="11" t="n">
        <v>3000</v>
      </c>
      <c r="I8" s="10" t="n">
        <v>30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0</v>
      </c>
      <c r="V8" s="11" t="n">
        <v>0</v>
      </c>
      <c r="W8" s="11" t="n">
        <v>0</v>
      </c>
      <c r="X8" s="11" t="n">
        <v>0</v>
      </c>
      <c r="Y8" s="12" t="n">
        <f aca="false">J8+L8+M8+N8+O8+P8+Q8+R8+S8+T8+U8+V8+W8+X8</f>
        <v>0</v>
      </c>
      <c r="Z8" s="13" t="n">
        <v>0</v>
      </c>
      <c r="AA8" s="13" t="n">
        <v>0</v>
      </c>
      <c r="AB8" s="13" t="n">
        <v>0</v>
      </c>
      <c r="AC8" s="13" t="n">
        <v>0</v>
      </c>
      <c r="AD8" s="13" t="n">
        <v>0</v>
      </c>
      <c r="AE8" s="11" t="n">
        <v>0</v>
      </c>
      <c r="AF8" s="13" t="n">
        <v>0</v>
      </c>
      <c r="AG8" s="13" t="n">
        <v>0</v>
      </c>
      <c r="AH8" s="11" t="n">
        <v>0</v>
      </c>
      <c r="AI8" s="13" t="n">
        <v>0</v>
      </c>
      <c r="AJ8" s="14" t="n">
        <f aca="false">Z8+AA8+AB8+AC8+AD8+AF8+AG8+AI8</f>
        <v>0</v>
      </c>
      <c r="AK8" s="4" t="str">
        <f aca="false">IF(AJ8&gt;46,"逾46小時","")</f>
        <v/>
      </c>
      <c r="AL8" s="12" t="n">
        <f aca="false">ROUND(G8/流程1_參數!$C$5*I8,0)</f>
        <v>42000</v>
      </c>
      <c r="AM8" s="11" t="n">
        <v>0</v>
      </c>
      <c r="AN8" s="12" t="n">
        <f aca="false">ROUND(G8/流程1_參數!$C$5*(J8*流程1_參數!$D$21+M8*流程1_參數!$D$24+O8*流程1_參數!$D$25),0)</f>
        <v>0</v>
      </c>
      <c r="AO8" s="12" t="n">
        <f aca="false">ROUND(G8/流程1_參數!$C$5/流程1_參數!$C$6/60*K8*流程1_參數!$C$8,0)</f>
        <v>0</v>
      </c>
      <c r="AP8" s="12" t="n">
        <f aca="false">ROUND(G8/流程1_參數!$C$5*(L8*流程1_參數!$D$22+N8*流程1_參數!$D$23+X8*流程1_參數!$D$34),0)</f>
        <v>0</v>
      </c>
      <c r="AQ8" s="12" t="n">
        <f aca="false">ROUND((G8+H8*流程1_參數!$C$7)/流程1_參數!$C$5/流程1_參數!$C$6*(Z8*流程1_參數!$D$38+AA8*流程1_參數!$D$39+AB8*流程1_參數!$D$40+AC8*流程1_參數!$D$41+AD8*流程1_參數!$D$42+AF8*流程1_參數!$D$44+AG8*流程1_參數!$D$45+AI8*流程1_參數!$D$47)+(G8+H8*流程1_參數!$C$7)/流程1_參數!$C$5*(AE8*流程1_參數!$D$43+AH8*流程1_參數!$D$46),0)</f>
        <v>0</v>
      </c>
      <c r="AR8" s="12" t="n">
        <f aca="false">AL8+AM8+AQ8-AN8-AO8-AP8</f>
        <v>42000</v>
      </c>
      <c r="AS8" s="12" t="n">
        <f aca="false">H8</f>
        <v>3000</v>
      </c>
      <c r="AT8" s="12" t="n">
        <f aca="false">AR8+AS8</f>
        <v>45000</v>
      </c>
      <c r="AU8" s="11" t="n">
        <v>0</v>
      </c>
      <c r="AV8" s="11" t="n">
        <v>0</v>
      </c>
      <c r="AW8" s="11" t="n">
        <v>45800</v>
      </c>
      <c r="AX8" s="12" t="n">
        <f aca="false">ROUND(AW8*流程1_參數!$C$9*流程1_參數!$C$10,0)</f>
        <v>1145</v>
      </c>
      <c r="AY8" s="12" t="n">
        <f aca="false">ROUND(AW8*流程1_參數!$C$9*流程1_參數!$C$11,0)</f>
        <v>4007</v>
      </c>
      <c r="AZ8" s="11" t="n">
        <v>0</v>
      </c>
      <c r="BA8" s="12" t="n">
        <f aca="false">AX8+AY8+AZ8</f>
        <v>5152</v>
      </c>
      <c r="BB8" s="12" t="n">
        <f aca="false">BE8+BG8</f>
        <v>2748</v>
      </c>
      <c r="BC8" s="11" t="n">
        <v>45800</v>
      </c>
      <c r="BD8" s="15" t="n">
        <f aca="false">流程1_參數!$C$17</f>
        <v>0.06</v>
      </c>
      <c r="BE8" s="12" t="n">
        <f aca="false">ROUND(BC8*BD8,0)</f>
        <v>2748</v>
      </c>
      <c r="BF8" s="16" t="n">
        <v>0</v>
      </c>
      <c r="BG8" s="12" t="n">
        <f aca="false">ROUND(BC8*BF8,0)</f>
        <v>0</v>
      </c>
      <c r="BH8" s="11" t="n">
        <v>45800</v>
      </c>
      <c r="BI8" s="12" t="n">
        <f aca="false">ROUND(BH8*流程1_參數!$C$12*流程1_參數!$C$13*(1+MIN(E8,流程1_參數!$C$15)),0)</f>
        <v>2131</v>
      </c>
      <c r="BJ8" s="11" t="n">
        <v>0</v>
      </c>
      <c r="BK8" s="12" t="n">
        <f aca="false">ROUND(BH8*流程1_參數!$C$12*流程1_參數!$C$14*流程1_參數!$C$16,0)</f>
        <v>2216</v>
      </c>
      <c r="BL8" s="12" t="n">
        <f aca="false">BI8+BJ8+BK8</f>
        <v>4347</v>
      </c>
      <c r="BM8" s="11" t="n">
        <v>0</v>
      </c>
      <c r="BN8" s="11" t="n">
        <v>0</v>
      </c>
      <c r="BO8" s="11" t="n">
        <v>0</v>
      </c>
      <c r="BP8" s="12" t="n">
        <f aca="false">IFERROR(INDEX(流程1_特休與請假查詢!$Q$5:$Q$34,MATCH(B8,流程1_特休與請假查詢!$A$5:$A$34,0)),0)</f>
        <v>0</v>
      </c>
      <c r="BQ8" s="11" t="n">
        <v>0</v>
      </c>
      <c r="BR8" s="12" t="n">
        <f aca="false">AT8+BO8+BP8+BQ8</f>
        <v>45000</v>
      </c>
      <c r="BS8" s="10" t="s">
        <v>194</v>
      </c>
      <c r="BT8" s="12" t="n">
        <f aca="false">BR8</f>
        <v>45000</v>
      </c>
      <c r="BU8" s="12" t="n">
        <f aca="false">AU8+AV8+AX8+AZ8+BG8+BI8+BJ8+BM8+BN8</f>
        <v>3276</v>
      </c>
      <c r="BV8" s="12" t="n">
        <f aca="false">BT8-BU8</f>
        <v>41724</v>
      </c>
      <c r="BW8" s="10"/>
    </row>
    <row r="9" customFormat="false" ht="15" hidden="false" customHeight="false" outlineLevel="0" collapsed="false">
      <c r="A9" s="17" t="s">
        <v>203</v>
      </c>
      <c r="B9" s="17"/>
      <c r="C9" s="17"/>
      <c r="D9" s="17"/>
      <c r="E9" s="17"/>
      <c r="F9" s="17"/>
      <c r="G9" s="18" t="n">
        <f aca="false">SUM(G6:G8)</f>
        <v>167000</v>
      </c>
      <c r="H9" s="18" t="n">
        <f aca="false">SUM(H6:H8)</f>
        <v>9000</v>
      </c>
      <c r="I9" s="17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 t="n">
        <f aca="false">SUM(Y6:Y8)</f>
        <v>3</v>
      </c>
      <c r="Z9" s="19"/>
      <c r="AA9" s="19"/>
      <c r="AB9" s="19"/>
      <c r="AC9" s="19"/>
      <c r="AD9" s="19"/>
      <c r="AE9" s="18"/>
      <c r="AF9" s="19"/>
      <c r="AG9" s="19"/>
      <c r="AH9" s="18"/>
      <c r="AI9" s="19"/>
      <c r="AJ9" s="19" t="n">
        <f aca="false">SUM(AJ6:AJ8)</f>
        <v>12</v>
      </c>
      <c r="AK9" s="17"/>
      <c r="AL9" s="18" t="n">
        <f aca="false">SUM(AL6:AL8)</f>
        <v>167000</v>
      </c>
      <c r="AM9" s="18" t="n">
        <f aca="false">SUM(AM6:AM8)</f>
        <v>0</v>
      </c>
      <c r="AN9" s="18" t="n">
        <f aca="false">SUM(AN6:AN8)</f>
        <v>1000</v>
      </c>
      <c r="AO9" s="18" t="n">
        <f aca="false">SUM(AO6:AO8)</f>
        <v>125</v>
      </c>
      <c r="AP9" s="18" t="n">
        <f aca="false">SUM(AP6:AP8)</f>
        <v>2167</v>
      </c>
      <c r="AQ9" s="18" t="n">
        <f aca="false">SUM(AQ6:AQ8)</f>
        <v>7445</v>
      </c>
      <c r="AR9" s="18" t="n">
        <f aca="false">SUM(AR6:AR8)</f>
        <v>171153</v>
      </c>
      <c r="AS9" s="18" t="n">
        <f aca="false">SUM(AS6:AS8)</f>
        <v>9000</v>
      </c>
      <c r="AT9" s="18" t="n">
        <f aca="false">SUM(AT6:AT8)</f>
        <v>180153</v>
      </c>
      <c r="AU9" s="18" t="n">
        <f aca="false">SUM(AU6:AU8)</f>
        <v>0</v>
      </c>
      <c r="AV9" s="18" t="n">
        <f aca="false">SUM(AV6:AV8)</f>
        <v>0</v>
      </c>
      <c r="AW9" s="18"/>
      <c r="AX9" s="18" t="n">
        <f aca="false">SUM(AX6:AX8)</f>
        <v>3435</v>
      </c>
      <c r="AY9" s="18" t="n">
        <f aca="false">SUM(AY6:AY8)</f>
        <v>12021</v>
      </c>
      <c r="AZ9" s="18" t="n">
        <f aca="false">SUM(AZ6:AZ8)</f>
        <v>0</v>
      </c>
      <c r="BA9" s="18" t="n">
        <f aca="false">SUM(BA6:BA8)</f>
        <v>15456</v>
      </c>
      <c r="BB9" s="18" t="n">
        <f aca="false">SUM(BB6:BB8)</f>
        <v>12858</v>
      </c>
      <c r="BC9" s="18"/>
      <c r="BD9" s="20"/>
      <c r="BE9" s="18" t="n">
        <f aca="false">SUM(BE6:BE8)</f>
        <v>10764</v>
      </c>
      <c r="BF9" s="20"/>
      <c r="BG9" s="18" t="n">
        <f aca="false">SUM(BG6:BG8)</f>
        <v>2094</v>
      </c>
      <c r="BH9" s="18"/>
      <c r="BI9" s="18" t="n">
        <f aca="false">SUM(BI6:BI8)</f>
        <v>5193</v>
      </c>
      <c r="BJ9" s="18" t="n">
        <f aca="false">SUM(BJ6:BJ8)</f>
        <v>0</v>
      </c>
      <c r="BK9" s="18" t="n">
        <f aca="false">SUM(BK6:BK8)</f>
        <v>8681</v>
      </c>
      <c r="BL9" s="18" t="n">
        <f aca="false">SUM(BL6:BL8)</f>
        <v>13874</v>
      </c>
      <c r="BM9" s="18" t="n">
        <f aca="false">SUM(BM6:BM8)</f>
        <v>0</v>
      </c>
      <c r="BN9" s="18" t="n">
        <f aca="false">SUM(BN6:BN8)</f>
        <v>0</v>
      </c>
      <c r="BO9" s="18" t="n">
        <f aca="false">SUM(BO6:BO8)</f>
        <v>0</v>
      </c>
      <c r="BP9" s="18" t="n">
        <f aca="false">SUM(BP6:BP8)</f>
        <v>0</v>
      </c>
      <c r="BQ9" s="18" t="n">
        <f aca="false">SUM(BQ6:BQ8)</f>
        <v>0</v>
      </c>
      <c r="BR9" s="18" t="n">
        <f aca="false">SUM(BR6:BR8)</f>
        <v>180153</v>
      </c>
      <c r="BS9" s="17"/>
      <c r="BT9" s="18" t="n">
        <f aca="false">SUM(BT6:BT8)</f>
        <v>180153</v>
      </c>
      <c r="BU9" s="18" t="n">
        <f aca="false">SUM(BU6:BU8)</f>
        <v>10722</v>
      </c>
      <c r="BV9" s="18" t="n">
        <f aca="false">SUM(BV6:BV8)</f>
        <v>169431</v>
      </c>
      <c r="BW9" s="17"/>
    </row>
    <row r="11" customFormat="false" ht="15" hidden="false" customHeight="false" outlineLevel="0" collapsed="false">
      <c r="A11" s="2" t="s">
        <v>204</v>
      </c>
    </row>
    <row r="12" customFormat="false" ht="15" hidden="false" customHeight="false" outlineLevel="0" collapsed="false">
      <c r="A12" s="2" t="s"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34"/>
    <col collapsed="false" customWidth="true" hidden="false" outlineLevel="0" max="6" min="6" style="0" width="22"/>
    <col collapsed="false" customWidth="true" hidden="false" outlineLevel="0" max="7" min="7" style="0" width="60"/>
  </cols>
  <sheetData>
    <row r="1" customFormat="false" ht="17.35" hidden="false" customHeight="false" outlineLevel="0" collapsed="false">
      <c r="A1" s="1" t="s">
        <v>206</v>
      </c>
    </row>
    <row r="2" customFormat="false" ht="15" hidden="false" customHeight="false" outlineLevel="0" collapsed="false">
      <c r="A2" s="2" t="s">
        <v>207</v>
      </c>
    </row>
    <row r="4" customFormat="false" ht="15" hidden="false" customHeight="false" outlineLevel="0" collapsed="false">
      <c r="B4" s="21" t="s">
        <v>208</v>
      </c>
      <c r="C4" s="21" t="s">
        <v>209</v>
      </c>
      <c r="D4" s="21" t="s">
        <v>210</v>
      </c>
    </row>
    <row r="5" customFormat="false" ht="26.85" hidden="false" customHeight="false" outlineLevel="0" collapsed="false">
      <c r="A5" s="4"/>
      <c r="B5" s="4" t="s">
        <v>211</v>
      </c>
      <c r="C5" s="22" t="n">
        <v>30</v>
      </c>
      <c r="D5" s="4" t="s">
        <v>212</v>
      </c>
    </row>
    <row r="6" customFormat="false" ht="44" hidden="false" customHeight="false" outlineLevel="0" collapsed="false">
      <c r="A6" s="4"/>
      <c r="B6" s="4" t="s">
        <v>213</v>
      </c>
      <c r="C6" s="22" t="n">
        <v>8</v>
      </c>
      <c r="D6" s="4" t="s">
        <v>214</v>
      </c>
    </row>
    <row r="7" customFormat="false" ht="86.55" hidden="false" customHeight="false" outlineLevel="0" collapsed="false">
      <c r="A7" s="4"/>
      <c r="B7" s="4" t="s">
        <v>215</v>
      </c>
      <c r="C7" s="22" t="n">
        <v>1</v>
      </c>
      <c r="D7" s="4" t="s">
        <v>216</v>
      </c>
    </row>
    <row r="8" customFormat="false" ht="58.2" hidden="false" customHeight="false" outlineLevel="0" collapsed="false">
      <c r="A8" s="4"/>
      <c r="B8" s="4" t="s">
        <v>217</v>
      </c>
      <c r="C8" s="22" t="n">
        <v>1</v>
      </c>
      <c r="D8" s="4" t="s">
        <v>218</v>
      </c>
    </row>
    <row r="9" customFormat="false" ht="100.7" hidden="false" customHeight="false" outlineLevel="0" collapsed="false">
      <c r="A9" s="4"/>
      <c r="B9" s="4" t="s">
        <v>219</v>
      </c>
      <c r="C9" s="23" t="n">
        <v>0.125</v>
      </c>
      <c r="D9" s="6" t="s">
        <v>220</v>
      </c>
    </row>
    <row r="10" customFormat="false" ht="41" hidden="false" customHeight="false" outlineLevel="0" collapsed="false">
      <c r="A10" s="4"/>
      <c r="B10" s="4" t="s">
        <v>221</v>
      </c>
      <c r="C10" s="24" t="n">
        <v>0.2</v>
      </c>
      <c r="D10" s="4" t="s">
        <v>222</v>
      </c>
    </row>
    <row r="11" customFormat="false" ht="15" hidden="false" customHeight="false" outlineLevel="0" collapsed="false">
      <c r="A11" s="4"/>
      <c r="B11" s="4" t="s">
        <v>223</v>
      </c>
      <c r="C11" s="24" t="n">
        <v>0.7</v>
      </c>
      <c r="D11" s="4"/>
    </row>
    <row r="12" customFormat="false" ht="26.85" hidden="false" customHeight="false" outlineLevel="0" collapsed="false">
      <c r="A12" s="4"/>
      <c r="B12" s="4" t="s">
        <v>224</v>
      </c>
      <c r="C12" s="23" t="n">
        <v>0.0517</v>
      </c>
      <c r="D12" s="6" t="s">
        <v>225</v>
      </c>
    </row>
    <row r="13" customFormat="false" ht="41" hidden="false" customHeight="false" outlineLevel="0" collapsed="false">
      <c r="A13" s="4"/>
      <c r="B13" s="4" t="s">
        <v>226</v>
      </c>
      <c r="C13" s="24" t="n">
        <v>0.3</v>
      </c>
      <c r="D13" s="4" t="s">
        <v>227</v>
      </c>
    </row>
    <row r="14" customFormat="false" ht="15" hidden="false" customHeight="false" outlineLevel="0" collapsed="false">
      <c r="A14" s="4"/>
      <c r="B14" s="4" t="s">
        <v>228</v>
      </c>
      <c r="C14" s="24" t="n">
        <v>0.6</v>
      </c>
      <c r="D14" s="4"/>
    </row>
    <row r="15" customFormat="false" ht="29.85" hidden="false" customHeight="false" outlineLevel="0" collapsed="false">
      <c r="A15" s="4"/>
      <c r="B15" s="4" t="s">
        <v>229</v>
      </c>
      <c r="C15" s="22" t="n">
        <v>3</v>
      </c>
      <c r="D15" s="4" t="s">
        <v>230</v>
      </c>
    </row>
    <row r="16" customFormat="false" ht="29.85" hidden="false" customHeight="false" outlineLevel="0" collapsed="false">
      <c r="A16" s="4"/>
      <c r="B16" s="4" t="s">
        <v>231</v>
      </c>
      <c r="C16" s="22" t="n">
        <v>1.56</v>
      </c>
      <c r="D16" s="4" t="s">
        <v>232</v>
      </c>
    </row>
    <row r="17" customFormat="false" ht="58.2" hidden="false" customHeight="false" outlineLevel="0" collapsed="false">
      <c r="A17" s="4"/>
      <c r="B17" s="4" t="s">
        <v>233</v>
      </c>
      <c r="C17" s="23" t="n">
        <v>0.06</v>
      </c>
      <c r="D17" s="4" t="s">
        <v>234</v>
      </c>
    </row>
    <row r="19" customFormat="false" ht="15" hidden="false" customHeight="false" outlineLevel="0" collapsed="false">
      <c r="B19" s="25" t="s">
        <v>235</v>
      </c>
    </row>
    <row r="20" customFormat="false" ht="15" hidden="false" customHeight="false" outlineLevel="0" collapsed="false">
      <c r="A20" s="4"/>
      <c r="B20" s="26" t="s">
        <v>236</v>
      </c>
      <c r="C20" s="26" t="s">
        <v>237</v>
      </c>
      <c r="D20" s="26" t="s">
        <v>238</v>
      </c>
      <c r="E20" s="26" t="s">
        <v>239</v>
      </c>
      <c r="F20" s="26" t="s">
        <v>240</v>
      </c>
      <c r="G20" s="26" t="s">
        <v>189</v>
      </c>
    </row>
    <row r="21" customFormat="false" ht="15" hidden="false" customHeight="false" outlineLevel="0" collapsed="false">
      <c r="A21" s="4"/>
      <c r="B21" s="4" t="s">
        <v>241</v>
      </c>
      <c r="C21" s="24" t="n">
        <v>0.5</v>
      </c>
      <c r="D21" s="27" t="n">
        <f aca="false">1-C21</f>
        <v>0.5</v>
      </c>
      <c r="E21" s="4" t="s">
        <v>242</v>
      </c>
      <c r="F21" s="4" t="s">
        <v>243</v>
      </c>
      <c r="G21" s="4" t="s">
        <v>244</v>
      </c>
    </row>
    <row r="22" customFormat="false" ht="15" hidden="false" customHeight="false" outlineLevel="0" collapsed="false">
      <c r="A22" s="4"/>
      <c r="B22" s="4" t="s">
        <v>131</v>
      </c>
      <c r="C22" s="24" t="n">
        <v>0</v>
      </c>
      <c r="D22" s="27" t="n">
        <f aca="false">1-C22</f>
        <v>1</v>
      </c>
      <c r="E22" s="4" t="s">
        <v>245</v>
      </c>
      <c r="F22" s="4" t="s">
        <v>243</v>
      </c>
      <c r="G22" s="4" t="s">
        <v>246</v>
      </c>
    </row>
    <row r="23" customFormat="false" ht="15" hidden="false" customHeight="false" outlineLevel="0" collapsed="false">
      <c r="A23" s="4"/>
      <c r="B23" s="4" t="s">
        <v>133</v>
      </c>
      <c r="C23" s="24" t="n">
        <v>0</v>
      </c>
      <c r="D23" s="27" t="n">
        <f aca="false">1-C23</f>
        <v>1</v>
      </c>
      <c r="E23" s="4" t="s">
        <v>247</v>
      </c>
      <c r="F23" s="4" t="s">
        <v>248</v>
      </c>
      <c r="G23" s="4" t="s">
        <v>249</v>
      </c>
    </row>
    <row r="24" customFormat="false" ht="15" hidden="false" customHeight="false" outlineLevel="0" collapsed="false">
      <c r="A24" s="4"/>
      <c r="B24" s="4" t="s">
        <v>132</v>
      </c>
      <c r="C24" s="24" t="n">
        <v>0.5</v>
      </c>
      <c r="D24" s="27" t="n">
        <f aca="false">1-C24</f>
        <v>0.5</v>
      </c>
      <c r="E24" s="4" t="s">
        <v>250</v>
      </c>
      <c r="F24" s="4" t="s">
        <v>248</v>
      </c>
      <c r="G24" s="4" t="s">
        <v>251</v>
      </c>
    </row>
    <row r="25" customFormat="false" ht="15" hidden="false" customHeight="false" outlineLevel="0" collapsed="false">
      <c r="A25" s="4"/>
      <c r="B25" s="4" t="s">
        <v>134</v>
      </c>
      <c r="C25" s="24" t="n">
        <v>0.5</v>
      </c>
      <c r="D25" s="27" t="n">
        <f aca="false">1-C25</f>
        <v>0.5</v>
      </c>
      <c r="E25" s="4" t="s">
        <v>252</v>
      </c>
      <c r="F25" s="4" t="s">
        <v>248</v>
      </c>
      <c r="G25" s="4" t="s">
        <v>253</v>
      </c>
    </row>
    <row r="26" customFormat="false" ht="15" hidden="false" customHeight="false" outlineLevel="0" collapsed="false">
      <c r="A26" s="4"/>
      <c r="B26" s="4" t="s">
        <v>135</v>
      </c>
      <c r="C26" s="24" t="n">
        <v>1</v>
      </c>
      <c r="D26" s="27" t="n">
        <f aca="false">1-C26</f>
        <v>0</v>
      </c>
      <c r="E26" s="6" t="s">
        <v>254</v>
      </c>
      <c r="F26" s="4" t="s">
        <v>243</v>
      </c>
      <c r="G26" s="4" t="s">
        <v>255</v>
      </c>
    </row>
    <row r="27" customFormat="false" ht="29.85" hidden="false" customHeight="false" outlineLevel="0" collapsed="false">
      <c r="A27" s="4"/>
      <c r="B27" s="4" t="s">
        <v>136</v>
      </c>
      <c r="C27" s="24" t="n">
        <v>1</v>
      </c>
      <c r="D27" s="27" t="n">
        <f aca="false">1-C27</f>
        <v>0</v>
      </c>
      <c r="E27" s="6" t="s">
        <v>256</v>
      </c>
      <c r="F27" s="4" t="s">
        <v>243</v>
      </c>
      <c r="G27" s="4" t="s">
        <v>257</v>
      </c>
    </row>
    <row r="28" customFormat="false" ht="15" hidden="false" customHeight="false" outlineLevel="0" collapsed="false">
      <c r="A28" s="4"/>
      <c r="B28" s="4" t="s">
        <v>137</v>
      </c>
      <c r="C28" s="24" t="n">
        <v>1</v>
      </c>
      <c r="D28" s="27" t="n">
        <f aca="false">1-C28</f>
        <v>0</v>
      </c>
      <c r="E28" s="6" t="s">
        <v>258</v>
      </c>
      <c r="F28" s="4" t="s">
        <v>248</v>
      </c>
      <c r="G28" s="4" t="s">
        <v>259</v>
      </c>
    </row>
    <row r="29" customFormat="false" ht="15" hidden="false" customHeight="false" outlineLevel="0" collapsed="false">
      <c r="A29" s="4"/>
      <c r="B29" s="4" t="s">
        <v>138</v>
      </c>
      <c r="C29" s="24" t="n">
        <v>1</v>
      </c>
      <c r="D29" s="27" t="n">
        <f aca="false">1-C29</f>
        <v>0</v>
      </c>
      <c r="E29" s="6" t="s">
        <v>260</v>
      </c>
      <c r="F29" s="4" t="s">
        <v>248</v>
      </c>
      <c r="G29" s="4" t="s">
        <v>255</v>
      </c>
    </row>
    <row r="30" customFormat="false" ht="15" hidden="false" customHeight="false" outlineLevel="0" collapsed="false">
      <c r="A30" s="4"/>
      <c r="B30" s="4" t="s">
        <v>139</v>
      </c>
      <c r="C30" s="24" t="n">
        <v>1</v>
      </c>
      <c r="D30" s="27" t="n">
        <f aca="false">1-C30</f>
        <v>0</v>
      </c>
      <c r="E30" s="6" t="s">
        <v>260</v>
      </c>
      <c r="F30" s="4" t="s">
        <v>248</v>
      </c>
      <c r="G30" s="4" t="s">
        <v>255</v>
      </c>
    </row>
    <row r="31" customFormat="false" ht="15" hidden="false" customHeight="false" outlineLevel="0" collapsed="false">
      <c r="A31" s="4"/>
      <c r="B31" s="4" t="s">
        <v>140</v>
      </c>
      <c r="C31" s="24" t="n">
        <v>1</v>
      </c>
      <c r="D31" s="27" t="n">
        <f aca="false">1-C31</f>
        <v>0</v>
      </c>
      <c r="E31" s="4" t="s">
        <v>261</v>
      </c>
      <c r="F31" s="4" t="s">
        <v>262</v>
      </c>
      <c r="G31" s="4" t="s">
        <v>263</v>
      </c>
    </row>
    <row r="32" customFormat="false" ht="15" hidden="false" customHeight="false" outlineLevel="0" collapsed="false">
      <c r="A32" s="4"/>
      <c r="B32" s="4" t="s">
        <v>141</v>
      </c>
      <c r="C32" s="24" t="n">
        <v>1</v>
      </c>
      <c r="D32" s="27" t="n">
        <f aca="false">1-C32</f>
        <v>0</v>
      </c>
      <c r="E32" s="4" t="s">
        <v>264</v>
      </c>
      <c r="F32" s="4" t="s">
        <v>243</v>
      </c>
      <c r="G32" s="4" t="s">
        <v>255</v>
      </c>
    </row>
    <row r="33" customFormat="false" ht="44" hidden="false" customHeight="false" outlineLevel="0" collapsed="false">
      <c r="A33" s="4"/>
      <c r="B33" s="4" t="s">
        <v>79</v>
      </c>
      <c r="C33" s="24" t="n">
        <v>1</v>
      </c>
      <c r="D33" s="27" t="n">
        <f aca="false">1-C33</f>
        <v>0</v>
      </c>
      <c r="E33" s="4" t="s">
        <v>265</v>
      </c>
      <c r="F33" s="4" t="s">
        <v>266</v>
      </c>
      <c r="G33" s="4" t="s">
        <v>267</v>
      </c>
    </row>
    <row r="34" customFormat="false" ht="15" hidden="false" customHeight="false" outlineLevel="0" collapsed="false">
      <c r="A34" s="4"/>
      <c r="B34" s="4" t="s">
        <v>142</v>
      </c>
      <c r="C34" s="24" t="n">
        <v>0</v>
      </c>
      <c r="D34" s="27" t="n">
        <f aca="false">1-C34</f>
        <v>1</v>
      </c>
      <c r="E34" s="4" t="s">
        <v>268</v>
      </c>
      <c r="F34" s="4" t="s">
        <v>248</v>
      </c>
      <c r="G34" s="4" t="s">
        <v>269</v>
      </c>
    </row>
    <row r="36" customFormat="false" ht="17.15" hidden="false" customHeight="false" outlineLevel="0" collapsed="false">
      <c r="B36" s="25" t="s">
        <v>270</v>
      </c>
    </row>
    <row r="37" customFormat="false" ht="15" hidden="false" customHeight="false" outlineLevel="0" collapsed="false">
      <c r="B37" s="21" t="s">
        <v>271</v>
      </c>
      <c r="C37" s="21" t="s">
        <v>272</v>
      </c>
      <c r="D37" s="21" t="s">
        <v>273</v>
      </c>
      <c r="E37" s="21" t="s">
        <v>274</v>
      </c>
      <c r="F37" s="21" t="s">
        <v>189</v>
      </c>
    </row>
    <row r="38" customFormat="false" ht="15" hidden="false" customHeight="false" outlineLevel="0" collapsed="false">
      <c r="A38" s="4"/>
      <c r="B38" s="4" t="s">
        <v>275</v>
      </c>
      <c r="C38" s="4" t="s">
        <v>276</v>
      </c>
      <c r="D38" s="28" t="n">
        <v>1.34</v>
      </c>
      <c r="E38" s="4" t="s">
        <v>277</v>
      </c>
      <c r="F38" s="4" t="s">
        <v>278</v>
      </c>
    </row>
    <row r="39" customFormat="false" ht="29.85" hidden="false" customHeight="false" outlineLevel="0" collapsed="false">
      <c r="A39" s="4"/>
      <c r="B39" s="4" t="s">
        <v>275</v>
      </c>
      <c r="C39" s="4" t="s">
        <v>279</v>
      </c>
      <c r="D39" s="28" t="n">
        <v>1.67</v>
      </c>
      <c r="E39" s="4" t="s">
        <v>277</v>
      </c>
      <c r="F39" s="4" t="s">
        <v>280</v>
      </c>
    </row>
    <row r="40" customFormat="false" ht="29.85" hidden="false" customHeight="false" outlineLevel="0" collapsed="false">
      <c r="A40" s="4"/>
      <c r="B40" s="4" t="s">
        <v>281</v>
      </c>
      <c r="C40" s="4" t="s">
        <v>282</v>
      </c>
      <c r="D40" s="28" t="n">
        <v>1.34</v>
      </c>
      <c r="E40" s="4" t="s">
        <v>277</v>
      </c>
      <c r="F40" s="4" t="s">
        <v>283</v>
      </c>
    </row>
    <row r="41" customFormat="false" ht="15" hidden="false" customHeight="false" outlineLevel="0" collapsed="false">
      <c r="A41" s="4"/>
      <c r="B41" s="4" t="s">
        <v>281</v>
      </c>
      <c r="C41" s="4" t="s">
        <v>284</v>
      </c>
      <c r="D41" s="28" t="n">
        <v>1.67</v>
      </c>
      <c r="E41" s="4" t="s">
        <v>277</v>
      </c>
      <c r="F41" s="4"/>
    </row>
    <row r="42" customFormat="false" ht="15" hidden="false" customHeight="false" outlineLevel="0" collapsed="false">
      <c r="A42" s="4"/>
      <c r="B42" s="4" t="s">
        <v>281</v>
      </c>
      <c r="C42" s="4" t="s">
        <v>285</v>
      </c>
      <c r="D42" s="28" t="n">
        <v>2.67</v>
      </c>
      <c r="E42" s="4" t="s">
        <v>277</v>
      </c>
      <c r="F42" s="4"/>
    </row>
    <row r="43" customFormat="false" ht="44" hidden="false" customHeight="false" outlineLevel="0" collapsed="false">
      <c r="A43" s="4"/>
      <c r="B43" s="4" t="s">
        <v>286</v>
      </c>
      <c r="C43" s="6" t="s">
        <v>287</v>
      </c>
      <c r="D43" s="28" t="n">
        <v>1</v>
      </c>
      <c r="E43" s="4" t="s">
        <v>288</v>
      </c>
      <c r="F43" s="4" t="s">
        <v>289</v>
      </c>
    </row>
    <row r="44" customFormat="false" ht="15" hidden="false" customHeight="false" outlineLevel="0" collapsed="false">
      <c r="A44" s="4"/>
      <c r="B44" s="4" t="s">
        <v>290</v>
      </c>
      <c r="C44" s="4" t="s">
        <v>291</v>
      </c>
      <c r="D44" s="28" t="n">
        <v>1.34</v>
      </c>
      <c r="E44" s="4" t="s">
        <v>277</v>
      </c>
      <c r="F44" s="4"/>
    </row>
    <row r="45" customFormat="false" ht="15" hidden="false" customHeight="false" outlineLevel="0" collapsed="false">
      <c r="A45" s="4"/>
      <c r="B45" s="4" t="s">
        <v>290</v>
      </c>
      <c r="C45" s="4" t="s">
        <v>292</v>
      </c>
      <c r="D45" s="28" t="n">
        <v>1.67</v>
      </c>
      <c r="E45" s="4" t="s">
        <v>277</v>
      </c>
      <c r="F45" s="4"/>
    </row>
    <row r="46" customFormat="false" ht="29.85" hidden="false" customHeight="false" outlineLevel="0" collapsed="false">
      <c r="A46" s="4"/>
      <c r="B46" s="4" t="s">
        <v>293</v>
      </c>
      <c r="C46" s="6" t="s">
        <v>287</v>
      </c>
      <c r="D46" s="28" t="n">
        <v>1</v>
      </c>
      <c r="E46" s="4" t="s">
        <v>288</v>
      </c>
      <c r="F46" s="4" t="s">
        <v>294</v>
      </c>
    </row>
    <row r="47" customFormat="false" ht="15" hidden="false" customHeight="false" outlineLevel="0" collapsed="false">
      <c r="A47" s="4"/>
      <c r="B47" s="4" t="s">
        <v>295</v>
      </c>
      <c r="C47" s="4" t="s">
        <v>296</v>
      </c>
      <c r="D47" s="28" t="n">
        <v>2</v>
      </c>
      <c r="E47" s="4" t="s">
        <v>277</v>
      </c>
      <c r="F47" s="4"/>
    </row>
    <row r="49" customFormat="false" ht="15" hidden="false" customHeight="false" outlineLevel="0" collapsed="false">
      <c r="B49" s="2" t="s">
        <v>297</v>
      </c>
    </row>
    <row r="50" customFormat="false" ht="15" hidden="false" customHeight="false" outlineLevel="0" collapsed="false">
      <c r="B50" s="2" t="s">
        <v>298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6" min="4" style="0" width="10"/>
    <col collapsed="false" customWidth="true" hidden="false" outlineLevel="0" max="10" min="7" style="0" width="9"/>
    <col collapsed="false" customWidth="true" hidden="false" outlineLevel="0" max="11" min="11" style="0" width="34"/>
    <col collapsed="false" customWidth="true" hidden="false" outlineLevel="0" max="12" min="12" style="0" width="18"/>
    <col collapsed="false" customWidth="true" hidden="false" outlineLevel="0" max="13" min="13" style="0" width="22"/>
  </cols>
  <sheetData>
    <row r="1" customFormat="false" ht="17.35" hidden="false" customHeight="false" outlineLevel="0" collapsed="false">
      <c r="A1" s="1" t="s">
        <v>299</v>
      </c>
    </row>
    <row r="2" customFormat="false" ht="15" hidden="false" customHeight="false" outlineLevel="0" collapsed="false">
      <c r="A2" s="2" t="s">
        <v>300</v>
      </c>
    </row>
    <row r="4" customFormat="false" ht="17.15" hidden="false" customHeight="false" outlineLevel="0" collapsed="false">
      <c r="A4" s="3" t="s">
        <v>301</v>
      </c>
      <c r="B4" s="3" t="s">
        <v>121</v>
      </c>
      <c r="C4" s="3" t="s">
        <v>122</v>
      </c>
      <c r="D4" s="3" t="s">
        <v>302</v>
      </c>
      <c r="E4" s="3" t="s">
        <v>303</v>
      </c>
      <c r="F4" s="3" t="s">
        <v>304</v>
      </c>
      <c r="G4" s="3" t="s">
        <v>305</v>
      </c>
      <c r="H4" s="3" t="s">
        <v>306</v>
      </c>
      <c r="I4" s="3" t="s">
        <v>307</v>
      </c>
      <c r="J4" s="3" t="s">
        <v>308</v>
      </c>
      <c r="K4" s="3" t="s">
        <v>309</v>
      </c>
      <c r="L4" s="3" t="s">
        <v>189</v>
      </c>
      <c r="M4" s="3" t="s">
        <v>310</v>
      </c>
    </row>
    <row r="5" customFormat="false" ht="15" hidden="false" customHeight="false" outlineLevel="0" collapsed="false">
      <c r="A5" s="29" t="n">
        <v>46300</v>
      </c>
      <c r="B5" s="30" t="s">
        <v>190</v>
      </c>
      <c r="C5" s="31" t="s">
        <v>191</v>
      </c>
      <c r="D5" s="31" t="s">
        <v>311</v>
      </c>
      <c r="E5" s="32" t="n">
        <v>0.375</v>
      </c>
      <c r="F5" s="32" t="n">
        <v>0.916666666666667</v>
      </c>
      <c r="G5" s="31" t="n">
        <v>60</v>
      </c>
      <c r="H5" s="33" t="n">
        <f aca="false">IF(OR(E5="",F5=""),"",ROUND(((F5-E5)*1440-G5)/60,2))</f>
        <v>12</v>
      </c>
      <c r="I5" s="33" t="n">
        <f aca="false">IF(H5="","",IF(D5="平日",MAX(0,H5-8),IF(OR(D5="休息日",D5="例假日",D5="國定假日",D5="特休日"),H5,0)))</f>
        <v>4</v>
      </c>
      <c r="J5" s="31" t="s">
        <v>312</v>
      </c>
      <c r="K5" s="34" t="str">
        <f aca="false">IF(H5="","",IF(H5&gt;12,"逾12小時",IF(D5="例假日","例假日出勤僅限天災、事變、突發事件",IF(AND(I5&gt;0,J5&lt;&gt;"是"),"未取得加班同意",""))))</f>
        <v/>
      </c>
      <c r="L5" s="31"/>
      <c r="M5" s="30"/>
    </row>
    <row r="6" customFormat="false" ht="15" hidden="false" customHeight="false" outlineLevel="0" collapsed="false">
      <c r="A6" s="29" t="n">
        <v>46301</v>
      </c>
      <c r="B6" s="30" t="s">
        <v>190</v>
      </c>
      <c r="C6" s="31" t="s">
        <v>191</v>
      </c>
      <c r="D6" s="31" t="s">
        <v>311</v>
      </c>
      <c r="E6" s="32" t="n">
        <v>0.375</v>
      </c>
      <c r="F6" s="32" t="n">
        <v>0.75</v>
      </c>
      <c r="G6" s="31" t="n">
        <v>60</v>
      </c>
      <c r="H6" s="33" t="n">
        <f aca="false">IF(OR(E6="",F6=""),"",ROUND(((F6-E6)*1440-G6)/60,2))</f>
        <v>8</v>
      </c>
      <c r="I6" s="33" t="n">
        <f aca="false">IF(H6="","",IF(D6="平日",MAX(0,H6-8),IF(OR(D6="休息日",D6="例假日",D6="國定假日",D6="特休日"),H6,0)))</f>
        <v>0</v>
      </c>
      <c r="J6" s="31" t="s">
        <v>313</v>
      </c>
      <c r="K6" s="34" t="str">
        <f aca="false">IF(H6="","",IF(H6&gt;12,"逾12小時",IF(D6="例假日","例假日出勤僅限天災、事變、突發事件",IF(AND(I6&gt;0,J6&lt;&gt;"是"),"未取得加班同意",""))))</f>
        <v/>
      </c>
      <c r="L6" s="31"/>
      <c r="M6" s="30"/>
    </row>
    <row r="7" customFormat="false" ht="15" hidden="false" customHeight="false" outlineLevel="0" collapsed="false">
      <c r="A7" s="29" t="n">
        <v>46302</v>
      </c>
      <c r="B7" s="30" t="s">
        <v>190</v>
      </c>
      <c r="C7" s="31" t="s">
        <v>191</v>
      </c>
      <c r="D7" s="31" t="s">
        <v>311</v>
      </c>
      <c r="E7" s="32" t="n">
        <v>0.395833333333333</v>
      </c>
      <c r="F7" s="32" t="n">
        <v>0.770833333333333</v>
      </c>
      <c r="G7" s="31" t="n">
        <v>60</v>
      </c>
      <c r="H7" s="33" t="n">
        <f aca="false">IF(OR(E7="",F7=""),"",ROUND(((F7-E7)*1440-G7)/60,2))</f>
        <v>8</v>
      </c>
      <c r="I7" s="33" t="n">
        <f aca="false">IF(H7="","",IF(D7="平日",MAX(0,H7-8),IF(OR(D7="休息日",D7="例假日",D7="國定假日",D7="特休日"),H7,0)))</f>
        <v>0</v>
      </c>
      <c r="J7" s="31" t="s">
        <v>313</v>
      </c>
      <c r="K7" s="34" t="str">
        <f aca="false">IF(H7="","",IF(H7&gt;12,"逾12小時",IF(D7="例假日","例假日出勤僅限天災、事變、突發事件",IF(AND(I7&gt;0,J7&lt;&gt;"是"),"未取得加班同意",""))))</f>
        <v/>
      </c>
      <c r="L7" s="31"/>
      <c r="M7" s="30"/>
    </row>
    <row r="8" customFormat="false" ht="15" hidden="false" customHeight="false" outlineLevel="0" collapsed="false">
      <c r="A8" s="29" t="n">
        <v>46312</v>
      </c>
      <c r="B8" s="30" t="s">
        <v>195</v>
      </c>
      <c r="C8" s="31" t="s">
        <v>196</v>
      </c>
      <c r="D8" s="31" t="s">
        <v>314</v>
      </c>
      <c r="E8" s="32" t="n">
        <v>0.375</v>
      </c>
      <c r="F8" s="32" t="n">
        <v>0.75</v>
      </c>
      <c r="G8" s="31" t="n">
        <v>60</v>
      </c>
      <c r="H8" s="33" t="n">
        <f aca="false">IF(OR(E8="",F8=""),"",ROUND(((F8-E8)*1440-G8)/60,2))</f>
        <v>8</v>
      </c>
      <c r="I8" s="33" t="n">
        <f aca="false">IF(H8="","",IF(D8="平日",MAX(0,H8-8),IF(OR(D8="休息日",D8="例假日",D8="國定假日",D8="特休日"),H8,0)))</f>
        <v>8</v>
      </c>
      <c r="J8" s="31" t="s">
        <v>312</v>
      </c>
      <c r="K8" s="34" t="str">
        <f aca="false">IF(H8="","",IF(H8&gt;12,"逾12小時",IF(D8="例假日","例假日出勤僅限天災、事變、突發事件",IF(AND(I8&gt;0,J8&lt;&gt;"是"),"未取得加班同意",""))))</f>
        <v/>
      </c>
      <c r="L8" s="31"/>
      <c r="M8" s="30"/>
    </row>
    <row r="9" customFormat="false" ht="15" hidden="false" customHeight="false" outlineLevel="0" collapsed="false">
      <c r="A9" s="29"/>
      <c r="B9" s="31"/>
      <c r="C9" s="31"/>
      <c r="D9" s="31"/>
      <c r="E9" s="32"/>
      <c r="F9" s="32"/>
      <c r="G9" s="31"/>
      <c r="H9" s="33" t="str">
        <f aca="false">IF(OR(E9="",F9=""),"",ROUND(((F9-E9)*1440-G9)/60,2))</f>
        <v/>
      </c>
      <c r="I9" s="33" t="str">
        <f aca="false">IF(H9="","",IF(D9="平日",MAX(0,H9-8),IF(OR(D9="休息日",D9="例假日",D9="國定假日",D9="特休日"),H9,0)))</f>
        <v/>
      </c>
      <c r="J9" s="31"/>
      <c r="K9" s="34" t="str">
        <f aca="false">IF(H9="","",IF(H9&gt;12,"逾12小時",IF(D9="例假日","例假日出勤僅限天災、事變、突發事件",IF(AND(I9&gt;0,J9&lt;&gt;"是"),"未取得加班同意",""))))</f>
        <v/>
      </c>
      <c r="L9" s="31"/>
      <c r="M9" s="30"/>
    </row>
    <row r="10" customFormat="false" ht="15" hidden="false" customHeight="false" outlineLevel="0" collapsed="false">
      <c r="A10" s="29"/>
      <c r="B10" s="31"/>
      <c r="C10" s="31"/>
      <c r="D10" s="31"/>
      <c r="E10" s="32"/>
      <c r="F10" s="32"/>
      <c r="G10" s="31"/>
      <c r="H10" s="33" t="str">
        <f aca="false">IF(OR(E10="",F10=""),"",ROUND(((F10-E10)*1440-G10)/60,2))</f>
        <v/>
      </c>
      <c r="I10" s="33" t="str">
        <f aca="false">IF(H10="","",IF(D10="平日",MAX(0,H10-8),IF(OR(D10="休息日",D10="例假日",D10="國定假日",D10="特休日"),H10,0)))</f>
        <v/>
      </c>
      <c r="J10" s="31"/>
      <c r="K10" s="34" t="str">
        <f aca="false">IF(H10="","",IF(H10&gt;12,"逾12小時",IF(D10="例假日","例假日出勤僅限天災、事變、突發事件",IF(AND(I10&gt;0,J10&lt;&gt;"是"),"未取得加班同意",""))))</f>
        <v/>
      </c>
      <c r="L10" s="31"/>
      <c r="M10" s="30"/>
    </row>
    <row r="11" customFormat="false" ht="15" hidden="false" customHeight="false" outlineLevel="0" collapsed="false">
      <c r="A11" s="29"/>
      <c r="B11" s="31"/>
      <c r="C11" s="31"/>
      <c r="D11" s="31"/>
      <c r="E11" s="32"/>
      <c r="F11" s="32"/>
      <c r="G11" s="31"/>
      <c r="H11" s="33" t="str">
        <f aca="false">IF(OR(E11="",F11=""),"",ROUND(((F11-E11)*1440-G11)/60,2))</f>
        <v/>
      </c>
      <c r="I11" s="33" t="str">
        <f aca="false">IF(H11="","",IF(D11="平日",MAX(0,H11-8),IF(OR(D11="休息日",D11="例假日",D11="國定假日",D11="特休日"),H11,0)))</f>
        <v/>
      </c>
      <c r="J11" s="31"/>
      <c r="K11" s="34" t="str">
        <f aca="false">IF(H11="","",IF(H11&gt;12,"逾12小時",IF(D11="例假日","例假日出勤僅限天災、事變、突發事件",IF(AND(I11&gt;0,J11&lt;&gt;"是"),"未取得加班同意",""))))</f>
        <v/>
      </c>
      <c r="L11" s="31"/>
      <c r="M11" s="30"/>
    </row>
    <row r="12" customFormat="false" ht="15" hidden="false" customHeight="false" outlineLevel="0" collapsed="false">
      <c r="A12" s="29"/>
      <c r="B12" s="31"/>
      <c r="C12" s="31"/>
      <c r="D12" s="31"/>
      <c r="E12" s="32"/>
      <c r="F12" s="32"/>
      <c r="G12" s="31"/>
      <c r="H12" s="33" t="str">
        <f aca="false">IF(OR(E12="",F12=""),"",ROUND(((F12-E12)*1440-G12)/60,2))</f>
        <v/>
      </c>
      <c r="I12" s="33" t="str">
        <f aca="false">IF(H12="","",IF(D12="平日",MAX(0,H12-8),IF(OR(D12="休息日",D12="例假日",D12="國定假日",D12="特休日"),H12,0)))</f>
        <v/>
      </c>
      <c r="J12" s="31"/>
      <c r="K12" s="34" t="str">
        <f aca="false">IF(H12="","",IF(H12&gt;12,"逾12小時",IF(D12="例假日","例假日出勤僅限天災、事變、突發事件",IF(AND(I12&gt;0,J12&lt;&gt;"是"),"未取得加班同意",""))))</f>
        <v/>
      </c>
      <c r="L12" s="31"/>
      <c r="M12" s="30"/>
    </row>
    <row r="13" customFormat="false" ht="15" hidden="false" customHeight="false" outlineLevel="0" collapsed="false">
      <c r="A13" s="29"/>
      <c r="B13" s="31"/>
      <c r="C13" s="31"/>
      <c r="D13" s="31"/>
      <c r="E13" s="32"/>
      <c r="F13" s="32"/>
      <c r="G13" s="31"/>
      <c r="H13" s="33" t="str">
        <f aca="false">IF(OR(E13="",F13=""),"",ROUND(((F13-E13)*1440-G13)/60,2))</f>
        <v/>
      </c>
      <c r="I13" s="33" t="str">
        <f aca="false">IF(H13="","",IF(D13="平日",MAX(0,H13-8),IF(OR(D13="休息日",D13="例假日",D13="國定假日",D13="特休日"),H13,0)))</f>
        <v/>
      </c>
      <c r="J13" s="31"/>
      <c r="K13" s="34" t="str">
        <f aca="false">IF(H13="","",IF(H13&gt;12,"逾12小時",IF(D13="例假日","例假日出勤僅限天災、事變、突發事件",IF(AND(I13&gt;0,J13&lt;&gt;"是"),"未取得加班同意",""))))</f>
        <v/>
      </c>
      <c r="L13" s="31"/>
      <c r="M13" s="30"/>
    </row>
    <row r="14" customFormat="false" ht="15" hidden="false" customHeight="false" outlineLevel="0" collapsed="false">
      <c r="A14" s="29"/>
      <c r="B14" s="31"/>
      <c r="C14" s="31"/>
      <c r="D14" s="31"/>
      <c r="E14" s="32"/>
      <c r="F14" s="32"/>
      <c r="G14" s="31"/>
      <c r="H14" s="33" t="str">
        <f aca="false">IF(OR(E14="",F14=""),"",ROUND(((F14-E14)*1440-G14)/60,2))</f>
        <v/>
      </c>
      <c r="I14" s="33" t="str">
        <f aca="false">IF(H14="","",IF(D14="平日",MAX(0,H14-8),IF(OR(D14="休息日",D14="例假日",D14="國定假日",D14="特休日"),H14,0)))</f>
        <v/>
      </c>
      <c r="J14" s="31"/>
      <c r="K14" s="34" t="str">
        <f aca="false">IF(H14="","",IF(H14&gt;12,"逾12小時",IF(D14="例假日","例假日出勤僅限天災、事變、突發事件",IF(AND(I14&gt;0,J14&lt;&gt;"是"),"未取得加班同意",""))))</f>
        <v/>
      </c>
      <c r="L14" s="31"/>
      <c r="M14" s="30"/>
    </row>
    <row r="15" customFormat="false" ht="15" hidden="false" customHeight="false" outlineLevel="0" collapsed="false">
      <c r="A15" s="29"/>
      <c r="B15" s="31"/>
      <c r="C15" s="31"/>
      <c r="D15" s="31"/>
      <c r="E15" s="32"/>
      <c r="F15" s="32"/>
      <c r="G15" s="31"/>
      <c r="H15" s="33" t="str">
        <f aca="false">IF(OR(E15="",F15=""),"",ROUND(((F15-E15)*1440-G15)/60,2))</f>
        <v/>
      </c>
      <c r="I15" s="33" t="str">
        <f aca="false">IF(H15="","",IF(D15="平日",MAX(0,H15-8),IF(OR(D15="休息日",D15="例假日",D15="國定假日",D15="特休日"),H15,0)))</f>
        <v/>
      </c>
      <c r="J15" s="31"/>
      <c r="K15" s="34" t="str">
        <f aca="false">IF(H15="","",IF(H15&gt;12,"逾12小時",IF(D15="例假日","例假日出勤僅限天災、事變、突發事件",IF(AND(I15&gt;0,J15&lt;&gt;"是"),"未取得加班同意",""))))</f>
        <v/>
      </c>
      <c r="L15" s="31"/>
      <c r="M15" s="30"/>
    </row>
    <row r="16" customFormat="false" ht="15" hidden="false" customHeight="false" outlineLevel="0" collapsed="false">
      <c r="A16" s="29"/>
      <c r="B16" s="31"/>
      <c r="C16" s="31"/>
      <c r="D16" s="31"/>
      <c r="E16" s="32"/>
      <c r="F16" s="32"/>
      <c r="G16" s="31"/>
      <c r="H16" s="33" t="str">
        <f aca="false">IF(OR(E16="",F16=""),"",ROUND(((F16-E16)*1440-G16)/60,2))</f>
        <v/>
      </c>
      <c r="I16" s="33" t="str">
        <f aca="false">IF(H16="","",IF(D16="平日",MAX(0,H16-8),IF(OR(D16="休息日",D16="例假日",D16="國定假日",D16="特休日"),H16,0)))</f>
        <v/>
      </c>
      <c r="J16" s="31"/>
      <c r="K16" s="34" t="str">
        <f aca="false">IF(H16="","",IF(H16&gt;12,"逾12小時",IF(D16="例假日","例假日出勤僅限天災、事變、突發事件",IF(AND(I16&gt;0,J16&lt;&gt;"是"),"未取得加班同意",""))))</f>
        <v/>
      </c>
      <c r="L16" s="31"/>
      <c r="M16" s="30"/>
    </row>
    <row r="17" customFormat="false" ht="15" hidden="false" customHeight="false" outlineLevel="0" collapsed="false">
      <c r="A17" s="29"/>
      <c r="B17" s="31"/>
      <c r="C17" s="31"/>
      <c r="D17" s="31"/>
      <c r="E17" s="32"/>
      <c r="F17" s="32"/>
      <c r="G17" s="31"/>
      <c r="H17" s="33" t="str">
        <f aca="false">IF(OR(E17="",F17=""),"",ROUND(((F17-E17)*1440-G17)/60,2))</f>
        <v/>
      </c>
      <c r="I17" s="33" t="str">
        <f aca="false">IF(H17="","",IF(D17="平日",MAX(0,H17-8),IF(OR(D17="休息日",D17="例假日",D17="國定假日",D17="特休日"),H17,0)))</f>
        <v/>
      </c>
      <c r="J17" s="31"/>
      <c r="K17" s="34" t="str">
        <f aca="false">IF(H17="","",IF(H17&gt;12,"逾12小時",IF(D17="例假日","例假日出勤僅限天災、事變、突發事件",IF(AND(I17&gt;0,J17&lt;&gt;"是"),"未取得加班同意",""))))</f>
        <v/>
      </c>
      <c r="L17" s="31"/>
      <c r="M17" s="30"/>
    </row>
    <row r="18" customFormat="false" ht="15" hidden="false" customHeight="false" outlineLevel="0" collapsed="false">
      <c r="A18" s="29"/>
      <c r="B18" s="31"/>
      <c r="C18" s="31"/>
      <c r="D18" s="31"/>
      <c r="E18" s="32"/>
      <c r="F18" s="32"/>
      <c r="G18" s="31"/>
      <c r="H18" s="33" t="str">
        <f aca="false">IF(OR(E18="",F18=""),"",ROUND(((F18-E18)*1440-G18)/60,2))</f>
        <v/>
      </c>
      <c r="I18" s="33" t="str">
        <f aca="false">IF(H18="","",IF(D18="平日",MAX(0,H18-8),IF(OR(D18="休息日",D18="例假日",D18="國定假日",D18="特休日"),H18,0)))</f>
        <v/>
      </c>
      <c r="J18" s="31"/>
      <c r="K18" s="34" t="str">
        <f aca="false">IF(H18="","",IF(H18&gt;12,"逾12小時",IF(D18="例假日","例假日出勤僅限天災、事變、突發事件",IF(AND(I18&gt;0,J18&lt;&gt;"是"),"未取得加班同意",""))))</f>
        <v/>
      </c>
      <c r="L18" s="31"/>
      <c r="M18" s="30"/>
    </row>
    <row r="19" customFormat="false" ht="15" hidden="false" customHeight="false" outlineLevel="0" collapsed="false">
      <c r="A19" s="29"/>
      <c r="B19" s="31"/>
      <c r="C19" s="31"/>
      <c r="D19" s="31"/>
      <c r="E19" s="32"/>
      <c r="F19" s="32"/>
      <c r="G19" s="31"/>
      <c r="H19" s="33" t="str">
        <f aca="false">IF(OR(E19="",F19=""),"",ROUND(((F19-E19)*1440-G19)/60,2))</f>
        <v/>
      </c>
      <c r="I19" s="33" t="str">
        <f aca="false">IF(H19="","",IF(D19="平日",MAX(0,H19-8),IF(OR(D19="休息日",D19="例假日",D19="國定假日",D19="特休日"),H19,0)))</f>
        <v/>
      </c>
      <c r="J19" s="31"/>
      <c r="K19" s="34" t="str">
        <f aca="false">IF(H19="","",IF(H19&gt;12,"逾12小時",IF(D19="例假日","例假日出勤僅限天災、事變、突發事件",IF(AND(I19&gt;0,J19&lt;&gt;"是"),"未取得加班同意",""))))</f>
        <v/>
      </c>
      <c r="L19" s="31"/>
      <c r="M19" s="30"/>
    </row>
    <row r="20" customFormat="false" ht="15" hidden="false" customHeight="false" outlineLevel="0" collapsed="false">
      <c r="A20" s="29"/>
      <c r="B20" s="31"/>
      <c r="C20" s="31"/>
      <c r="D20" s="31"/>
      <c r="E20" s="32"/>
      <c r="F20" s="32"/>
      <c r="G20" s="31"/>
      <c r="H20" s="33" t="str">
        <f aca="false">IF(OR(E20="",F20=""),"",ROUND(((F20-E20)*1440-G20)/60,2))</f>
        <v/>
      </c>
      <c r="I20" s="33" t="str">
        <f aca="false">IF(H20="","",IF(D20="平日",MAX(0,H20-8),IF(OR(D20="休息日",D20="例假日",D20="國定假日",D20="特休日"),H20,0)))</f>
        <v/>
      </c>
      <c r="J20" s="31"/>
      <c r="K20" s="34" t="str">
        <f aca="false">IF(H20="","",IF(H20&gt;12,"逾12小時",IF(D20="例假日","例假日出勤僅限天災、事變、突發事件",IF(AND(I20&gt;0,J20&lt;&gt;"是"),"未取得加班同意",""))))</f>
        <v/>
      </c>
      <c r="L20" s="31"/>
      <c r="M20" s="30"/>
    </row>
    <row r="21" customFormat="false" ht="15" hidden="false" customHeight="false" outlineLevel="0" collapsed="false">
      <c r="A21" s="29"/>
      <c r="B21" s="31"/>
      <c r="C21" s="31"/>
      <c r="D21" s="31"/>
      <c r="E21" s="32"/>
      <c r="F21" s="32"/>
      <c r="G21" s="31"/>
      <c r="H21" s="33" t="str">
        <f aca="false">IF(OR(E21="",F21=""),"",ROUND(((F21-E21)*1440-G21)/60,2))</f>
        <v/>
      </c>
      <c r="I21" s="33" t="str">
        <f aca="false">IF(H21="","",IF(D21="平日",MAX(0,H21-8),IF(OR(D21="休息日",D21="例假日",D21="國定假日",D21="特休日"),H21,0)))</f>
        <v/>
      </c>
      <c r="J21" s="31"/>
      <c r="K21" s="34" t="str">
        <f aca="false">IF(H21="","",IF(H21&gt;12,"逾12小時",IF(D21="例假日","例假日出勤僅限天災、事變、突發事件",IF(AND(I21&gt;0,J21&lt;&gt;"是"),"未取得加班同意",""))))</f>
        <v/>
      </c>
      <c r="L21" s="31"/>
      <c r="M21" s="30"/>
    </row>
    <row r="22" customFormat="false" ht="15" hidden="false" customHeight="false" outlineLevel="0" collapsed="false">
      <c r="A22" s="29"/>
      <c r="B22" s="31"/>
      <c r="C22" s="31"/>
      <c r="D22" s="31"/>
      <c r="E22" s="32"/>
      <c r="F22" s="32"/>
      <c r="G22" s="31"/>
      <c r="H22" s="33" t="str">
        <f aca="false">IF(OR(E22="",F22=""),"",ROUND(((F22-E22)*1440-G22)/60,2))</f>
        <v/>
      </c>
      <c r="I22" s="33" t="str">
        <f aca="false">IF(H22="","",IF(D22="平日",MAX(0,H22-8),IF(OR(D22="休息日",D22="例假日",D22="國定假日",D22="特休日"),H22,0)))</f>
        <v/>
      </c>
      <c r="J22" s="31"/>
      <c r="K22" s="34" t="str">
        <f aca="false">IF(H22="","",IF(H22&gt;12,"逾12小時",IF(D22="例假日","例假日出勤僅限天災、事變、突發事件",IF(AND(I22&gt;0,J22&lt;&gt;"是"),"未取得加班同意",""))))</f>
        <v/>
      </c>
      <c r="L22" s="31"/>
      <c r="M22" s="30"/>
    </row>
    <row r="23" customFormat="false" ht="15" hidden="false" customHeight="false" outlineLevel="0" collapsed="false">
      <c r="A23" s="29"/>
      <c r="B23" s="31"/>
      <c r="C23" s="31"/>
      <c r="D23" s="31"/>
      <c r="E23" s="32"/>
      <c r="F23" s="32"/>
      <c r="G23" s="31"/>
      <c r="H23" s="33" t="str">
        <f aca="false">IF(OR(E23="",F23=""),"",ROUND(((F23-E23)*1440-G23)/60,2))</f>
        <v/>
      </c>
      <c r="I23" s="33" t="str">
        <f aca="false">IF(H23="","",IF(D23="平日",MAX(0,H23-8),IF(OR(D23="休息日",D23="例假日",D23="國定假日",D23="特休日"),H23,0)))</f>
        <v/>
      </c>
      <c r="J23" s="31"/>
      <c r="K23" s="34" t="str">
        <f aca="false">IF(H23="","",IF(H23&gt;12,"逾12小時",IF(D23="例假日","例假日出勤僅限天災、事變、突發事件",IF(AND(I23&gt;0,J23&lt;&gt;"是"),"未取得加班同意",""))))</f>
        <v/>
      </c>
      <c r="L23" s="31"/>
      <c r="M23" s="30"/>
    </row>
    <row r="24" customFormat="false" ht="15" hidden="false" customHeight="false" outlineLevel="0" collapsed="false">
      <c r="A24" s="29"/>
      <c r="B24" s="31"/>
      <c r="C24" s="31"/>
      <c r="D24" s="31"/>
      <c r="E24" s="32"/>
      <c r="F24" s="32"/>
      <c r="G24" s="31"/>
      <c r="H24" s="33" t="str">
        <f aca="false">IF(OR(E24="",F24=""),"",ROUND(((F24-E24)*1440-G24)/60,2))</f>
        <v/>
      </c>
      <c r="I24" s="33" t="str">
        <f aca="false">IF(H24="","",IF(D24="平日",MAX(0,H24-8),IF(OR(D24="休息日",D24="例假日",D24="國定假日",D24="特休日"),H24,0)))</f>
        <v/>
      </c>
      <c r="J24" s="31"/>
      <c r="K24" s="34" t="str">
        <f aca="false">IF(H24="","",IF(H24&gt;12,"逾12小時",IF(D24="例假日","例假日出勤僅限天災、事變、突發事件",IF(AND(I24&gt;0,J24&lt;&gt;"是"),"未取得加班同意",""))))</f>
        <v/>
      </c>
      <c r="L24" s="31"/>
      <c r="M24" s="30"/>
    </row>
    <row r="25" customFormat="false" ht="15" hidden="false" customHeight="false" outlineLevel="0" collapsed="false">
      <c r="A25" s="29"/>
      <c r="B25" s="31"/>
      <c r="C25" s="31"/>
      <c r="D25" s="31"/>
      <c r="E25" s="32"/>
      <c r="F25" s="32"/>
      <c r="G25" s="31"/>
      <c r="H25" s="33" t="str">
        <f aca="false">IF(OR(E25="",F25=""),"",ROUND(((F25-E25)*1440-G25)/60,2))</f>
        <v/>
      </c>
      <c r="I25" s="33" t="str">
        <f aca="false">IF(H25="","",IF(D25="平日",MAX(0,H25-8),IF(OR(D25="休息日",D25="例假日",D25="國定假日",D25="特休日"),H25,0)))</f>
        <v/>
      </c>
      <c r="J25" s="31"/>
      <c r="K25" s="34" t="str">
        <f aca="false">IF(H25="","",IF(H25&gt;12,"逾12小時",IF(D25="例假日","例假日出勤僅限天災、事變、突發事件",IF(AND(I25&gt;0,J25&lt;&gt;"是"),"未取得加班同意",""))))</f>
        <v/>
      </c>
      <c r="L25" s="31"/>
      <c r="M25" s="30"/>
    </row>
    <row r="26" customFormat="false" ht="15" hidden="false" customHeight="false" outlineLevel="0" collapsed="false">
      <c r="A26" s="29"/>
      <c r="B26" s="31"/>
      <c r="C26" s="31"/>
      <c r="D26" s="31"/>
      <c r="E26" s="32"/>
      <c r="F26" s="32"/>
      <c r="G26" s="31"/>
      <c r="H26" s="33" t="str">
        <f aca="false">IF(OR(E26="",F26=""),"",ROUND(((F26-E26)*1440-G26)/60,2))</f>
        <v/>
      </c>
      <c r="I26" s="33" t="str">
        <f aca="false">IF(H26="","",IF(D26="平日",MAX(0,H26-8),IF(OR(D26="休息日",D26="例假日",D26="國定假日",D26="特休日"),H26,0)))</f>
        <v/>
      </c>
      <c r="J26" s="31"/>
      <c r="K26" s="34" t="str">
        <f aca="false">IF(H26="","",IF(H26&gt;12,"逾12小時",IF(D26="例假日","例假日出勤僅限天災、事變、突發事件",IF(AND(I26&gt;0,J26&lt;&gt;"是"),"未取得加班同意",""))))</f>
        <v/>
      </c>
      <c r="L26" s="31"/>
      <c r="M26" s="30"/>
    </row>
    <row r="27" customFormat="false" ht="15" hidden="false" customHeight="false" outlineLevel="0" collapsed="false">
      <c r="A27" s="29"/>
      <c r="B27" s="31"/>
      <c r="C27" s="31"/>
      <c r="D27" s="31"/>
      <c r="E27" s="32"/>
      <c r="F27" s="32"/>
      <c r="G27" s="31"/>
      <c r="H27" s="33" t="str">
        <f aca="false">IF(OR(E27="",F27=""),"",ROUND(((F27-E27)*1440-G27)/60,2))</f>
        <v/>
      </c>
      <c r="I27" s="33" t="str">
        <f aca="false">IF(H27="","",IF(D27="平日",MAX(0,H27-8),IF(OR(D27="休息日",D27="例假日",D27="國定假日",D27="特休日"),H27,0)))</f>
        <v/>
      </c>
      <c r="J27" s="31"/>
      <c r="K27" s="34" t="str">
        <f aca="false">IF(H27="","",IF(H27&gt;12,"逾12小時",IF(D27="例假日","例假日出勤僅限天災、事變、突發事件",IF(AND(I27&gt;0,J27&lt;&gt;"是"),"未取得加班同意",""))))</f>
        <v/>
      </c>
      <c r="L27" s="31"/>
      <c r="M27" s="30"/>
    </row>
    <row r="28" customFormat="false" ht="15" hidden="false" customHeight="false" outlineLevel="0" collapsed="false">
      <c r="A28" s="29"/>
      <c r="B28" s="31"/>
      <c r="C28" s="31"/>
      <c r="D28" s="31"/>
      <c r="E28" s="32"/>
      <c r="F28" s="32"/>
      <c r="G28" s="31"/>
      <c r="H28" s="33" t="str">
        <f aca="false">IF(OR(E28="",F28=""),"",ROUND(((F28-E28)*1440-G28)/60,2))</f>
        <v/>
      </c>
      <c r="I28" s="33" t="str">
        <f aca="false">IF(H28="","",IF(D28="平日",MAX(0,H28-8),IF(OR(D28="休息日",D28="例假日",D28="國定假日",D28="特休日"),H28,0)))</f>
        <v/>
      </c>
      <c r="J28" s="31"/>
      <c r="K28" s="34" t="str">
        <f aca="false">IF(H28="","",IF(H28&gt;12,"逾12小時",IF(D28="例假日","例假日出勤僅限天災、事變、突發事件",IF(AND(I28&gt;0,J28&lt;&gt;"是"),"未取得加班同意",""))))</f>
        <v/>
      </c>
      <c r="L28" s="31"/>
      <c r="M28" s="30"/>
    </row>
    <row r="29" customFormat="false" ht="15" hidden="false" customHeight="false" outlineLevel="0" collapsed="false">
      <c r="A29" s="29"/>
      <c r="B29" s="31"/>
      <c r="C29" s="31"/>
      <c r="D29" s="31"/>
      <c r="E29" s="32"/>
      <c r="F29" s="32"/>
      <c r="G29" s="31"/>
      <c r="H29" s="33" t="str">
        <f aca="false">IF(OR(E29="",F29=""),"",ROUND(((F29-E29)*1440-G29)/60,2))</f>
        <v/>
      </c>
      <c r="I29" s="33" t="str">
        <f aca="false">IF(H29="","",IF(D29="平日",MAX(0,H29-8),IF(OR(D29="休息日",D29="例假日",D29="國定假日",D29="特休日"),H29,0)))</f>
        <v/>
      </c>
      <c r="J29" s="31"/>
      <c r="K29" s="34" t="str">
        <f aca="false">IF(H29="","",IF(H29&gt;12,"逾12小時",IF(D29="例假日","例假日出勤僅限天災、事變、突發事件",IF(AND(I29&gt;0,J29&lt;&gt;"是"),"未取得加班同意",""))))</f>
        <v/>
      </c>
      <c r="L29" s="31"/>
      <c r="M29" s="30"/>
    </row>
    <row r="30" customFormat="false" ht="15" hidden="false" customHeight="false" outlineLevel="0" collapsed="false">
      <c r="A30" s="29"/>
      <c r="B30" s="31"/>
      <c r="C30" s="31"/>
      <c r="D30" s="31"/>
      <c r="E30" s="32"/>
      <c r="F30" s="32"/>
      <c r="G30" s="31"/>
      <c r="H30" s="33" t="str">
        <f aca="false">IF(OR(E30="",F30=""),"",ROUND(((F30-E30)*1440-G30)/60,2))</f>
        <v/>
      </c>
      <c r="I30" s="33" t="str">
        <f aca="false">IF(H30="","",IF(D30="平日",MAX(0,H30-8),IF(OR(D30="休息日",D30="例假日",D30="國定假日",D30="特休日"),H30,0)))</f>
        <v/>
      </c>
      <c r="J30" s="31"/>
      <c r="K30" s="34" t="str">
        <f aca="false">IF(H30="","",IF(H30&gt;12,"逾12小時",IF(D30="例假日","例假日出勤僅限天災、事變、突發事件",IF(AND(I30&gt;0,J30&lt;&gt;"是"),"未取得加班同意",""))))</f>
        <v/>
      </c>
      <c r="L30" s="31"/>
      <c r="M30" s="30"/>
    </row>
    <row r="31" customFormat="false" ht="15" hidden="false" customHeight="false" outlineLevel="0" collapsed="false">
      <c r="A31" s="29"/>
      <c r="B31" s="31"/>
      <c r="C31" s="31"/>
      <c r="D31" s="31"/>
      <c r="E31" s="32"/>
      <c r="F31" s="32"/>
      <c r="G31" s="31"/>
      <c r="H31" s="33" t="str">
        <f aca="false">IF(OR(E31="",F31=""),"",ROUND(((F31-E31)*1440-G31)/60,2))</f>
        <v/>
      </c>
      <c r="I31" s="33" t="str">
        <f aca="false">IF(H31="","",IF(D31="平日",MAX(0,H31-8),IF(OR(D31="休息日",D31="例假日",D31="國定假日",D31="特休日"),H31,0)))</f>
        <v/>
      </c>
      <c r="J31" s="31"/>
      <c r="K31" s="34" t="str">
        <f aca="false">IF(H31="","",IF(H31&gt;12,"逾12小時",IF(D31="例假日","例假日出勤僅限天災、事變、突發事件",IF(AND(I31&gt;0,J31&lt;&gt;"是"),"未取得加班同意",""))))</f>
        <v/>
      </c>
      <c r="L31" s="31"/>
      <c r="M31" s="30"/>
    </row>
    <row r="32" customFormat="false" ht="15" hidden="false" customHeight="false" outlineLevel="0" collapsed="false">
      <c r="A32" s="29"/>
      <c r="B32" s="31"/>
      <c r="C32" s="31"/>
      <c r="D32" s="31"/>
      <c r="E32" s="32"/>
      <c r="F32" s="32"/>
      <c r="G32" s="31"/>
      <c r="H32" s="33" t="str">
        <f aca="false">IF(OR(E32="",F32=""),"",ROUND(((F32-E32)*1440-G32)/60,2))</f>
        <v/>
      </c>
      <c r="I32" s="33" t="str">
        <f aca="false">IF(H32="","",IF(D32="平日",MAX(0,H32-8),IF(OR(D32="休息日",D32="例假日",D32="國定假日",D32="特休日"),H32,0)))</f>
        <v/>
      </c>
      <c r="J32" s="31"/>
      <c r="K32" s="34" t="str">
        <f aca="false">IF(H32="","",IF(H32&gt;12,"逾12小時",IF(D32="例假日","例假日出勤僅限天災、事變、突發事件",IF(AND(I32&gt;0,J32&lt;&gt;"是"),"未取得加班同意",""))))</f>
        <v/>
      </c>
      <c r="L32" s="31"/>
      <c r="M32" s="30"/>
    </row>
    <row r="33" customFormat="false" ht="15" hidden="false" customHeight="false" outlineLevel="0" collapsed="false">
      <c r="A33" s="29"/>
      <c r="B33" s="31"/>
      <c r="C33" s="31"/>
      <c r="D33" s="31"/>
      <c r="E33" s="32"/>
      <c r="F33" s="32"/>
      <c r="G33" s="31"/>
      <c r="H33" s="33" t="str">
        <f aca="false">IF(OR(E33="",F33=""),"",ROUND(((F33-E33)*1440-G33)/60,2))</f>
        <v/>
      </c>
      <c r="I33" s="33" t="str">
        <f aca="false">IF(H33="","",IF(D33="平日",MAX(0,H33-8),IF(OR(D33="休息日",D33="例假日",D33="國定假日",D33="特休日"),H33,0)))</f>
        <v/>
      </c>
      <c r="J33" s="31"/>
      <c r="K33" s="34" t="str">
        <f aca="false">IF(H33="","",IF(H33&gt;12,"逾12小時",IF(D33="例假日","例假日出勤僅限天災、事變、突發事件",IF(AND(I33&gt;0,J33&lt;&gt;"是"),"未取得加班同意",""))))</f>
        <v/>
      </c>
      <c r="L33" s="31"/>
      <c r="M33" s="30"/>
    </row>
    <row r="34" customFormat="false" ht="15" hidden="false" customHeight="false" outlineLevel="0" collapsed="false">
      <c r="A34" s="29"/>
      <c r="B34" s="31"/>
      <c r="C34" s="31"/>
      <c r="D34" s="31"/>
      <c r="E34" s="32"/>
      <c r="F34" s="32"/>
      <c r="G34" s="31"/>
      <c r="H34" s="33" t="str">
        <f aca="false">IF(OR(E34="",F34=""),"",ROUND(((F34-E34)*1440-G34)/60,2))</f>
        <v/>
      </c>
      <c r="I34" s="33" t="str">
        <f aca="false">IF(H34="","",IF(D34="平日",MAX(0,H34-8),IF(OR(D34="休息日",D34="例假日",D34="國定假日",D34="特休日"),H34,0)))</f>
        <v/>
      </c>
      <c r="J34" s="31"/>
      <c r="K34" s="34" t="str">
        <f aca="false">IF(H34="","",IF(H34&gt;12,"逾12小時",IF(D34="例假日","例假日出勤僅限天災、事變、突發事件",IF(AND(I34&gt;0,J34&lt;&gt;"是"),"未取得加班同意",""))))</f>
        <v/>
      </c>
      <c r="L34" s="31"/>
      <c r="M34" s="30"/>
    </row>
    <row r="35" customFormat="false" ht="15" hidden="false" customHeight="false" outlineLevel="0" collapsed="false">
      <c r="A35" s="29"/>
      <c r="B35" s="31"/>
      <c r="C35" s="31"/>
      <c r="D35" s="31"/>
      <c r="E35" s="32"/>
      <c r="F35" s="32"/>
      <c r="G35" s="31"/>
      <c r="H35" s="33" t="str">
        <f aca="false">IF(OR(E35="",F35=""),"",ROUND(((F35-E35)*1440-G35)/60,2))</f>
        <v/>
      </c>
      <c r="I35" s="33" t="str">
        <f aca="false">IF(H35="","",IF(D35="平日",MAX(0,H35-8),IF(OR(D35="休息日",D35="例假日",D35="國定假日",D35="特休日"),H35,0)))</f>
        <v/>
      </c>
      <c r="J35" s="31"/>
      <c r="K35" s="34" t="str">
        <f aca="false">IF(H35="","",IF(H35&gt;12,"逾12小時",IF(D35="例假日","例假日出勤僅限天災、事變、突發事件",IF(AND(I35&gt;0,J35&lt;&gt;"是"),"未取得加班同意",""))))</f>
        <v/>
      </c>
      <c r="L35" s="31"/>
      <c r="M35" s="30"/>
    </row>
    <row r="36" customFormat="false" ht="15" hidden="false" customHeight="false" outlineLevel="0" collapsed="false">
      <c r="A36" s="29"/>
      <c r="B36" s="31"/>
      <c r="C36" s="31"/>
      <c r="D36" s="31"/>
      <c r="E36" s="32"/>
      <c r="F36" s="32"/>
      <c r="G36" s="31"/>
      <c r="H36" s="33" t="str">
        <f aca="false">IF(OR(E36="",F36=""),"",ROUND(((F36-E36)*1440-G36)/60,2))</f>
        <v/>
      </c>
      <c r="I36" s="33" t="str">
        <f aca="false">IF(H36="","",IF(D36="平日",MAX(0,H36-8),IF(OR(D36="休息日",D36="例假日",D36="國定假日",D36="特休日"),H36,0)))</f>
        <v/>
      </c>
      <c r="J36" s="31"/>
      <c r="K36" s="34" t="str">
        <f aca="false">IF(H36="","",IF(H36&gt;12,"逾12小時",IF(D36="例假日","例假日出勤僅限天災、事變、突發事件",IF(AND(I36&gt;0,J36&lt;&gt;"是"),"未取得加班同意",""))))</f>
        <v/>
      </c>
      <c r="L36" s="31"/>
      <c r="M36" s="30"/>
    </row>
    <row r="37" customFormat="false" ht="15" hidden="false" customHeight="false" outlineLevel="0" collapsed="false">
      <c r="A37" s="29"/>
      <c r="B37" s="31"/>
      <c r="C37" s="31"/>
      <c r="D37" s="31"/>
      <c r="E37" s="32"/>
      <c r="F37" s="32"/>
      <c r="G37" s="31"/>
      <c r="H37" s="33" t="str">
        <f aca="false">IF(OR(E37="",F37=""),"",ROUND(((F37-E37)*1440-G37)/60,2))</f>
        <v/>
      </c>
      <c r="I37" s="33" t="str">
        <f aca="false">IF(H37="","",IF(D37="平日",MAX(0,H37-8),IF(OR(D37="休息日",D37="例假日",D37="國定假日",D37="特休日"),H37,0)))</f>
        <v/>
      </c>
      <c r="J37" s="31"/>
      <c r="K37" s="34" t="str">
        <f aca="false">IF(H37="","",IF(H37&gt;12,"逾12小時",IF(D37="例假日","例假日出勤僅限天災、事變、突發事件",IF(AND(I37&gt;0,J37&lt;&gt;"是"),"未取得加班同意",""))))</f>
        <v/>
      </c>
      <c r="L37" s="31"/>
      <c r="M37" s="30"/>
    </row>
    <row r="38" customFormat="false" ht="15" hidden="false" customHeight="false" outlineLevel="0" collapsed="false">
      <c r="A38" s="29"/>
      <c r="B38" s="31"/>
      <c r="C38" s="31"/>
      <c r="D38" s="31"/>
      <c r="E38" s="32"/>
      <c r="F38" s="32"/>
      <c r="G38" s="31"/>
      <c r="H38" s="33" t="str">
        <f aca="false">IF(OR(E38="",F38=""),"",ROUND(((F38-E38)*1440-G38)/60,2))</f>
        <v/>
      </c>
      <c r="I38" s="33" t="str">
        <f aca="false">IF(H38="","",IF(D38="平日",MAX(0,H38-8),IF(OR(D38="休息日",D38="例假日",D38="國定假日",D38="特休日"),H38,0)))</f>
        <v/>
      </c>
      <c r="J38" s="31"/>
      <c r="K38" s="34" t="str">
        <f aca="false">IF(H38="","",IF(H38&gt;12,"逾12小時",IF(D38="例假日","例假日出勤僅限天災、事變、突發事件",IF(AND(I38&gt;0,J38&lt;&gt;"是"),"未取得加班同意",""))))</f>
        <v/>
      </c>
      <c r="L38" s="31"/>
      <c r="M38" s="30"/>
    </row>
    <row r="39" customFormat="false" ht="15" hidden="false" customHeight="false" outlineLevel="0" collapsed="false">
      <c r="A39" s="29"/>
      <c r="B39" s="31"/>
      <c r="C39" s="31"/>
      <c r="D39" s="31"/>
      <c r="E39" s="32"/>
      <c r="F39" s="32"/>
      <c r="G39" s="31"/>
      <c r="H39" s="33" t="str">
        <f aca="false">IF(OR(E39="",F39=""),"",ROUND(((F39-E39)*1440-G39)/60,2))</f>
        <v/>
      </c>
      <c r="I39" s="33" t="str">
        <f aca="false">IF(H39="","",IF(D39="平日",MAX(0,H39-8),IF(OR(D39="休息日",D39="例假日",D39="國定假日",D39="特休日"),H39,0)))</f>
        <v/>
      </c>
      <c r="J39" s="31"/>
      <c r="K39" s="34" t="str">
        <f aca="false">IF(H39="","",IF(H39&gt;12,"逾12小時",IF(D39="例假日","例假日出勤僅限天災、事變、突發事件",IF(AND(I39&gt;0,J39&lt;&gt;"是"),"未取得加班同意",""))))</f>
        <v/>
      </c>
      <c r="L39" s="31"/>
      <c r="M39" s="30"/>
    </row>
    <row r="40" customFormat="false" ht="15" hidden="false" customHeight="false" outlineLevel="0" collapsed="false">
      <c r="A40" s="29"/>
      <c r="B40" s="31"/>
      <c r="C40" s="31"/>
      <c r="D40" s="31"/>
      <c r="E40" s="32"/>
      <c r="F40" s="32"/>
      <c r="G40" s="31"/>
      <c r="H40" s="33" t="str">
        <f aca="false">IF(OR(E40="",F40=""),"",ROUND(((F40-E40)*1440-G40)/60,2))</f>
        <v/>
      </c>
      <c r="I40" s="33" t="str">
        <f aca="false">IF(H40="","",IF(D40="平日",MAX(0,H40-8),IF(OR(D40="休息日",D40="例假日",D40="國定假日",D40="特休日"),H40,0)))</f>
        <v/>
      </c>
      <c r="J40" s="31"/>
      <c r="K40" s="34" t="str">
        <f aca="false">IF(H40="","",IF(H40&gt;12,"逾12小時",IF(D40="例假日","例假日出勤僅限天災、事變、突發事件",IF(AND(I40&gt;0,J40&lt;&gt;"是"),"未取得加班同意",""))))</f>
        <v/>
      </c>
      <c r="L40" s="31"/>
      <c r="M40" s="30"/>
    </row>
    <row r="41" customFormat="false" ht="15" hidden="false" customHeight="false" outlineLevel="0" collapsed="false">
      <c r="A41" s="29"/>
      <c r="B41" s="31"/>
      <c r="C41" s="31"/>
      <c r="D41" s="31"/>
      <c r="E41" s="32"/>
      <c r="F41" s="32"/>
      <c r="G41" s="31"/>
      <c r="H41" s="33" t="str">
        <f aca="false">IF(OR(E41="",F41=""),"",ROUND(((F41-E41)*1440-G41)/60,2))</f>
        <v/>
      </c>
      <c r="I41" s="33" t="str">
        <f aca="false">IF(H41="","",IF(D41="平日",MAX(0,H41-8),IF(OR(D41="休息日",D41="例假日",D41="國定假日",D41="特休日"),H41,0)))</f>
        <v/>
      </c>
      <c r="J41" s="31"/>
      <c r="K41" s="34" t="str">
        <f aca="false">IF(H41="","",IF(H41&gt;12,"逾12小時",IF(D41="例假日","例假日出勤僅限天災、事變、突發事件",IF(AND(I41&gt;0,J41&lt;&gt;"是"),"未取得加班同意",""))))</f>
        <v/>
      </c>
      <c r="L41" s="31"/>
      <c r="M41" s="30"/>
    </row>
    <row r="42" customFormat="false" ht="15" hidden="false" customHeight="false" outlineLevel="0" collapsed="false">
      <c r="A42" s="29"/>
      <c r="B42" s="31"/>
      <c r="C42" s="31"/>
      <c r="D42" s="31"/>
      <c r="E42" s="32"/>
      <c r="F42" s="32"/>
      <c r="G42" s="31"/>
      <c r="H42" s="33" t="str">
        <f aca="false">IF(OR(E42="",F42=""),"",ROUND(((F42-E42)*1440-G42)/60,2))</f>
        <v/>
      </c>
      <c r="I42" s="33" t="str">
        <f aca="false">IF(H42="","",IF(D42="平日",MAX(0,H42-8),IF(OR(D42="休息日",D42="例假日",D42="國定假日",D42="特休日"),H42,0)))</f>
        <v/>
      </c>
      <c r="J42" s="31"/>
      <c r="K42" s="34" t="str">
        <f aca="false">IF(H42="","",IF(H42&gt;12,"逾12小時",IF(D42="例假日","例假日出勤僅限天災、事變、突發事件",IF(AND(I42&gt;0,J42&lt;&gt;"是"),"未取得加班同意",""))))</f>
        <v/>
      </c>
      <c r="L42" s="31"/>
      <c r="M42" s="30"/>
    </row>
    <row r="43" customFormat="false" ht="15" hidden="false" customHeight="false" outlineLevel="0" collapsed="false">
      <c r="A43" s="29"/>
      <c r="B43" s="31"/>
      <c r="C43" s="31"/>
      <c r="D43" s="31"/>
      <c r="E43" s="32"/>
      <c r="F43" s="32"/>
      <c r="G43" s="31"/>
      <c r="H43" s="33" t="str">
        <f aca="false">IF(OR(E43="",F43=""),"",ROUND(((F43-E43)*1440-G43)/60,2))</f>
        <v/>
      </c>
      <c r="I43" s="33" t="str">
        <f aca="false">IF(H43="","",IF(D43="平日",MAX(0,H43-8),IF(OR(D43="休息日",D43="例假日",D43="國定假日",D43="特休日"),H43,0)))</f>
        <v/>
      </c>
      <c r="J43" s="31"/>
      <c r="K43" s="34" t="str">
        <f aca="false">IF(H43="","",IF(H43&gt;12,"逾12小時",IF(D43="例假日","例假日出勤僅限天災、事變、突發事件",IF(AND(I43&gt;0,J43&lt;&gt;"是"),"未取得加班同意",""))))</f>
        <v/>
      </c>
      <c r="L43" s="31"/>
      <c r="M43" s="30"/>
    </row>
    <row r="44" customFormat="false" ht="15" hidden="false" customHeight="false" outlineLevel="0" collapsed="false">
      <c r="A44" s="29"/>
      <c r="B44" s="31"/>
      <c r="C44" s="31"/>
      <c r="D44" s="31"/>
      <c r="E44" s="32"/>
      <c r="F44" s="32"/>
      <c r="G44" s="31"/>
      <c r="H44" s="33" t="str">
        <f aca="false">IF(OR(E44="",F44=""),"",ROUND(((F44-E44)*1440-G44)/60,2))</f>
        <v/>
      </c>
      <c r="I44" s="33" t="str">
        <f aca="false">IF(H44="","",IF(D44="平日",MAX(0,H44-8),IF(OR(D44="休息日",D44="例假日",D44="國定假日",D44="特休日"),H44,0)))</f>
        <v/>
      </c>
      <c r="J44" s="31"/>
      <c r="K44" s="34" t="str">
        <f aca="false">IF(H44="","",IF(H44&gt;12,"逾12小時",IF(D44="例假日","例假日出勤僅限天災、事變、突發事件",IF(AND(I44&gt;0,J44&lt;&gt;"是"),"未取得加班同意",""))))</f>
        <v/>
      </c>
      <c r="L44" s="31"/>
      <c r="M44" s="30"/>
    </row>
    <row r="45" customFormat="false" ht="15" hidden="false" customHeight="false" outlineLevel="0" collapsed="false">
      <c r="A45" s="29"/>
      <c r="B45" s="31"/>
      <c r="C45" s="31"/>
      <c r="D45" s="31"/>
      <c r="E45" s="32"/>
      <c r="F45" s="32"/>
      <c r="G45" s="31"/>
      <c r="H45" s="33" t="str">
        <f aca="false">IF(OR(E45="",F45=""),"",ROUND(((F45-E45)*1440-G45)/60,2))</f>
        <v/>
      </c>
      <c r="I45" s="33" t="str">
        <f aca="false">IF(H45="","",IF(D45="平日",MAX(0,H45-8),IF(OR(D45="休息日",D45="例假日",D45="國定假日",D45="特休日"),H45,0)))</f>
        <v/>
      </c>
      <c r="J45" s="31"/>
      <c r="K45" s="34" t="str">
        <f aca="false">IF(H45="","",IF(H45&gt;12,"逾12小時",IF(D45="例假日","例假日出勤僅限天災、事變、突發事件",IF(AND(I45&gt;0,J45&lt;&gt;"是"),"未取得加班同意",""))))</f>
        <v/>
      </c>
      <c r="L45" s="31"/>
      <c r="M45" s="30"/>
    </row>
    <row r="46" customFormat="false" ht="15" hidden="false" customHeight="false" outlineLevel="0" collapsed="false">
      <c r="A46" s="29"/>
      <c r="B46" s="31"/>
      <c r="C46" s="31"/>
      <c r="D46" s="31"/>
      <c r="E46" s="32"/>
      <c r="F46" s="32"/>
      <c r="G46" s="31"/>
      <c r="H46" s="33" t="str">
        <f aca="false">IF(OR(E46="",F46=""),"",ROUND(((F46-E46)*1440-G46)/60,2))</f>
        <v/>
      </c>
      <c r="I46" s="33" t="str">
        <f aca="false">IF(H46="","",IF(D46="平日",MAX(0,H46-8),IF(OR(D46="休息日",D46="例假日",D46="國定假日",D46="特休日"),H46,0)))</f>
        <v/>
      </c>
      <c r="J46" s="31"/>
      <c r="K46" s="34" t="str">
        <f aca="false">IF(H46="","",IF(H46&gt;12,"逾12小時",IF(D46="例假日","例假日出勤僅限天災、事變、突發事件",IF(AND(I46&gt;0,J46&lt;&gt;"是"),"未取得加班同意",""))))</f>
        <v/>
      </c>
      <c r="L46" s="31"/>
      <c r="M46" s="30"/>
    </row>
    <row r="47" customFormat="false" ht="15" hidden="false" customHeight="false" outlineLevel="0" collapsed="false">
      <c r="A47" s="29"/>
      <c r="B47" s="31"/>
      <c r="C47" s="31"/>
      <c r="D47" s="31"/>
      <c r="E47" s="32"/>
      <c r="F47" s="32"/>
      <c r="G47" s="31"/>
      <c r="H47" s="33" t="str">
        <f aca="false">IF(OR(E47="",F47=""),"",ROUND(((F47-E47)*1440-G47)/60,2))</f>
        <v/>
      </c>
      <c r="I47" s="33" t="str">
        <f aca="false">IF(H47="","",IF(D47="平日",MAX(0,H47-8),IF(OR(D47="休息日",D47="例假日",D47="國定假日",D47="特休日"),H47,0)))</f>
        <v/>
      </c>
      <c r="J47" s="31"/>
      <c r="K47" s="34" t="str">
        <f aca="false">IF(H47="","",IF(H47&gt;12,"逾12小時",IF(D47="例假日","例假日出勤僅限天災、事變、突發事件",IF(AND(I47&gt;0,J47&lt;&gt;"是"),"未取得加班同意",""))))</f>
        <v/>
      </c>
      <c r="L47" s="31"/>
      <c r="M47" s="30"/>
    </row>
    <row r="48" customFormat="false" ht="15" hidden="false" customHeight="false" outlineLevel="0" collapsed="false">
      <c r="A48" s="29"/>
      <c r="B48" s="31"/>
      <c r="C48" s="31"/>
      <c r="D48" s="31"/>
      <c r="E48" s="32"/>
      <c r="F48" s="32"/>
      <c r="G48" s="31"/>
      <c r="H48" s="33" t="str">
        <f aca="false">IF(OR(E48="",F48=""),"",ROUND(((F48-E48)*1440-G48)/60,2))</f>
        <v/>
      </c>
      <c r="I48" s="33" t="str">
        <f aca="false">IF(H48="","",IF(D48="平日",MAX(0,H48-8),IF(OR(D48="休息日",D48="例假日",D48="國定假日",D48="特休日"),H48,0)))</f>
        <v/>
      </c>
      <c r="J48" s="31"/>
      <c r="K48" s="34" t="str">
        <f aca="false">IF(H48="","",IF(H48&gt;12,"逾12小時",IF(D48="例假日","例假日出勤僅限天災、事變、突發事件",IF(AND(I48&gt;0,J48&lt;&gt;"是"),"未取得加班同意",""))))</f>
        <v/>
      </c>
      <c r="L48" s="31"/>
      <c r="M48" s="30"/>
    </row>
    <row r="49" customFormat="false" ht="15" hidden="false" customHeight="false" outlineLevel="0" collapsed="false">
      <c r="A49" s="29"/>
      <c r="B49" s="31"/>
      <c r="C49" s="31"/>
      <c r="D49" s="31"/>
      <c r="E49" s="32"/>
      <c r="F49" s="32"/>
      <c r="G49" s="31"/>
      <c r="H49" s="33" t="str">
        <f aca="false">IF(OR(E49="",F49=""),"",ROUND(((F49-E49)*1440-G49)/60,2))</f>
        <v/>
      </c>
      <c r="I49" s="33" t="str">
        <f aca="false">IF(H49="","",IF(D49="平日",MAX(0,H49-8),IF(OR(D49="休息日",D49="例假日",D49="國定假日",D49="特休日"),H49,0)))</f>
        <v/>
      </c>
      <c r="J49" s="31"/>
      <c r="K49" s="34" t="str">
        <f aca="false">IF(H49="","",IF(H49&gt;12,"逾12小時",IF(D49="例假日","例假日出勤僅限天災、事變、突發事件",IF(AND(I49&gt;0,J49&lt;&gt;"是"),"未取得加班同意",""))))</f>
        <v/>
      </c>
      <c r="L49" s="31"/>
      <c r="M49" s="30"/>
    </row>
    <row r="50" customFormat="false" ht="15" hidden="false" customHeight="false" outlineLevel="0" collapsed="false">
      <c r="A50" s="29"/>
      <c r="B50" s="31"/>
      <c r="C50" s="31"/>
      <c r="D50" s="31"/>
      <c r="E50" s="32"/>
      <c r="F50" s="32"/>
      <c r="G50" s="31"/>
      <c r="H50" s="33" t="str">
        <f aca="false">IF(OR(E50="",F50=""),"",ROUND(((F50-E50)*1440-G50)/60,2))</f>
        <v/>
      </c>
      <c r="I50" s="33" t="str">
        <f aca="false">IF(H50="","",IF(D50="平日",MAX(0,H50-8),IF(OR(D50="休息日",D50="例假日",D50="國定假日",D50="特休日"),H50,0)))</f>
        <v/>
      </c>
      <c r="J50" s="31"/>
      <c r="K50" s="34" t="str">
        <f aca="false">IF(H50="","",IF(H50&gt;12,"逾12小時",IF(D50="例假日","例假日出勤僅限天災、事變、突發事件",IF(AND(I50&gt;0,J50&lt;&gt;"是"),"未取得加班同意",""))))</f>
        <v/>
      </c>
      <c r="L50" s="31"/>
      <c r="M50" s="30"/>
    </row>
    <row r="51" customFormat="false" ht="15" hidden="false" customHeight="false" outlineLevel="0" collapsed="false">
      <c r="A51" s="29"/>
      <c r="B51" s="31"/>
      <c r="C51" s="31"/>
      <c r="D51" s="31"/>
      <c r="E51" s="32"/>
      <c r="F51" s="32"/>
      <c r="G51" s="31"/>
      <c r="H51" s="33" t="str">
        <f aca="false">IF(OR(E51="",F51=""),"",ROUND(((F51-E51)*1440-G51)/60,2))</f>
        <v/>
      </c>
      <c r="I51" s="33" t="str">
        <f aca="false">IF(H51="","",IF(D51="平日",MAX(0,H51-8),IF(OR(D51="休息日",D51="例假日",D51="國定假日",D51="特休日"),H51,0)))</f>
        <v/>
      </c>
      <c r="J51" s="31"/>
      <c r="K51" s="34" t="str">
        <f aca="false">IF(H51="","",IF(H51&gt;12,"逾12小時",IF(D51="例假日","例假日出勤僅限天災、事變、突發事件",IF(AND(I51&gt;0,J51&lt;&gt;"是"),"未取得加班同意",""))))</f>
        <v/>
      </c>
      <c r="L51" s="31"/>
      <c r="M51" s="30"/>
    </row>
    <row r="52" customFormat="false" ht="15" hidden="false" customHeight="false" outlineLevel="0" collapsed="false">
      <c r="A52" s="29"/>
      <c r="B52" s="31"/>
      <c r="C52" s="31"/>
      <c r="D52" s="31"/>
      <c r="E52" s="32"/>
      <c r="F52" s="32"/>
      <c r="G52" s="31"/>
      <c r="H52" s="33" t="str">
        <f aca="false">IF(OR(E52="",F52=""),"",ROUND(((F52-E52)*1440-G52)/60,2))</f>
        <v/>
      </c>
      <c r="I52" s="33" t="str">
        <f aca="false">IF(H52="","",IF(D52="平日",MAX(0,H52-8),IF(OR(D52="休息日",D52="例假日",D52="國定假日",D52="特休日"),H52,0)))</f>
        <v/>
      </c>
      <c r="J52" s="31"/>
      <c r="K52" s="34" t="str">
        <f aca="false">IF(H52="","",IF(H52&gt;12,"逾12小時",IF(D52="例假日","例假日出勤僅限天災、事變、突發事件",IF(AND(I52&gt;0,J52&lt;&gt;"是"),"未取得加班同意",""))))</f>
        <v/>
      </c>
      <c r="L52" s="31"/>
      <c r="M52" s="30"/>
    </row>
    <row r="53" customFormat="false" ht="15" hidden="false" customHeight="false" outlineLevel="0" collapsed="false">
      <c r="A53" s="29"/>
      <c r="B53" s="31"/>
      <c r="C53" s="31"/>
      <c r="D53" s="31"/>
      <c r="E53" s="32"/>
      <c r="F53" s="32"/>
      <c r="G53" s="31"/>
      <c r="H53" s="33" t="str">
        <f aca="false">IF(OR(E53="",F53=""),"",ROUND(((F53-E53)*1440-G53)/60,2))</f>
        <v/>
      </c>
      <c r="I53" s="33" t="str">
        <f aca="false">IF(H53="","",IF(D53="平日",MAX(0,H53-8),IF(OR(D53="休息日",D53="例假日",D53="國定假日",D53="特休日"),H53,0)))</f>
        <v/>
      </c>
      <c r="J53" s="31"/>
      <c r="K53" s="34" t="str">
        <f aca="false">IF(H53="","",IF(H53&gt;12,"逾12小時",IF(D53="例假日","例假日出勤僅限天災、事變、突發事件",IF(AND(I53&gt;0,J53&lt;&gt;"是"),"未取得加班同意",""))))</f>
        <v/>
      </c>
      <c r="L53" s="31"/>
      <c r="M53" s="30"/>
    </row>
    <row r="54" customFormat="false" ht="15" hidden="false" customHeight="false" outlineLevel="0" collapsed="false">
      <c r="A54" s="29"/>
      <c r="B54" s="31"/>
      <c r="C54" s="31"/>
      <c r="D54" s="31"/>
      <c r="E54" s="32"/>
      <c r="F54" s="32"/>
      <c r="G54" s="31"/>
      <c r="H54" s="33" t="str">
        <f aca="false">IF(OR(E54="",F54=""),"",ROUND(((F54-E54)*1440-G54)/60,2))</f>
        <v/>
      </c>
      <c r="I54" s="33" t="str">
        <f aca="false">IF(H54="","",IF(D54="平日",MAX(0,H54-8),IF(OR(D54="休息日",D54="例假日",D54="國定假日",D54="特休日"),H54,0)))</f>
        <v/>
      </c>
      <c r="J54" s="31"/>
      <c r="K54" s="34" t="str">
        <f aca="false">IF(H54="","",IF(H54&gt;12,"逾12小時",IF(D54="例假日","例假日出勤僅限天災、事變、突發事件",IF(AND(I54&gt;0,J54&lt;&gt;"是"),"未取得加班同意",""))))</f>
        <v/>
      </c>
      <c r="L54" s="31"/>
      <c r="M54" s="30"/>
    </row>
    <row r="55" customFormat="false" ht="15" hidden="false" customHeight="false" outlineLevel="0" collapsed="false">
      <c r="A55" s="29"/>
      <c r="B55" s="31"/>
      <c r="C55" s="31"/>
      <c r="D55" s="31"/>
      <c r="E55" s="32"/>
      <c r="F55" s="32"/>
      <c r="G55" s="31"/>
      <c r="H55" s="33" t="str">
        <f aca="false">IF(OR(E55="",F55=""),"",ROUND(((F55-E55)*1440-G55)/60,2))</f>
        <v/>
      </c>
      <c r="I55" s="33" t="str">
        <f aca="false">IF(H55="","",IF(D55="平日",MAX(0,H55-8),IF(OR(D55="休息日",D55="例假日",D55="國定假日",D55="特休日"),H55,0)))</f>
        <v/>
      </c>
      <c r="J55" s="31"/>
      <c r="K55" s="34" t="str">
        <f aca="false">IF(H55="","",IF(H55&gt;12,"逾12小時",IF(D55="例假日","例假日出勤僅限天災、事變、突發事件",IF(AND(I55&gt;0,J55&lt;&gt;"是"),"未取得加班同意",""))))</f>
        <v/>
      </c>
      <c r="L55" s="31"/>
      <c r="M55" s="30"/>
    </row>
    <row r="56" customFormat="false" ht="15" hidden="false" customHeight="false" outlineLevel="0" collapsed="false">
      <c r="A56" s="29"/>
      <c r="B56" s="31"/>
      <c r="C56" s="31"/>
      <c r="D56" s="31"/>
      <c r="E56" s="32"/>
      <c r="F56" s="32"/>
      <c r="G56" s="31"/>
      <c r="H56" s="33" t="str">
        <f aca="false">IF(OR(E56="",F56=""),"",ROUND(((F56-E56)*1440-G56)/60,2))</f>
        <v/>
      </c>
      <c r="I56" s="33" t="str">
        <f aca="false">IF(H56="","",IF(D56="平日",MAX(0,H56-8),IF(OR(D56="休息日",D56="例假日",D56="國定假日",D56="特休日"),H56,0)))</f>
        <v/>
      </c>
      <c r="J56" s="31"/>
      <c r="K56" s="34" t="str">
        <f aca="false">IF(H56="","",IF(H56&gt;12,"逾12小時",IF(D56="例假日","例假日出勤僅限天災、事變、突發事件",IF(AND(I56&gt;0,J56&lt;&gt;"是"),"未取得加班同意",""))))</f>
        <v/>
      </c>
      <c r="L56" s="31"/>
      <c r="M56" s="30"/>
    </row>
    <row r="57" customFormat="false" ht="15" hidden="false" customHeight="false" outlineLevel="0" collapsed="false">
      <c r="A57" s="29"/>
      <c r="B57" s="31"/>
      <c r="C57" s="31"/>
      <c r="D57" s="31"/>
      <c r="E57" s="32"/>
      <c r="F57" s="32"/>
      <c r="G57" s="31"/>
      <c r="H57" s="33" t="str">
        <f aca="false">IF(OR(E57="",F57=""),"",ROUND(((F57-E57)*1440-G57)/60,2))</f>
        <v/>
      </c>
      <c r="I57" s="33" t="str">
        <f aca="false">IF(H57="","",IF(D57="平日",MAX(0,H57-8),IF(OR(D57="休息日",D57="例假日",D57="國定假日",D57="特休日"),H57,0)))</f>
        <v/>
      </c>
      <c r="J57" s="31"/>
      <c r="K57" s="34" t="str">
        <f aca="false">IF(H57="","",IF(H57&gt;12,"逾12小時",IF(D57="例假日","例假日出勤僅限天災、事變、突發事件",IF(AND(I57&gt;0,J57&lt;&gt;"是"),"未取得加班同意",""))))</f>
        <v/>
      </c>
      <c r="L57" s="31"/>
      <c r="M57" s="30"/>
    </row>
    <row r="58" customFormat="false" ht="15" hidden="false" customHeight="false" outlineLevel="0" collapsed="false">
      <c r="A58" s="29"/>
      <c r="B58" s="31"/>
      <c r="C58" s="31"/>
      <c r="D58" s="31"/>
      <c r="E58" s="32"/>
      <c r="F58" s="32"/>
      <c r="G58" s="31"/>
      <c r="H58" s="33" t="str">
        <f aca="false">IF(OR(E58="",F58=""),"",ROUND(((F58-E58)*1440-G58)/60,2))</f>
        <v/>
      </c>
      <c r="I58" s="33" t="str">
        <f aca="false">IF(H58="","",IF(D58="平日",MAX(0,H58-8),IF(OR(D58="休息日",D58="例假日",D58="國定假日",D58="特休日"),H58,0)))</f>
        <v/>
      </c>
      <c r="J58" s="31"/>
      <c r="K58" s="34" t="str">
        <f aca="false">IF(H58="","",IF(H58&gt;12,"逾12小時",IF(D58="例假日","例假日出勤僅限天災、事變、突發事件",IF(AND(I58&gt;0,J58&lt;&gt;"是"),"未取得加班同意",""))))</f>
        <v/>
      </c>
      <c r="L58" s="31"/>
      <c r="M58" s="30"/>
    </row>
    <row r="59" customFormat="false" ht="15" hidden="false" customHeight="false" outlineLevel="0" collapsed="false">
      <c r="A59" s="29"/>
      <c r="B59" s="31"/>
      <c r="C59" s="31"/>
      <c r="D59" s="31"/>
      <c r="E59" s="32"/>
      <c r="F59" s="32"/>
      <c r="G59" s="31"/>
      <c r="H59" s="33" t="str">
        <f aca="false">IF(OR(E59="",F59=""),"",ROUND(((F59-E59)*1440-G59)/60,2))</f>
        <v/>
      </c>
      <c r="I59" s="33" t="str">
        <f aca="false">IF(H59="","",IF(D59="平日",MAX(0,H59-8),IF(OR(D59="休息日",D59="例假日",D59="國定假日",D59="特休日"),H59,0)))</f>
        <v/>
      </c>
      <c r="J59" s="31"/>
      <c r="K59" s="34" t="str">
        <f aca="false">IF(H59="","",IF(H59&gt;12,"逾12小時",IF(D59="例假日","例假日出勤僅限天災、事變、突發事件",IF(AND(I59&gt;0,J59&lt;&gt;"是"),"未取得加班同意",""))))</f>
        <v/>
      </c>
      <c r="L59" s="31"/>
      <c r="M59" s="30"/>
    </row>
    <row r="60" customFormat="false" ht="15" hidden="false" customHeight="false" outlineLevel="0" collapsed="false">
      <c r="A60" s="29"/>
      <c r="B60" s="31"/>
      <c r="C60" s="31"/>
      <c r="D60" s="31"/>
      <c r="E60" s="32"/>
      <c r="F60" s="32"/>
      <c r="G60" s="31"/>
      <c r="H60" s="33" t="str">
        <f aca="false">IF(OR(E60="",F60=""),"",ROUND(((F60-E60)*1440-G60)/60,2))</f>
        <v/>
      </c>
      <c r="I60" s="33" t="str">
        <f aca="false">IF(H60="","",IF(D60="平日",MAX(0,H60-8),IF(OR(D60="休息日",D60="例假日",D60="國定假日",D60="特休日"),H60,0)))</f>
        <v/>
      </c>
      <c r="J60" s="31"/>
      <c r="K60" s="34" t="str">
        <f aca="false">IF(H60="","",IF(H60&gt;12,"逾12小時",IF(D60="例假日","例假日出勤僅限天災、事變、突發事件",IF(AND(I60&gt;0,J60&lt;&gt;"是"),"未取得加班同意",""))))</f>
        <v/>
      </c>
      <c r="L60" s="31"/>
      <c r="M60" s="30"/>
    </row>
    <row r="61" customFormat="false" ht="15" hidden="false" customHeight="false" outlineLevel="0" collapsed="false">
      <c r="A61" s="29"/>
      <c r="B61" s="31"/>
      <c r="C61" s="31"/>
      <c r="D61" s="31"/>
      <c r="E61" s="32"/>
      <c r="F61" s="32"/>
      <c r="G61" s="31"/>
      <c r="H61" s="33" t="str">
        <f aca="false">IF(OR(E61="",F61=""),"",ROUND(((F61-E61)*1440-G61)/60,2))</f>
        <v/>
      </c>
      <c r="I61" s="33" t="str">
        <f aca="false">IF(H61="","",IF(D61="平日",MAX(0,H61-8),IF(OR(D61="休息日",D61="例假日",D61="國定假日",D61="特休日"),H61,0)))</f>
        <v/>
      </c>
      <c r="J61" s="31"/>
      <c r="K61" s="34" t="str">
        <f aca="false">IF(H61="","",IF(H61&gt;12,"逾12小時",IF(D61="例假日","例假日出勤僅限天災、事變、突發事件",IF(AND(I61&gt;0,J61&lt;&gt;"是"),"未取得加班同意",""))))</f>
        <v/>
      </c>
      <c r="L61" s="31"/>
      <c r="M61" s="30"/>
    </row>
    <row r="62" customFormat="false" ht="15" hidden="false" customHeight="false" outlineLevel="0" collapsed="false">
      <c r="A62" s="29"/>
      <c r="B62" s="31"/>
      <c r="C62" s="31"/>
      <c r="D62" s="31"/>
      <c r="E62" s="32"/>
      <c r="F62" s="32"/>
      <c r="G62" s="31"/>
      <c r="H62" s="33" t="str">
        <f aca="false">IF(OR(E62="",F62=""),"",ROUND(((F62-E62)*1440-G62)/60,2))</f>
        <v/>
      </c>
      <c r="I62" s="33" t="str">
        <f aca="false">IF(H62="","",IF(D62="平日",MAX(0,H62-8),IF(OR(D62="休息日",D62="例假日",D62="國定假日",D62="特休日"),H62,0)))</f>
        <v/>
      </c>
      <c r="J62" s="31"/>
      <c r="K62" s="34" t="str">
        <f aca="false">IF(H62="","",IF(H62&gt;12,"逾12小時",IF(D62="例假日","例假日出勤僅限天災、事變、突發事件",IF(AND(I62&gt;0,J62&lt;&gt;"是"),"未取得加班同意",""))))</f>
        <v/>
      </c>
      <c r="L62" s="31"/>
      <c r="M62" s="30"/>
    </row>
    <row r="63" customFormat="false" ht="15" hidden="false" customHeight="false" outlineLevel="0" collapsed="false">
      <c r="A63" s="29"/>
      <c r="B63" s="31"/>
      <c r="C63" s="31"/>
      <c r="D63" s="31"/>
      <c r="E63" s="32"/>
      <c r="F63" s="32"/>
      <c r="G63" s="31"/>
      <c r="H63" s="33" t="str">
        <f aca="false">IF(OR(E63="",F63=""),"",ROUND(((F63-E63)*1440-G63)/60,2))</f>
        <v/>
      </c>
      <c r="I63" s="33" t="str">
        <f aca="false">IF(H63="","",IF(D63="平日",MAX(0,H63-8),IF(OR(D63="休息日",D63="例假日",D63="國定假日",D63="特休日"),H63,0)))</f>
        <v/>
      </c>
      <c r="J63" s="31"/>
      <c r="K63" s="34" t="str">
        <f aca="false">IF(H63="","",IF(H63&gt;12,"逾12小時",IF(D63="例假日","例假日出勤僅限天災、事變、突發事件",IF(AND(I63&gt;0,J63&lt;&gt;"是"),"未取得加班同意",""))))</f>
        <v/>
      </c>
      <c r="L63" s="31"/>
      <c r="M63" s="30"/>
    </row>
    <row r="64" customFormat="false" ht="15" hidden="false" customHeight="false" outlineLevel="0" collapsed="false">
      <c r="A64" s="29"/>
      <c r="B64" s="31"/>
      <c r="C64" s="31"/>
      <c r="D64" s="31"/>
      <c r="E64" s="32"/>
      <c r="F64" s="32"/>
      <c r="G64" s="31"/>
      <c r="H64" s="33" t="str">
        <f aca="false">IF(OR(E64="",F64=""),"",ROUND(((F64-E64)*1440-G64)/60,2))</f>
        <v/>
      </c>
      <c r="I64" s="33" t="str">
        <f aca="false">IF(H64="","",IF(D64="平日",MAX(0,H64-8),IF(OR(D64="休息日",D64="例假日",D64="國定假日",D64="特休日"),H64,0)))</f>
        <v/>
      </c>
      <c r="J64" s="31"/>
      <c r="K64" s="34" t="str">
        <f aca="false">IF(H64="","",IF(H64&gt;12,"逾12小時",IF(D64="例假日","例假日出勤僅限天災、事變、突發事件",IF(AND(I64&gt;0,J64&lt;&gt;"是"),"未取得加班同意",""))))</f>
        <v/>
      </c>
      <c r="L64" s="31"/>
      <c r="M64" s="30"/>
    </row>
    <row r="65" customFormat="false" ht="15" hidden="false" customHeight="false" outlineLevel="0" collapsed="false">
      <c r="A65" s="29"/>
      <c r="B65" s="31"/>
      <c r="C65" s="31"/>
      <c r="D65" s="31"/>
      <c r="E65" s="32"/>
      <c r="F65" s="32"/>
      <c r="G65" s="31"/>
      <c r="H65" s="33" t="str">
        <f aca="false">IF(OR(E65="",F65=""),"",ROUND(((F65-E65)*1440-G65)/60,2))</f>
        <v/>
      </c>
      <c r="I65" s="33" t="str">
        <f aca="false">IF(H65="","",IF(D65="平日",MAX(0,H65-8),IF(OR(D65="休息日",D65="例假日",D65="國定假日",D65="特休日"),H65,0)))</f>
        <v/>
      </c>
      <c r="J65" s="31"/>
      <c r="K65" s="34" t="str">
        <f aca="false">IF(H65="","",IF(H65&gt;12,"逾12小時",IF(D65="例假日","例假日出勤僅限天災、事變、突發事件",IF(AND(I65&gt;0,J65&lt;&gt;"是"),"未取得加班同意",""))))</f>
        <v/>
      </c>
      <c r="L65" s="31"/>
      <c r="M65" s="30"/>
    </row>
    <row r="66" customFormat="false" ht="15" hidden="false" customHeight="false" outlineLevel="0" collapsed="false">
      <c r="A66" s="29"/>
      <c r="B66" s="31"/>
      <c r="C66" s="31"/>
      <c r="D66" s="31"/>
      <c r="E66" s="32"/>
      <c r="F66" s="32"/>
      <c r="G66" s="31"/>
      <c r="H66" s="33" t="str">
        <f aca="false">IF(OR(E66="",F66=""),"",ROUND(((F66-E66)*1440-G66)/60,2))</f>
        <v/>
      </c>
      <c r="I66" s="33" t="str">
        <f aca="false">IF(H66="","",IF(D66="平日",MAX(0,H66-8),IF(OR(D66="休息日",D66="例假日",D66="國定假日",D66="特休日"),H66,0)))</f>
        <v/>
      </c>
      <c r="J66" s="31"/>
      <c r="K66" s="34" t="str">
        <f aca="false">IF(H66="","",IF(H66&gt;12,"逾12小時",IF(D66="例假日","例假日出勤僅限天災、事變、突發事件",IF(AND(I66&gt;0,J66&lt;&gt;"是"),"未取得加班同意",""))))</f>
        <v/>
      </c>
      <c r="L66" s="31"/>
      <c r="M66" s="30"/>
    </row>
    <row r="67" customFormat="false" ht="15" hidden="false" customHeight="false" outlineLevel="0" collapsed="false">
      <c r="A67" s="29"/>
      <c r="B67" s="31"/>
      <c r="C67" s="31"/>
      <c r="D67" s="31"/>
      <c r="E67" s="32"/>
      <c r="F67" s="32"/>
      <c r="G67" s="31"/>
      <c r="H67" s="33" t="str">
        <f aca="false">IF(OR(E67="",F67=""),"",ROUND(((F67-E67)*1440-G67)/60,2))</f>
        <v/>
      </c>
      <c r="I67" s="33" t="str">
        <f aca="false">IF(H67="","",IF(D67="平日",MAX(0,H67-8),IF(OR(D67="休息日",D67="例假日",D67="國定假日",D67="特休日"),H67,0)))</f>
        <v/>
      </c>
      <c r="J67" s="31"/>
      <c r="K67" s="34" t="str">
        <f aca="false">IF(H67="","",IF(H67&gt;12,"逾12小時",IF(D67="例假日","例假日出勤僅限天災、事變、突發事件",IF(AND(I67&gt;0,J67&lt;&gt;"是"),"未取得加班同意",""))))</f>
        <v/>
      </c>
      <c r="L67" s="31"/>
      <c r="M67" s="30"/>
    </row>
    <row r="68" customFormat="false" ht="15" hidden="false" customHeight="false" outlineLevel="0" collapsed="false">
      <c r="A68" s="29"/>
      <c r="B68" s="31"/>
      <c r="C68" s="31"/>
      <c r="D68" s="31"/>
      <c r="E68" s="32"/>
      <c r="F68" s="32"/>
      <c r="G68" s="31"/>
      <c r="H68" s="33" t="str">
        <f aca="false">IF(OR(E68="",F68=""),"",ROUND(((F68-E68)*1440-G68)/60,2))</f>
        <v/>
      </c>
      <c r="I68" s="33" t="str">
        <f aca="false">IF(H68="","",IF(D68="平日",MAX(0,H68-8),IF(OR(D68="休息日",D68="例假日",D68="國定假日",D68="特休日"),H68,0)))</f>
        <v/>
      </c>
      <c r="J68" s="31"/>
      <c r="K68" s="34" t="str">
        <f aca="false">IF(H68="","",IF(H68&gt;12,"逾12小時",IF(D68="例假日","例假日出勤僅限天災、事變、突發事件",IF(AND(I68&gt;0,J68&lt;&gt;"是"),"未取得加班同意",""))))</f>
        <v/>
      </c>
      <c r="L68" s="31"/>
      <c r="M68" s="30"/>
    </row>
    <row r="69" customFormat="false" ht="15" hidden="false" customHeight="false" outlineLevel="0" collapsed="false">
      <c r="A69" s="29"/>
      <c r="B69" s="31"/>
      <c r="C69" s="31"/>
      <c r="D69" s="31"/>
      <c r="E69" s="32"/>
      <c r="F69" s="32"/>
      <c r="G69" s="31"/>
      <c r="H69" s="33" t="str">
        <f aca="false">IF(OR(E69="",F69=""),"",ROUND(((F69-E69)*1440-G69)/60,2))</f>
        <v/>
      </c>
      <c r="I69" s="33" t="str">
        <f aca="false">IF(H69="","",IF(D69="平日",MAX(0,H69-8),IF(OR(D69="休息日",D69="例假日",D69="國定假日",D69="特休日"),H69,0)))</f>
        <v/>
      </c>
      <c r="J69" s="31"/>
      <c r="K69" s="34" t="str">
        <f aca="false">IF(H69="","",IF(H69&gt;12,"逾12小時",IF(D69="例假日","例假日出勤僅限天災、事變、突發事件",IF(AND(I69&gt;0,J69&lt;&gt;"是"),"未取得加班同意",""))))</f>
        <v/>
      </c>
      <c r="L69" s="31"/>
      <c r="M69" s="30"/>
    </row>
    <row r="70" customFormat="false" ht="15" hidden="false" customHeight="false" outlineLevel="0" collapsed="false">
      <c r="A70" s="29"/>
      <c r="B70" s="31"/>
      <c r="C70" s="31"/>
      <c r="D70" s="31"/>
      <c r="E70" s="32"/>
      <c r="F70" s="32"/>
      <c r="G70" s="31"/>
      <c r="H70" s="33" t="str">
        <f aca="false">IF(OR(E70="",F70=""),"",ROUND(((F70-E70)*1440-G70)/60,2))</f>
        <v/>
      </c>
      <c r="I70" s="33" t="str">
        <f aca="false">IF(H70="","",IF(D70="平日",MAX(0,H70-8),IF(OR(D70="休息日",D70="例假日",D70="國定假日",D70="特休日"),H70,0)))</f>
        <v/>
      </c>
      <c r="J70" s="31"/>
      <c r="K70" s="34" t="str">
        <f aca="false">IF(H70="","",IF(H70&gt;12,"逾12小時",IF(D70="例假日","例假日出勤僅限天災、事變、突發事件",IF(AND(I70&gt;0,J70&lt;&gt;"是"),"未取得加班同意",""))))</f>
        <v/>
      </c>
      <c r="L70" s="31"/>
      <c r="M70" s="30"/>
    </row>
    <row r="71" customFormat="false" ht="15" hidden="false" customHeight="false" outlineLevel="0" collapsed="false">
      <c r="A71" s="29"/>
      <c r="B71" s="31"/>
      <c r="C71" s="31"/>
      <c r="D71" s="31"/>
      <c r="E71" s="32"/>
      <c r="F71" s="32"/>
      <c r="G71" s="31"/>
      <c r="H71" s="33" t="str">
        <f aca="false">IF(OR(E71="",F71=""),"",ROUND(((F71-E71)*1440-G71)/60,2))</f>
        <v/>
      </c>
      <c r="I71" s="33" t="str">
        <f aca="false">IF(H71="","",IF(D71="平日",MAX(0,H71-8),IF(OR(D71="休息日",D71="例假日",D71="國定假日",D71="特休日"),H71,0)))</f>
        <v/>
      </c>
      <c r="J71" s="31"/>
      <c r="K71" s="34" t="str">
        <f aca="false">IF(H71="","",IF(H71&gt;12,"逾12小時",IF(D71="例假日","例假日出勤僅限天災、事變、突發事件",IF(AND(I71&gt;0,J71&lt;&gt;"是"),"未取得加班同意",""))))</f>
        <v/>
      </c>
      <c r="L71" s="31"/>
      <c r="M71" s="30"/>
    </row>
    <row r="72" customFormat="false" ht="15" hidden="false" customHeight="false" outlineLevel="0" collapsed="false">
      <c r="A72" s="29"/>
      <c r="B72" s="31"/>
      <c r="C72" s="31"/>
      <c r="D72" s="31"/>
      <c r="E72" s="32"/>
      <c r="F72" s="32"/>
      <c r="G72" s="31"/>
      <c r="H72" s="33" t="str">
        <f aca="false">IF(OR(E72="",F72=""),"",ROUND(((F72-E72)*1440-G72)/60,2))</f>
        <v/>
      </c>
      <c r="I72" s="33" t="str">
        <f aca="false">IF(H72="","",IF(D72="平日",MAX(0,H72-8),IF(OR(D72="休息日",D72="例假日",D72="國定假日",D72="特休日"),H72,0)))</f>
        <v/>
      </c>
      <c r="J72" s="31"/>
      <c r="K72" s="34" t="str">
        <f aca="false">IF(H72="","",IF(H72&gt;12,"逾12小時",IF(D72="例假日","例假日出勤僅限天災、事變、突發事件",IF(AND(I72&gt;0,J72&lt;&gt;"是"),"未取得加班同意",""))))</f>
        <v/>
      </c>
      <c r="L72" s="31"/>
      <c r="M72" s="30"/>
    </row>
    <row r="73" customFormat="false" ht="15" hidden="false" customHeight="false" outlineLevel="0" collapsed="false">
      <c r="A73" s="29"/>
      <c r="B73" s="31"/>
      <c r="C73" s="31"/>
      <c r="D73" s="31"/>
      <c r="E73" s="32"/>
      <c r="F73" s="32"/>
      <c r="G73" s="31"/>
      <c r="H73" s="33" t="str">
        <f aca="false">IF(OR(E73="",F73=""),"",ROUND(((F73-E73)*1440-G73)/60,2))</f>
        <v/>
      </c>
      <c r="I73" s="33" t="str">
        <f aca="false">IF(H73="","",IF(D73="平日",MAX(0,H73-8),IF(OR(D73="休息日",D73="例假日",D73="國定假日",D73="特休日"),H73,0)))</f>
        <v/>
      </c>
      <c r="J73" s="31"/>
      <c r="K73" s="34" t="str">
        <f aca="false">IF(H73="","",IF(H73&gt;12,"逾12小時",IF(D73="例假日","例假日出勤僅限天災、事變、突發事件",IF(AND(I73&gt;0,J73&lt;&gt;"是"),"未取得加班同意",""))))</f>
        <v/>
      </c>
      <c r="L73" s="31"/>
      <c r="M73" s="30"/>
    </row>
    <row r="74" customFormat="false" ht="15" hidden="false" customHeight="false" outlineLevel="0" collapsed="false">
      <c r="A74" s="29"/>
      <c r="B74" s="31"/>
      <c r="C74" s="31"/>
      <c r="D74" s="31"/>
      <c r="E74" s="32"/>
      <c r="F74" s="32"/>
      <c r="G74" s="31"/>
      <c r="H74" s="33" t="str">
        <f aca="false">IF(OR(E74="",F74=""),"",ROUND(((F74-E74)*1440-G74)/60,2))</f>
        <v/>
      </c>
      <c r="I74" s="33" t="str">
        <f aca="false">IF(H74="","",IF(D74="平日",MAX(0,H74-8),IF(OR(D74="休息日",D74="例假日",D74="國定假日",D74="特休日"),H74,0)))</f>
        <v/>
      </c>
      <c r="J74" s="31"/>
      <c r="K74" s="34" t="str">
        <f aca="false">IF(H74="","",IF(H74&gt;12,"逾12小時",IF(D74="例假日","例假日出勤僅限天災、事變、突發事件",IF(AND(I74&gt;0,J74&lt;&gt;"是"),"未取得加班同意",""))))</f>
        <v/>
      </c>
      <c r="L74" s="31"/>
      <c r="M74" s="30"/>
    </row>
    <row r="75" customFormat="false" ht="15" hidden="false" customHeight="false" outlineLevel="0" collapsed="false">
      <c r="A75" s="29"/>
      <c r="B75" s="31"/>
      <c r="C75" s="31"/>
      <c r="D75" s="31"/>
      <c r="E75" s="32"/>
      <c r="F75" s="32"/>
      <c r="G75" s="31"/>
      <c r="H75" s="33" t="str">
        <f aca="false">IF(OR(E75="",F75=""),"",ROUND(((F75-E75)*1440-G75)/60,2))</f>
        <v/>
      </c>
      <c r="I75" s="33" t="str">
        <f aca="false">IF(H75="","",IF(D75="平日",MAX(0,H75-8),IF(OR(D75="休息日",D75="例假日",D75="國定假日",D75="特休日"),H75,0)))</f>
        <v/>
      </c>
      <c r="J75" s="31"/>
      <c r="K75" s="34" t="str">
        <f aca="false">IF(H75="","",IF(H75&gt;12,"逾12小時",IF(D75="例假日","例假日出勤僅限天災、事變、突發事件",IF(AND(I75&gt;0,J75&lt;&gt;"是"),"未取得加班同意",""))))</f>
        <v/>
      </c>
      <c r="L75" s="31"/>
      <c r="M75" s="30"/>
    </row>
    <row r="76" customFormat="false" ht="15" hidden="false" customHeight="false" outlineLevel="0" collapsed="false">
      <c r="A76" s="29"/>
      <c r="B76" s="31"/>
      <c r="C76" s="31"/>
      <c r="D76" s="31"/>
      <c r="E76" s="32"/>
      <c r="F76" s="32"/>
      <c r="G76" s="31"/>
      <c r="H76" s="33" t="str">
        <f aca="false">IF(OR(E76="",F76=""),"",ROUND(((F76-E76)*1440-G76)/60,2))</f>
        <v/>
      </c>
      <c r="I76" s="33" t="str">
        <f aca="false">IF(H76="","",IF(D76="平日",MAX(0,H76-8),IF(OR(D76="休息日",D76="例假日",D76="國定假日",D76="特休日"),H76,0)))</f>
        <v/>
      </c>
      <c r="J76" s="31"/>
      <c r="K76" s="34" t="str">
        <f aca="false">IF(H76="","",IF(H76&gt;12,"逾12小時",IF(D76="例假日","例假日出勤僅限天災、事變、突發事件",IF(AND(I76&gt;0,J76&lt;&gt;"是"),"未取得加班同意",""))))</f>
        <v/>
      </c>
      <c r="L76" s="31"/>
      <c r="M76" s="30"/>
    </row>
    <row r="77" customFormat="false" ht="15" hidden="false" customHeight="false" outlineLevel="0" collapsed="false">
      <c r="A77" s="29"/>
      <c r="B77" s="31"/>
      <c r="C77" s="31"/>
      <c r="D77" s="31"/>
      <c r="E77" s="32"/>
      <c r="F77" s="32"/>
      <c r="G77" s="31"/>
      <c r="H77" s="33" t="str">
        <f aca="false">IF(OR(E77="",F77=""),"",ROUND(((F77-E77)*1440-G77)/60,2))</f>
        <v/>
      </c>
      <c r="I77" s="33" t="str">
        <f aca="false">IF(H77="","",IF(D77="平日",MAX(0,H77-8),IF(OR(D77="休息日",D77="例假日",D77="國定假日",D77="特休日"),H77,0)))</f>
        <v/>
      </c>
      <c r="J77" s="31"/>
      <c r="K77" s="34" t="str">
        <f aca="false">IF(H77="","",IF(H77&gt;12,"逾12小時",IF(D77="例假日","例假日出勤僅限天災、事變、突發事件",IF(AND(I77&gt;0,J77&lt;&gt;"是"),"未取得加班同意",""))))</f>
        <v/>
      </c>
      <c r="L77" s="31"/>
      <c r="M77" s="30"/>
    </row>
    <row r="78" customFormat="false" ht="15" hidden="false" customHeight="false" outlineLevel="0" collapsed="false">
      <c r="A78" s="29"/>
      <c r="B78" s="31"/>
      <c r="C78" s="31"/>
      <c r="D78" s="31"/>
      <c r="E78" s="32"/>
      <c r="F78" s="32"/>
      <c r="G78" s="31"/>
      <c r="H78" s="33" t="str">
        <f aca="false">IF(OR(E78="",F78=""),"",ROUND(((F78-E78)*1440-G78)/60,2))</f>
        <v/>
      </c>
      <c r="I78" s="33" t="str">
        <f aca="false">IF(H78="","",IF(D78="平日",MAX(0,H78-8),IF(OR(D78="休息日",D78="例假日",D78="國定假日",D78="特休日"),H78,0)))</f>
        <v/>
      </c>
      <c r="J78" s="31"/>
      <c r="K78" s="34" t="str">
        <f aca="false">IF(H78="","",IF(H78&gt;12,"逾12小時",IF(D78="例假日","例假日出勤僅限天災、事變、突發事件",IF(AND(I78&gt;0,J78&lt;&gt;"是"),"未取得加班同意",""))))</f>
        <v/>
      </c>
      <c r="L78" s="31"/>
      <c r="M78" s="30"/>
    </row>
    <row r="79" customFormat="false" ht="15" hidden="false" customHeight="false" outlineLevel="0" collapsed="false">
      <c r="A79" s="29"/>
      <c r="B79" s="31"/>
      <c r="C79" s="31"/>
      <c r="D79" s="31"/>
      <c r="E79" s="32"/>
      <c r="F79" s="32"/>
      <c r="G79" s="31"/>
      <c r="H79" s="33" t="str">
        <f aca="false">IF(OR(E79="",F79=""),"",ROUND(((F79-E79)*1440-G79)/60,2))</f>
        <v/>
      </c>
      <c r="I79" s="33" t="str">
        <f aca="false">IF(H79="","",IF(D79="平日",MAX(0,H79-8),IF(OR(D79="休息日",D79="例假日",D79="國定假日",D79="特休日"),H79,0)))</f>
        <v/>
      </c>
      <c r="J79" s="31"/>
      <c r="K79" s="34" t="str">
        <f aca="false">IF(H79="","",IF(H79&gt;12,"逾12小時",IF(D79="例假日","例假日出勤僅限天災、事變、突發事件",IF(AND(I79&gt;0,J79&lt;&gt;"是"),"未取得加班同意",""))))</f>
        <v/>
      </c>
      <c r="L79" s="31"/>
      <c r="M79" s="30"/>
    </row>
    <row r="80" customFormat="false" ht="15" hidden="false" customHeight="false" outlineLevel="0" collapsed="false">
      <c r="A80" s="29"/>
      <c r="B80" s="31"/>
      <c r="C80" s="31"/>
      <c r="D80" s="31"/>
      <c r="E80" s="32"/>
      <c r="F80" s="32"/>
      <c r="G80" s="31"/>
      <c r="H80" s="33" t="str">
        <f aca="false">IF(OR(E80="",F80=""),"",ROUND(((F80-E80)*1440-G80)/60,2))</f>
        <v/>
      </c>
      <c r="I80" s="33" t="str">
        <f aca="false">IF(H80="","",IF(D80="平日",MAX(0,H80-8),IF(OR(D80="休息日",D80="例假日",D80="國定假日",D80="特休日"),H80,0)))</f>
        <v/>
      </c>
      <c r="J80" s="31"/>
      <c r="K80" s="34" t="str">
        <f aca="false">IF(H80="","",IF(H80&gt;12,"逾12小時",IF(D80="例假日","例假日出勤僅限天災、事變、突發事件",IF(AND(I80&gt;0,J80&lt;&gt;"是"),"未取得加班同意",""))))</f>
        <v/>
      </c>
      <c r="L80" s="31"/>
      <c r="M80" s="30"/>
    </row>
    <row r="81" customFormat="false" ht="15" hidden="false" customHeight="false" outlineLevel="0" collapsed="false">
      <c r="A81" s="29"/>
      <c r="B81" s="31"/>
      <c r="C81" s="31"/>
      <c r="D81" s="31"/>
      <c r="E81" s="32"/>
      <c r="F81" s="32"/>
      <c r="G81" s="31"/>
      <c r="H81" s="33" t="str">
        <f aca="false">IF(OR(E81="",F81=""),"",ROUND(((F81-E81)*1440-G81)/60,2))</f>
        <v/>
      </c>
      <c r="I81" s="33" t="str">
        <f aca="false">IF(H81="","",IF(D81="平日",MAX(0,H81-8),IF(OR(D81="休息日",D81="例假日",D81="國定假日",D81="特休日"),H81,0)))</f>
        <v/>
      </c>
      <c r="J81" s="31"/>
      <c r="K81" s="34" t="str">
        <f aca="false">IF(H81="","",IF(H81&gt;12,"逾12小時",IF(D81="例假日","例假日出勤僅限天災、事變、突發事件",IF(AND(I81&gt;0,J81&lt;&gt;"是"),"未取得加班同意",""))))</f>
        <v/>
      </c>
      <c r="L81" s="31"/>
      <c r="M81" s="30"/>
    </row>
    <row r="82" customFormat="false" ht="15" hidden="false" customHeight="false" outlineLevel="0" collapsed="false">
      <c r="A82" s="29"/>
      <c r="B82" s="31"/>
      <c r="C82" s="31"/>
      <c r="D82" s="31"/>
      <c r="E82" s="32"/>
      <c r="F82" s="32"/>
      <c r="G82" s="31"/>
      <c r="H82" s="33" t="str">
        <f aca="false">IF(OR(E82="",F82=""),"",ROUND(((F82-E82)*1440-G82)/60,2))</f>
        <v/>
      </c>
      <c r="I82" s="33" t="str">
        <f aca="false">IF(H82="","",IF(D82="平日",MAX(0,H82-8),IF(OR(D82="休息日",D82="例假日",D82="國定假日",D82="特休日"),H82,0)))</f>
        <v/>
      </c>
      <c r="J82" s="31"/>
      <c r="K82" s="34" t="str">
        <f aca="false">IF(H82="","",IF(H82&gt;12,"逾12小時",IF(D82="例假日","例假日出勤僅限天災、事變、突發事件",IF(AND(I82&gt;0,J82&lt;&gt;"是"),"未取得加班同意",""))))</f>
        <v/>
      </c>
      <c r="L82" s="31"/>
      <c r="M82" s="30"/>
    </row>
    <row r="83" customFormat="false" ht="15" hidden="false" customHeight="false" outlineLevel="0" collapsed="false">
      <c r="A83" s="29"/>
      <c r="B83" s="31"/>
      <c r="C83" s="31"/>
      <c r="D83" s="31"/>
      <c r="E83" s="32"/>
      <c r="F83" s="32"/>
      <c r="G83" s="31"/>
      <c r="H83" s="33" t="str">
        <f aca="false">IF(OR(E83="",F83=""),"",ROUND(((F83-E83)*1440-G83)/60,2))</f>
        <v/>
      </c>
      <c r="I83" s="33" t="str">
        <f aca="false">IF(H83="","",IF(D83="平日",MAX(0,H83-8),IF(OR(D83="休息日",D83="例假日",D83="國定假日",D83="特休日"),H83,0)))</f>
        <v/>
      </c>
      <c r="J83" s="31"/>
      <c r="K83" s="34" t="str">
        <f aca="false">IF(H83="","",IF(H83&gt;12,"逾12小時",IF(D83="例假日","例假日出勤僅限天災、事變、突發事件",IF(AND(I83&gt;0,J83&lt;&gt;"是"),"未取得加班同意",""))))</f>
        <v/>
      </c>
      <c r="L83" s="31"/>
      <c r="M83" s="30"/>
    </row>
    <row r="84" customFormat="false" ht="15" hidden="false" customHeight="false" outlineLevel="0" collapsed="false">
      <c r="A84" s="29"/>
      <c r="B84" s="31"/>
      <c r="C84" s="31"/>
      <c r="D84" s="31"/>
      <c r="E84" s="32"/>
      <c r="F84" s="32"/>
      <c r="G84" s="31"/>
      <c r="H84" s="33" t="str">
        <f aca="false">IF(OR(E84="",F84=""),"",ROUND(((F84-E84)*1440-G84)/60,2))</f>
        <v/>
      </c>
      <c r="I84" s="33" t="str">
        <f aca="false">IF(H84="","",IF(D84="平日",MAX(0,H84-8),IF(OR(D84="休息日",D84="例假日",D84="國定假日",D84="特休日"),H84,0)))</f>
        <v/>
      </c>
      <c r="J84" s="31"/>
      <c r="K84" s="34" t="str">
        <f aca="false">IF(H84="","",IF(H84&gt;12,"逾12小時",IF(D84="例假日","例假日出勤僅限天災、事變、突發事件",IF(AND(I84&gt;0,J84&lt;&gt;"是"),"未取得加班同意",""))))</f>
        <v/>
      </c>
      <c r="L84" s="31"/>
      <c r="M84" s="30"/>
    </row>
    <row r="85" customFormat="false" ht="15" hidden="false" customHeight="false" outlineLevel="0" collapsed="false">
      <c r="A85" s="29"/>
      <c r="B85" s="31"/>
      <c r="C85" s="31"/>
      <c r="D85" s="31"/>
      <c r="E85" s="32"/>
      <c r="F85" s="32"/>
      <c r="G85" s="31"/>
      <c r="H85" s="33" t="str">
        <f aca="false">IF(OR(E85="",F85=""),"",ROUND(((F85-E85)*1440-G85)/60,2))</f>
        <v/>
      </c>
      <c r="I85" s="33" t="str">
        <f aca="false">IF(H85="","",IF(D85="平日",MAX(0,H85-8),IF(OR(D85="休息日",D85="例假日",D85="國定假日",D85="特休日"),H85,0)))</f>
        <v/>
      </c>
      <c r="J85" s="31"/>
      <c r="K85" s="34" t="str">
        <f aca="false">IF(H85="","",IF(H85&gt;12,"逾12小時",IF(D85="例假日","例假日出勤僅限天災、事變、突發事件",IF(AND(I85&gt;0,J85&lt;&gt;"是"),"未取得加班同意",""))))</f>
        <v/>
      </c>
      <c r="L85" s="31"/>
      <c r="M85" s="30"/>
    </row>
    <row r="86" customFormat="false" ht="15" hidden="false" customHeight="false" outlineLevel="0" collapsed="false">
      <c r="A86" s="29"/>
      <c r="B86" s="31"/>
      <c r="C86" s="31"/>
      <c r="D86" s="31"/>
      <c r="E86" s="32"/>
      <c r="F86" s="32"/>
      <c r="G86" s="31"/>
      <c r="H86" s="33" t="str">
        <f aca="false">IF(OR(E86="",F86=""),"",ROUND(((F86-E86)*1440-G86)/60,2))</f>
        <v/>
      </c>
      <c r="I86" s="33" t="str">
        <f aca="false">IF(H86="","",IF(D86="平日",MAX(0,H86-8),IF(OR(D86="休息日",D86="例假日",D86="國定假日",D86="特休日"),H86,0)))</f>
        <v/>
      </c>
      <c r="J86" s="31"/>
      <c r="K86" s="34" t="str">
        <f aca="false">IF(H86="","",IF(H86&gt;12,"逾12小時",IF(D86="例假日","例假日出勤僅限天災、事變、突發事件",IF(AND(I86&gt;0,J86&lt;&gt;"是"),"未取得加班同意",""))))</f>
        <v/>
      </c>
      <c r="L86" s="31"/>
      <c r="M86" s="30"/>
    </row>
    <row r="87" customFormat="false" ht="15" hidden="false" customHeight="false" outlineLevel="0" collapsed="false">
      <c r="A87" s="29"/>
      <c r="B87" s="31"/>
      <c r="C87" s="31"/>
      <c r="D87" s="31"/>
      <c r="E87" s="32"/>
      <c r="F87" s="32"/>
      <c r="G87" s="31"/>
      <c r="H87" s="33" t="str">
        <f aca="false">IF(OR(E87="",F87=""),"",ROUND(((F87-E87)*1440-G87)/60,2))</f>
        <v/>
      </c>
      <c r="I87" s="33" t="str">
        <f aca="false">IF(H87="","",IF(D87="平日",MAX(0,H87-8),IF(OR(D87="休息日",D87="例假日",D87="國定假日",D87="特休日"),H87,0)))</f>
        <v/>
      </c>
      <c r="J87" s="31"/>
      <c r="K87" s="34" t="str">
        <f aca="false">IF(H87="","",IF(H87&gt;12,"逾12小時",IF(D87="例假日","例假日出勤僅限天災、事變、突發事件",IF(AND(I87&gt;0,J87&lt;&gt;"是"),"未取得加班同意",""))))</f>
        <v/>
      </c>
      <c r="L87" s="31"/>
      <c r="M87" s="30"/>
    </row>
    <row r="88" customFormat="false" ht="15" hidden="false" customHeight="false" outlineLevel="0" collapsed="false">
      <c r="A88" s="29"/>
      <c r="B88" s="31"/>
      <c r="C88" s="31"/>
      <c r="D88" s="31"/>
      <c r="E88" s="32"/>
      <c r="F88" s="32"/>
      <c r="G88" s="31"/>
      <c r="H88" s="33" t="str">
        <f aca="false">IF(OR(E88="",F88=""),"",ROUND(((F88-E88)*1440-G88)/60,2))</f>
        <v/>
      </c>
      <c r="I88" s="33" t="str">
        <f aca="false">IF(H88="","",IF(D88="平日",MAX(0,H88-8),IF(OR(D88="休息日",D88="例假日",D88="國定假日",D88="特休日"),H88,0)))</f>
        <v/>
      </c>
      <c r="J88" s="31"/>
      <c r="K88" s="34" t="str">
        <f aca="false">IF(H88="","",IF(H88&gt;12,"逾12小時",IF(D88="例假日","例假日出勤僅限天災、事變、突發事件",IF(AND(I88&gt;0,J88&lt;&gt;"是"),"未取得加班同意",""))))</f>
        <v/>
      </c>
      <c r="L88" s="31"/>
      <c r="M88" s="30"/>
    </row>
    <row r="89" customFormat="false" ht="15" hidden="false" customHeight="false" outlineLevel="0" collapsed="false">
      <c r="A89" s="29"/>
      <c r="B89" s="31"/>
      <c r="C89" s="31"/>
      <c r="D89" s="31"/>
      <c r="E89" s="32"/>
      <c r="F89" s="32"/>
      <c r="G89" s="31"/>
      <c r="H89" s="33" t="str">
        <f aca="false">IF(OR(E89="",F89=""),"",ROUND(((F89-E89)*1440-G89)/60,2))</f>
        <v/>
      </c>
      <c r="I89" s="33" t="str">
        <f aca="false">IF(H89="","",IF(D89="平日",MAX(0,H89-8),IF(OR(D89="休息日",D89="例假日",D89="國定假日",D89="特休日"),H89,0)))</f>
        <v/>
      </c>
      <c r="J89" s="31"/>
      <c r="K89" s="34" t="str">
        <f aca="false">IF(H89="","",IF(H89&gt;12,"逾12小時",IF(D89="例假日","例假日出勤僅限天災、事變、突發事件",IF(AND(I89&gt;0,J89&lt;&gt;"是"),"未取得加班同意",""))))</f>
        <v/>
      </c>
      <c r="L89" s="31"/>
      <c r="M89" s="30"/>
    </row>
    <row r="90" customFormat="false" ht="15" hidden="false" customHeight="false" outlineLevel="0" collapsed="false">
      <c r="A90" s="29"/>
      <c r="B90" s="31"/>
      <c r="C90" s="31"/>
      <c r="D90" s="31"/>
      <c r="E90" s="32"/>
      <c r="F90" s="32"/>
      <c r="G90" s="31"/>
      <c r="H90" s="33" t="str">
        <f aca="false">IF(OR(E90="",F90=""),"",ROUND(((F90-E90)*1440-G90)/60,2))</f>
        <v/>
      </c>
      <c r="I90" s="33" t="str">
        <f aca="false">IF(H90="","",IF(D90="平日",MAX(0,H90-8),IF(OR(D90="休息日",D90="例假日",D90="國定假日",D90="特休日"),H90,0)))</f>
        <v/>
      </c>
      <c r="J90" s="31"/>
      <c r="K90" s="34" t="str">
        <f aca="false">IF(H90="","",IF(H90&gt;12,"逾12小時",IF(D90="例假日","例假日出勤僅限天災、事變、突發事件",IF(AND(I90&gt;0,J90&lt;&gt;"是"),"未取得加班同意",""))))</f>
        <v/>
      </c>
      <c r="L90" s="31"/>
      <c r="M90" s="30"/>
    </row>
    <row r="91" customFormat="false" ht="15" hidden="false" customHeight="false" outlineLevel="0" collapsed="false">
      <c r="A91" s="29"/>
      <c r="B91" s="31"/>
      <c r="C91" s="31"/>
      <c r="D91" s="31"/>
      <c r="E91" s="32"/>
      <c r="F91" s="32"/>
      <c r="G91" s="31"/>
      <c r="H91" s="33" t="str">
        <f aca="false">IF(OR(E91="",F91=""),"",ROUND(((F91-E91)*1440-G91)/60,2))</f>
        <v/>
      </c>
      <c r="I91" s="33" t="str">
        <f aca="false">IF(H91="","",IF(D91="平日",MAX(0,H91-8),IF(OR(D91="休息日",D91="例假日",D91="國定假日",D91="特休日"),H91,0)))</f>
        <v/>
      </c>
      <c r="J91" s="31"/>
      <c r="K91" s="34" t="str">
        <f aca="false">IF(H91="","",IF(H91&gt;12,"逾12小時",IF(D91="例假日","例假日出勤僅限天災、事變、突發事件",IF(AND(I91&gt;0,J91&lt;&gt;"是"),"未取得加班同意",""))))</f>
        <v/>
      </c>
      <c r="L91" s="31"/>
      <c r="M91" s="30"/>
    </row>
    <row r="92" customFormat="false" ht="15" hidden="false" customHeight="false" outlineLevel="0" collapsed="false">
      <c r="A92" s="29"/>
      <c r="B92" s="31"/>
      <c r="C92" s="31"/>
      <c r="D92" s="31"/>
      <c r="E92" s="32"/>
      <c r="F92" s="32"/>
      <c r="G92" s="31"/>
      <c r="H92" s="33" t="str">
        <f aca="false">IF(OR(E92="",F92=""),"",ROUND(((F92-E92)*1440-G92)/60,2))</f>
        <v/>
      </c>
      <c r="I92" s="33" t="str">
        <f aca="false">IF(H92="","",IF(D92="平日",MAX(0,H92-8),IF(OR(D92="休息日",D92="例假日",D92="國定假日",D92="特休日"),H92,0)))</f>
        <v/>
      </c>
      <c r="J92" s="31"/>
      <c r="K92" s="34" t="str">
        <f aca="false">IF(H92="","",IF(H92&gt;12,"逾12小時",IF(D92="例假日","例假日出勤僅限天災、事變、突發事件",IF(AND(I92&gt;0,J92&lt;&gt;"是"),"未取得加班同意",""))))</f>
        <v/>
      </c>
      <c r="L92" s="31"/>
      <c r="M92" s="30"/>
    </row>
    <row r="93" customFormat="false" ht="15" hidden="false" customHeight="false" outlineLevel="0" collapsed="false">
      <c r="A93" s="29"/>
      <c r="B93" s="31"/>
      <c r="C93" s="31"/>
      <c r="D93" s="31"/>
      <c r="E93" s="32"/>
      <c r="F93" s="32"/>
      <c r="G93" s="31"/>
      <c r="H93" s="33" t="str">
        <f aca="false">IF(OR(E93="",F93=""),"",ROUND(((F93-E93)*1440-G93)/60,2))</f>
        <v/>
      </c>
      <c r="I93" s="33" t="str">
        <f aca="false">IF(H93="","",IF(D93="平日",MAX(0,H93-8),IF(OR(D93="休息日",D93="例假日",D93="國定假日",D93="特休日"),H93,0)))</f>
        <v/>
      </c>
      <c r="J93" s="31"/>
      <c r="K93" s="34" t="str">
        <f aca="false">IF(H93="","",IF(H93&gt;12,"逾12小時",IF(D93="例假日","例假日出勤僅限天災、事變、突發事件",IF(AND(I93&gt;0,J93&lt;&gt;"是"),"未取得加班同意",""))))</f>
        <v/>
      </c>
      <c r="L93" s="31"/>
      <c r="M93" s="30"/>
    </row>
    <row r="94" customFormat="false" ht="15" hidden="false" customHeight="false" outlineLevel="0" collapsed="false">
      <c r="A94" s="29"/>
      <c r="B94" s="31"/>
      <c r="C94" s="31"/>
      <c r="D94" s="31"/>
      <c r="E94" s="32"/>
      <c r="F94" s="32"/>
      <c r="G94" s="31"/>
      <c r="H94" s="33" t="str">
        <f aca="false">IF(OR(E94="",F94=""),"",ROUND(((F94-E94)*1440-G94)/60,2))</f>
        <v/>
      </c>
      <c r="I94" s="33" t="str">
        <f aca="false">IF(H94="","",IF(D94="平日",MAX(0,H94-8),IF(OR(D94="休息日",D94="例假日",D94="國定假日",D94="特休日"),H94,0)))</f>
        <v/>
      </c>
      <c r="J94" s="31"/>
      <c r="K94" s="34" t="str">
        <f aca="false">IF(H94="","",IF(H94&gt;12,"逾12小時",IF(D94="例假日","例假日出勤僅限天災、事變、突發事件",IF(AND(I94&gt;0,J94&lt;&gt;"是"),"未取得加班同意",""))))</f>
        <v/>
      </c>
      <c r="L94" s="31"/>
      <c r="M94" s="30"/>
    </row>
    <row r="95" customFormat="false" ht="15" hidden="false" customHeight="false" outlineLevel="0" collapsed="false">
      <c r="A95" s="29"/>
      <c r="B95" s="31"/>
      <c r="C95" s="31"/>
      <c r="D95" s="31"/>
      <c r="E95" s="32"/>
      <c r="F95" s="32"/>
      <c r="G95" s="31"/>
      <c r="H95" s="33" t="str">
        <f aca="false">IF(OR(E95="",F95=""),"",ROUND(((F95-E95)*1440-G95)/60,2))</f>
        <v/>
      </c>
      <c r="I95" s="33" t="str">
        <f aca="false">IF(H95="","",IF(D95="平日",MAX(0,H95-8),IF(OR(D95="休息日",D95="例假日",D95="國定假日",D95="特休日"),H95,0)))</f>
        <v/>
      </c>
      <c r="J95" s="31"/>
      <c r="K95" s="34" t="str">
        <f aca="false">IF(H95="","",IF(H95&gt;12,"逾12小時",IF(D95="例假日","例假日出勤僅限天災、事變、突發事件",IF(AND(I95&gt;0,J95&lt;&gt;"是"),"未取得加班同意",""))))</f>
        <v/>
      </c>
      <c r="L95" s="31"/>
      <c r="M95" s="30"/>
    </row>
    <row r="96" customFormat="false" ht="15" hidden="false" customHeight="false" outlineLevel="0" collapsed="false">
      <c r="A96" s="29"/>
      <c r="B96" s="31"/>
      <c r="C96" s="31"/>
      <c r="D96" s="31"/>
      <c r="E96" s="32"/>
      <c r="F96" s="32"/>
      <c r="G96" s="31"/>
      <c r="H96" s="33" t="str">
        <f aca="false">IF(OR(E96="",F96=""),"",ROUND(((F96-E96)*1440-G96)/60,2))</f>
        <v/>
      </c>
      <c r="I96" s="33" t="str">
        <f aca="false">IF(H96="","",IF(D96="平日",MAX(0,H96-8),IF(OR(D96="休息日",D96="例假日",D96="國定假日",D96="特休日"),H96,0)))</f>
        <v/>
      </c>
      <c r="J96" s="31"/>
      <c r="K96" s="34" t="str">
        <f aca="false">IF(H96="","",IF(H96&gt;12,"逾12小時",IF(D96="例假日","例假日出勤僅限天災、事變、突發事件",IF(AND(I96&gt;0,J96&lt;&gt;"是"),"未取得加班同意",""))))</f>
        <v/>
      </c>
      <c r="L96" s="31"/>
      <c r="M96" s="30"/>
    </row>
    <row r="97" customFormat="false" ht="15" hidden="false" customHeight="false" outlineLevel="0" collapsed="false">
      <c r="A97" s="29"/>
      <c r="B97" s="31"/>
      <c r="C97" s="31"/>
      <c r="D97" s="31"/>
      <c r="E97" s="32"/>
      <c r="F97" s="32"/>
      <c r="G97" s="31"/>
      <c r="H97" s="33" t="str">
        <f aca="false">IF(OR(E97="",F97=""),"",ROUND(((F97-E97)*1440-G97)/60,2))</f>
        <v/>
      </c>
      <c r="I97" s="33" t="str">
        <f aca="false">IF(H97="","",IF(D97="平日",MAX(0,H97-8),IF(OR(D97="休息日",D97="例假日",D97="國定假日",D97="特休日"),H97,0)))</f>
        <v/>
      </c>
      <c r="J97" s="31"/>
      <c r="K97" s="34" t="str">
        <f aca="false">IF(H97="","",IF(H97&gt;12,"逾12小時",IF(D97="例假日","例假日出勤僅限天災、事變、突發事件",IF(AND(I97&gt;0,J97&lt;&gt;"是"),"未取得加班同意",""))))</f>
        <v/>
      </c>
      <c r="L97" s="31"/>
      <c r="M97" s="30"/>
    </row>
    <row r="98" customFormat="false" ht="15" hidden="false" customHeight="false" outlineLevel="0" collapsed="false">
      <c r="A98" s="29"/>
      <c r="B98" s="31"/>
      <c r="C98" s="31"/>
      <c r="D98" s="31"/>
      <c r="E98" s="32"/>
      <c r="F98" s="32"/>
      <c r="G98" s="31"/>
      <c r="H98" s="33" t="str">
        <f aca="false">IF(OR(E98="",F98=""),"",ROUND(((F98-E98)*1440-G98)/60,2))</f>
        <v/>
      </c>
      <c r="I98" s="33" t="str">
        <f aca="false">IF(H98="","",IF(D98="平日",MAX(0,H98-8),IF(OR(D98="休息日",D98="例假日",D98="國定假日",D98="特休日"),H98,0)))</f>
        <v/>
      </c>
      <c r="J98" s="31"/>
      <c r="K98" s="34" t="str">
        <f aca="false">IF(H98="","",IF(H98&gt;12,"逾12小時",IF(D98="例假日","例假日出勤僅限天災、事變、突發事件",IF(AND(I98&gt;0,J98&lt;&gt;"是"),"未取得加班同意",""))))</f>
        <v/>
      </c>
      <c r="L98" s="31"/>
      <c r="M98" s="30"/>
    </row>
    <row r="99" customFormat="false" ht="15" hidden="false" customHeight="false" outlineLevel="0" collapsed="false">
      <c r="A99" s="29"/>
      <c r="B99" s="31"/>
      <c r="C99" s="31"/>
      <c r="D99" s="31"/>
      <c r="E99" s="32"/>
      <c r="F99" s="32"/>
      <c r="G99" s="31"/>
      <c r="H99" s="33" t="str">
        <f aca="false">IF(OR(E99="",F99=""),"",ROUND(((F99-E99)*1440-G99)/60,2))</f>
        <v/>
      </c>
      <c r="I99" s="33" t="str">
        <f aca="false">IF(H99="","",IF(D99="平日",MAX(0,H99-8),IF(OR(D99="休息日",D99="例假日",D99="國定假日",D99="特休日"),H99,0)))</f>
        <v/>
      </c>
      <c r="J99" s="31"/>
      <c r="K99" s="34" t="str">
        <f aca="false">IF(H99="","",IF(H99&gt;12,"逾12小時",IF(D99="例假日","例假日出勤僅限天災、事變、突發事件",IF(AND(I99&gt;0,J99&lt;&gt;"是"),"未取得加班同意",""))))</f>
        <v/>
      </c>
      <c r="L99" s="31"/>
      <c r="M99" s="30"/>
    </row>
    <row r="100" customFormat="false" ht="15" hidden="false" customHeight="false" outlineLevel="0" collapsed="false">
      <c r="A100" s="29"/>
      <c r="B100" s="31"/>
      <c r="C100" s="31"/>
      <c r="D100" s="31"/>
      <c r="E100" s="32"/>
      <c r="F100" s="32"/>
      <c r="G100" s="31"/>
      <c r="H100" s="33" t="str">
        <f aca="false">IF(OR(E100="",F100=""),"",ROUND(((F100-E100)*1440-G100)/60,2))</f>
        <v/>
      </c>
      <c r="I100" s="33" t="str">
        <f aca="false">IF(H100="","",IF(D100="平日",MAX(0,H100-8),IF(OR(D100="休息日",D100="例假日",D100="國定假日",D100="特休日"),H100,0)))</f>
        <v/>
      </c>
      <c r="J100" s="31"/>
      <c r="K100" s="34" t="str">
        <f aca="false">IF(H100="","",IF(H100&gt;12,"逾12小時",IF(D100="例假日","例假日出勤僅限天災、事變、突發事件",IF(AND(I100&gt;0,J100&lt;&gt;"是"),"未取得加班同意",""))))</f>
        <v/>
      </c>
      <c r="L100" s="31"/>
      <c r="M100" s="30"/>
    </row>
    <row r="101" customFormat="false" ht="15" hidden="false" customHeight="false" outlineLevel="0" collapsed="false">
      <c r="A101" s="29"/>
      <c r="B101" s="31"/>
      <c r="C101" s="31"/>
      <c r="D101" s="31"/>
      <c r="E101" s="32"/>
      <c r="F101" s="32"/>
      <c r="G101" s="31"/>
      <c r="H101" s="33" t="str">
        <f aca="false">IF(OR(E101="",F101=""),"",ROUND(((F101-E101)*1440-G101)/60,2))</f>
        <v/>
      </c>
      <c r="I101" s="33" t="str">
        <f aca="false">IF(H101="","",IF(D101="平日",MAX(0,H101-8),IF(OR(D101="休息日",D101="例假日",D101="國定假日",D101="特休日"),H101,0)))</f>
        <v/>
      </c>
      <c r="J101" s="31"/>
      <c r="K101" s="34" t="str">
        <f aca="false">IF(H101="","",IF(H101&gt;12,"逾12小時",IF(D101="例假日","例假日出勤僅限天災、事變、突發事件",IF(AND(I101&gt;0,J101&lt;&gt;"是"),"未取得加班同意",""))))</f>
        <v/>
      </c>
      <c r="L101" s="31"/>
      <c r="M101" s="30"/>
    </row>
    <row r="102" customFormat="false" ht="15" hidden="false" customHeight="false" outlineLevel="0" collapsed="false">
      <c r="A102" s="29"/>
      <c r="B102" s="31"/>
      <c r="C102" s="31"/>
      <c r="D102" s="31"/>
      <c r="E102" s="32"/>
      <c r="F102" s="32"/>
      <c r="G102" s="31"/>
      <c r="H102" s="33" t="str">
        <f aca="false">IF(OR(E102="",F102=""),"",ROUND(((F102-E102)*1440-G102)/60,2))</f>
        <v/>
      </c>
      <c r="I102" s="33" t="str">
        <f aca="false">IF(H102="","",IF(D102="平日",MAX(0,H102-8),IF(OR(D102="休息日",D102="例假日",D102="國定假日",D102="特休日"),H102,0)))</f>
        <v/>
      </c>
      <c r="J102" s="31"/>
      <c r="K102" s="34" t="str">
        <f aca="false">IF(H102="","",IF(H102&gt;12,"逾12小時",IF(D102="例假日","例假日出勤僅限天災、事變、突發事件",IF(AND(I102&gt;0,J102&lt;&gt;"是"),"未取得加班同意",""))))</f>
        <v/>
      </c>
      <c r="L102" s="31"/>
      <c r="M102" s="30"/>
    </row>
    <row r="103" customFormat="false" ht="15" hidden="false" customHeight="false" outlineLevel="0" collapsed="false">
      <c r="A103" s="29"/>
      <c r="B103" s="31"/>
      <c r="C103" s="31"/>
      <c r="D103" s="31"/>
      <c r="E103" s="32"/>
      <c r="F103" s="32"/>
      <c r="G103" s="31"/>
      <c r="H103" s="33" t="str">
        <f aca="false">IF(OR(E103="",F103=""),"",ROUND(((F103-E103)*1440-G103)/60,2))</f>
        <v/>
      </c>
      <c r="I103" s="33" t="str">
        <f aca="false">IF(H103="","",IF(D103="平日",MAX(0,H103-8),IF(OR(D103="休息日",D103="例假日",D103="國定假日",D103="特休日"),H103,0)))</f>
        <v/>
      </c>
      <c r="J103" s="31"/>
      <c r="K103" s="34" t="str">
        <f aca="false">IF(H103="","",IF(H103&gt;12,"逾12小時",IF(D103="例假日","例假日出勤僅限天災、事變、突發事件",IF(AND(I103&gt;0,J103&lt;&gt;"是"),"未取得加班同意",""))))</f>
        <v/>
      </c>
      <c r="L103" s="31"/>
      <c r="M103" s="30"/>
    </row>
    <row r="104" customFormat="false" ht="15" hidden="false" customHeight="false" outlineLevel="0" collapsed="false">
      <c r="A104" s="29"/>
      <c r="B104" s="31"/>
      <c r="C104" s="31"/>
      <c r="D104" s="31"/>
      <c r="E104" s="32"/>
      <c r="F104" s="32"/>
      <c r="G104" s="31"/>
      <c r="H104" s="33" t="str">
        <f aca="false">IF(OR(E104="",F104=""),"",ROUND(((F104-E104)*1440-G104)/60,2))</f>
        <v/>
      </c>
      <c r="I104" s="33" t="str">
        <f aca="false">IF(H104="","",IF(D104="平日",MAX(0,H104-8),IF(OR(D104="休息日",D104="例假日",D104="國定假日",D104="特休日"),H104,0)))</f>
        <v/>
      </c>
      <c r="J104" s="31"/>
      <c r="K104" s="34" t="str">
        <f aca="false">IF(H104="","",IF(H104&gt;12,"逾12小時",IF(D104="例假日","例假日出勤僅限天災、事變、突發事件",IF(AND(I104&gt;0,J104&lt;&gt;"是"),"未取得加班同意",""))))</f>
        <v/>
      </c>
      <c r="L104" s="31"/>
      <c r="M104" s="30"/>
    </row>
    <row r="105" customFormat="false" ht="15" hidden="false" customHeight="false" outlineLevel="0" collapsed="false">
      <c r="A105" s="29"/>
      <c r="B105" s="31"/>
      <c r="C105" s="31"/>
      <c r="D105" s="31"/>
      <c r="E105" s="32"/>
      <c r="F105" s="32"/>
      <c r="G105" s="31"/>
      <c r="H105" s="33" t="str">
        <f aca="false">IF(OR(E105="",F105=""),"",ROUND(((F105-E105)*1440-G105)/60,2))</f>
        <v/>
      </c>
      <c r="I105" s="33" t="str">
        <f aca="false">IF(H105="","",IF(D105="平日",MAX(0,H105-8),IF(OR(D105="休息日",D105="例假日",D105="國定假日",D105="特休日"),H105,0)))</f>
        <v/>
      </c>
      <c r="J105" s="31"/>
      <c r="K105" s="34" t="str">
        <f aca="false">IF(H105="","",IF(H105&gt;12,"逾12小時",IF(D105="例假日","例假日出勤僅限天災、事變、突發事件",IF(AND(I105&gt;0,J105&lt;&gt;"是"),"未取得加班同意",""))))</f>
        <v/>
      </c>
      <c r="L105" s="31"/>
      <c r="M105" s="30"/>
    </row>
    <row r="106" customFormat="false" ht="15" hidden="false" customHeight="false" outlineLevel="0" collapsed="false">
      <c r="A106" s="29"/>
      <c r="B106" s="31"/>
      <c r="C106" s="31"/>
      <c r="D106" s="31"/>
      <c r="E106" s="32"/>
      <c r="F106" s="32"/>
      <c r="G106" s="31"/>
      <c r="H106" s="33" t="str">
        <f aca="false">IF(OR(E106="",F106=""),"",ROUND(((F106-E106)*1440-G106)/60,2))</f>
        <v/>
      </c>
      <c r="I106" s="33" t="str">
        <f aca="false">IF(H106="","",IF(D106="平日",MAX(0,H106-8),IF(OR(D106="休息日",D106="例假日",D106="國定假日",D106="特休日"),H106,0)))</f>
        <v/>
      </c>
      <c r="J106" s="31"/>
      <c r="K106" s="34" t="str">
        <f aca="false">IF(H106="","",IF(H106&gt;12,"逾12小時",IF(D106="例假日","例假日出勤僅限天災、事變、突發事件",IF(AND(I106&gt;0,J106&lt;&gt;"是"),"未取得加班同意",""))))</f>
        <v/>
      </c>
      <c r="L106" s="31"/>
      <c r="M106" s="30"/>
    </row>
    <row r="107" customFormat="false" ht="15" hidden="false" customHeight="false" outlineLevel="0" collapsed="false">
      <c r="A107" s="29"/>
      <c r="B107" s="31"/>
      <c r="C107" s="31"/>
      <c r="D107" s="31"/>
      <c r="E107" s="32"/>
      <c r="F107" s="32"/>
      <c r="G107" s="31"/>
      <c r="H107" s="33" t="str">
        <f aca="false">IF(OR(E107="",F107=""),"",ROUND(((F107-E107)*1440-G107)/60,2))</f>
        <v/>
      </c>
      <c r="I107" s="33" t="str">
        <f aca="false">IF(H107="","",IF(D107="平日",MAX(0,H107-8),IF(OR(D107="休息日",D107="例假日",D107="國定假日",D107="特休日"),H107,0)))</f>
        <v/>
      </c>
      <c r="J107" s="31"/>
      <c r="K107" s="34" t="str">
        <f aca="false">IF(H107="","",IF(H107&gt;12,"逾12小時",IF(D107="例假日","例假日出勤僅限天災、事變、突發事件",IF(AND(I107&gt;0,J107&lt;&gt;"是"),"未取得加班同意",""))))</f>
        <v/>
      </c>
      <c r="L107" s="31"/>
      <c r="M107" s="30"/>
    </row>
    <row r="108" customFormat="false" ht="15" hidden="false" customHeight="false" outlineLevel="0" collapsed="false">
      <c r="A108" s="29"/>
      <c r="B108" s="31"/>
      <c r="C108" s="31"/>
      <c r="D108" s="31"/>
      <c r="E108" s="32"/>
      <c r="F108" s="32"/>
      <c r="G108" s="31"/>
      <c r="H108" s="33" t="str">
        <f aca="false">IF(OR(E108="",F108=""),"",ROUND(((F108-E108)*1440-G108)/60,2))</f>
        <v/>
      </c>
      <c r="I108" s="33" t="str">
        <f aca="false">IF(H108="","",IF(D108="平日",MAX(0,H108-8),IF(OR(D108="休息日",D108="例假日",D108="國定假日",D108="特休日"),H108,0)))</f>
        <v/>
      </c>
      <c r="J108" s="31"/>
      <c r="K108" s="34" t="str">
        <f aca="false">IF(H108="","",IF(H108&gt;12,"逾12小時",IF(D108="例假日","例假日出勤僅限天災、事變、突發事件",IF(AND(I108&gt;0,J108&lt;&gt;"是"),"未取得加班同意",""))))</f>
        <v/>
      </c>
      <c r="L108" s="31"/>
      <c r="M108" s="30"/>
    </row>
    <row r="109" customFormat="false" ht="15" hidden="false" customHeight="false" outlineLevel="0" collapsed="false">
      <c r="A109" s="29"/>
      <c r="B109" s="31"/>
      <c r="C109" s="31"/>
      <c r="D109" s="31"/>
      <c r="E109" s="32"/>
      <c r="F109" s="32"/>
      <c r="G109" s="31"/>
      <c r="H109" s="33" t="str">
        <f aca="false">IF(OR(E109="",F109=""),"",ROUND(((F109-E109)*1440-G109)/60,2))</f>
        <v/>
      </c>
      <c r="I109" s="33" t="str">
        <f aca="false">IF(H109="","",IF(D109="平日",MAX(0,H109-8),IF(OR(D109="休息日",D109="例假日",D109="國定假日",D109="特休日"),H109,0)))</f>
        <v/>
      </c>
      <c r="J109" s="31"/>
      <c r="K109" s="34" t="str">
        <f aca="false">IF(H109="","",IF(H109&gt;12,"逾12小時",IF(D109="例假日","例假日出勤僅限天災、事變、突發事件",IF(AND(I109&gt;0,J109&lt;&gt;"是"),"未取得加班同意",""))))</f>
        <v/>
      </c>
      <c r="L109" s="31"/>
      <c r="M109" s="30"/>
    </row>
    <row r="110" customFormat="false" ht="15" hidden="false" customHeight="false" outlineLevel="0" collapsed="false">
      <c r="A110" s="29"/>
      <c r="B110" s="31"/>
      <c r="C110" s="31"/>
      <c r="D110" s="31"/>
      <c r="E110" s="32"/>
      <c r="F110" s="32"/>
      <c r="G110" s="31"/>
      <c r="H110" s="33" t="str">
        <f aca="false">IF(OR(E110="",F110=""),"",ROUND(((F110-E110)*1440-G110)/60,2))</f>
        <v/>
      </c>
      <c r="I110" s="33" t="str">
        <f aca="false">IF(H110="","",IF(D110="平日",MAX(0,H110-8),IF(OR(D110="休息日",D110="例假日",D110="國定假日",D110="特休日"),H110,0)))</f>
        <v/>
      </c>
      <c r="J110" s="31"/>
      <c r="K110" s="34" t="str">
        <f aca="false">IF(H110="","",IF(H110&gt;12,"逾12小時",IF(D110="例假日","例假日出勤僅限天災、事變、突發事件",IF(AND(I110&gt;0,J110&lt;&gt;"是"),"未取得加班同意",""))))</f>
        <v/>
      </c>
      <c r="L110" s="31"/>
      <c r="M110" s="30"/>
    </row>
    <row r="111" customFormat="false" ht="15" hidden="false" customHeight="false" outlineLevel="0" collapsed="false">
      <c r="A111" s="29"/>
      <c r="B111" s="31"/>
      <c r="C111" s="31"/>
      <c r="D111" s="31"/>
      <c r="E111" s="32"/>
      <c r="F111" s="32"/>
      <c r="G111" s="31"/>
      <c r="H111" s="33" t="str">
        <f aca="false">IF(OR(E111="",F111=""),"",ROUND(((F111-E111)*1440-G111)/60,2))</f>
        <v/>
      </c>
      <c r="I111" s="33" t="str">
        <f aca="false">IF(H111="","",IF(D111="平日",MAX(0,H111-8),IF(OR(D111="休息日",D111="例假日",D111="國定假日",D111="特休日"),H111,0)))</f>
        <v/>
      </c>
      <c r="J111" s="31"/>
      <c r="K111" s="34" t="str">
        <f aca="false">IF(H111="","",IF(H111&gt;12,"逾12小時",IF(D111="例假日","例假日出勤僅限天災、事變、突發事件",IF(AND(I111&gt;0,J111&lt;&gt;"是"),"未取得加班同意",""))))</f>
        <v/>
      </c>
      <c r="L111" s="31"/>
      <c r="M111" s="30"/>
    </row>
    <row r="112" customFormat="false" ht="15" hidden="false" customHeight="false" outlineLevel="0" collapsed="false">
      <c r="A112" s="29"/>
      <c r="B112" s="31"/>
      <c r="C112" s="31"/>
      <c r="D112" s="31"/>
      <c r="E112" s="32"/>
      <c r="F112" s="32"/>
      <c r="G112" s="31"/>
      <c r="H112" s="33" t="str">
        <f aca="false">IF(OR(E112="",F112=""),"",ROUND(((F112-E112)*1440-G112)/60,2))</f>
        <v/>
      </c>
      <c r="I112" s="33" t="str">
        <f aca="false">IF(H112="","",IF(D112="平日",MAX(0,H112-8),IF(OR(D112="休息日",D112="例假日",D112="國定假日",D112="特休日"),H112,0)))</f>
        <v/>
      </c>
      <c r="J112" s="31"/>
      <c r="K112" s="34" t="str">
        <f aca="false">IF(H112="","",IF(H112&gt;12,"逾12小時",IF(D112="例假日","例假日出勤僅限天災、事變、突發事件",IF(AND(I112&gt;0,J112&lt;&gt;"是"),"未取得加班同意",""))))</f>
        <v/>
      </c>
      <c r="L112" s="31"/>
      <c r="M112" s="30"/>
    </row>
    <row r="113" customFormat="false" ht="15" hidden="false" customHeight="false" outlineLevel="0" collapsed="false">
      <c r="A113" s="29"/>
      <c r="B113" s="31"/>
      <c r="C113" s="31"/>
      <c r="D113" s="31"/>
      <c r="E113" s="32"/>
      <c r="F113" s="32"/>
      <c r="G113" s="31"/>
      <c r="H113" s="33" t="str">
        <f aca="false">IF(OR(E113="",F113=""),"",ROUND(((F113-E113)*1440-G113)/60,2))</f>
        <v/>
      </c>
      <c r="I113" s="33" t="str">
        <f aca="false">IF(H113="","",IF(D113="平日",MAX(0,H113-8),IF(OR(D113="休息日",D113="例假日",D113="國定假日",D113="特休日"),H113,0)))</f>
        <v/>
      </c>
      <c r="J113" s="31"/>
      <c r="K113" s="34" t="str">
        <f aca="false">IF(H113="","",IF(H113&gt;12,"逾12小時",IF(D113="例假日","例假日出勤僅限天災、事變、突發事件",IF(AND(I113&gt;0,J113&lt;&gt;"是"),"未取得加班同意",""))))</f>
        <v/>
      </c>
      <c r="L113" s="31"/>
      <c r="M113" s="30"/>
    </row>
    <row r="114" customFormat="false" ht="15" hidden="false" customHeight="false" outlineLevel="0" collapsed="false">
      <c r="A114" s="29"/>
      <c r="B114" s="31"/>
      <c r="C114" s="31"/>
      <c r="D114" s="31"/>
      <c r="E114" s="32"/>
      <c r="F114" s="32"/>
      <c r="G114" s="31"/>
      <c r="H114" s="33" t="str">
        <f aca="false">IF(OR(E114="",F114=""),"",ROUND(((F114-E114)*1440-G114)/60,2))</f>
        <v/>
      </c>
      <c r="I114" s="33" t="str">
        <f aca="false">IF(H114="","",IF(D114="平日",MAX(0,H114-8),IF(OR(D114="休息日",D114="例假日",D114="國定假日",D114="特休日"),H114,0)))</f>
        <v/>
      </c>
      <c r="J114" s="31"/>
      <c r="K114" s="34" t="str">
        <f aca="false">IF(H114="","",IF(H114&gt;12,"逾12小時",IF(D114="例假日","例假日出勤僅限天災、事變、突發事件",IF(AND(I114&gt;0,J114&lt;&gt;"是"),"未取得加班同意",""))))</f>
        <v/>
      </c>
      <c r="L114" s="31"/>
      <c r="M114" s="30"/>
    </row>
    <row r="115" customFormat="false" ht="15" hidden="false" customHeight="false" outlineLevel="0" collapsed="false">
      <c r="A115" s="29"/>
      <c r="B115" s="31"/>
      <c r="C115" s="31"/>
      <c r="D115" s="31"/>
      <c r="E115" s="32"/>
      <c r="F115" s="32"/>
      <c r="G115" s="31"/>
      <c r="H115" s="33" t="str">
        <f aca="false">IF(OR(E115="",F115=""),"",ROUND(((F115-E115)*1440-G115)/60,2))</f>
        <v/>
      </c>
      <c r="I115" s="33" t="str">
        <f aca="false">IF(H115="","",IF(D115="平日",MAX(0,H115-8),IF(OR(D115="休息日",D115="例假日",D115="國定假日",D115="特休日"),H115,0)))</f>
        <v/>
      </c>
      <c r="J115" s="31"/>
      <c r="K115" s="34" t="str">
        <f aca="false">IF(H115="","",IF(H115&gt;12,"逾12小時",IF(D115="例假日","例假日出勤僅限天災、事變、突發事件",IF(AND(I115&gt;0,J115&lt;&gt;"是"),"未取得加班同意",""))))</f>
        <v/>
      </c>
      <c r="L115" s="31"/>
      <c r="M115" s="30"/>
    </row>
    <row r="116" customFormat="false" ht="15" hidden="false" customHeight="false" outlineLevel="0" collapsed="false">
      <c r="A116" s="29"/>
      <c r="B116" s="31"/>
      <c r="C116" s="31"/>
      <c r="D116" s="31"/>
      <c r="E116" s="32"/>
      <c r="F116" s="32"/>
      <c r="G116" s="31"/>
      <c r="H116" s="33" t="str">
        <f aca="false">IF(OR(E116="",F116=""),"",ROUND(((F116-E116)*1440-G116)/60,2))</f>
        <v/>
      </c>
      <c r="I116" s="33" t="str">
        <f aca="false">IF(H116="","",IF(D116="平日",MAX(0,H116-8),IF(OR(D116="休息日",D116="例假日",D116="國定假日",D116="特休日"),H116,0)))</f>
        <v/>
      </c>
      <c r="J116" s="31"/>
      <c r="K116" s="34" t="str">
        <f aca="false">IF(H116="","",IF(H116&gt;12,"逾12小時",IF(D116="例假日","例假日出勤僅限天災、事變、突發事件",IF(AND(I116&gt;0,J116&lt;&gt;"是"),"未取得加班同意",""))))</f>
        <v/>
      </c>
      <c r="L116" s="31"/>
      <c r="M116" s="30"/>
    </row>
    <row r="117" customFormat="false" ht="15" hidden="false" customHeight="false" outlineLevel="0" collapsed="false">
      <c r="A117" s="29"/>
      <c r="B117" s="31"/>
      <c r="C117" s="31"/>
      <c r="D117" s="31"/>
      <c r="E117" s="32"/>
      <c r="F117" s="32"/>
      <c r="G117" s="31"/>
      <c r="H117" s="33" t="str">
        <f aca="false">IF(OR(E117="",F117=""),"",ROUND(((F117-E117)*1440-G117)/60,2))</f>
        <v/>
      </c>
      <c r="I117" s="33" t="str">
        <f aca="false">IF(H117="","",IF(D117="平日",MAX(0,H117-8),IF(OR(D117="休息日",D117="例假日",D117="國定假日",D117="特休日"),H117,0)))</f>
        <v/>
      </c>
      <c r="J117" s="31"/>
      <c r="K117" s="34" t="str">
        <f aca="false">IF(H117="","",IF(H117&gt;12,"逾12小時",IF(D117="例假日","例假日出勤僅限天災、事變、突發事件",IF(AND(I117&gt;0,J117&lt;&gt;"是"),"未取得加班同意",""))))</f>
        <v/>
      </c>
      <c r="L117" s="31"/>
      <c r="M117" s="30"/>
    </row>
    <row r="118" customFormat="false" ht="15" hidden="false" customHeight="false" outlineLevel="0" collapsed="false">
      <c r="A118" s="29"/>
      <c r="B118" s="31"/>
      <c r="C118" s="31"/>
      <c r="D118" s="31"/>
      <c r="E118" s="32"/>
      <c r="F118" s="32"/>
      <c r="G118" s="31"/>
      <c r="H118" s="33" t="str">
        <f aca="false">IF(OR(E118="",F118=""),"",ROUND(((F118-E118)*1440-G118)/60,2))</f>
        <v/>
      </c>
      <c r="I118" s="33" t="str">
        <f aca="false">IF(H118="","",IF(D118="平日",MAX(0,H118-8),IF(OR(D118="休息日",D118="例假日",D118="國定假日",D118="特休日"),H118,0)))</f>
        <v/>
      </c>
      <c r="J118" s="31"/>
      <c r="K118" s="34" t="str">
        <f aca="false">IF(H118="","",IF(H118&gt;12,"逾12小時",IF(D118="例假日","例假日出勤僅限天災、事變、突發事件",IF(AND(I118&gt;0,J118&lt;&gt;"是"),"未取得加班同意",""))))</f>
        <v/>
      </c>
      <c r="L118" s="31"/>
      <c r="M118" s="30"/>
    </row>
    <row r="119" customFormat="false" ht="15" hidden="false" customHeight="false" outlineLevel="0" collapsed="false">
      <c r="A119" s="29"/>
      <c r="B119" s="31"/>
      <c r="C119" s="31"/>
      <c r="D119" s="31"/>
      <c r="E119" s="32"/>
      <c r="F119" s="32"/>
      <c r="G119" s="31"/>
      <c r="H119" s="33" t="str">
        <f aca="false">IF(OR(E119="",F119=""),"",ROUND(((F119-E119)*1440-G119)/60,2))</f>
        <v/>
      </c>
      <c r="I119" s="33" t="str">
        <f aca="false">IF(H119="","",IF(D119="平日",MAX(0,H119-8),IF(OR(D119="休息日",D119="例假日",D119="國定假日",D119="特休日"),H119,0)))</f>
        <v/>
      </c>
      <c r="J119" s="31"/>
      <c r="K119" s="34" t="str">
        <f aca="false">IF(H119="","",IF(H119&gt;12,"逾12小時",IF(D119="例假日","例假日出勤僅限天災、事變、突發事件",IF(AND(I119&gt;0,J119&lt;&gt;"是"),"未取得加班同意",""))))</f>
        <v/>
      </c>
      <c r="L119" s="31"/>
      <c r="M119" s="30"/>
    </row>
    <row r="120" customFormat="false" ht="15" hidden="false" customHeight="false" outlineLevel="0" collapsed="false">
      <c r="A120" s="29"/>
      <c r="B120" s="31"/>
      <c r="C120" s="31"/>
      <c r="D120" s="31"/>
      <c r="E120" s="32"/>
      <c r="F120" s="32"/>
      <c r="G120" s="31"/>
      <c r="H120" s="33" t="str">
        <f aca="false">IF(OR(E120="",F120=""),"",ROUND(((F120-E120)*1440-G120)/60,2))</f>
        <v/>
      </c>
      <c r="I120" s="33" t="str">
        <f aca="false">IF(H120="","",IF(D120="平日",MAX(0,H120-8),IF(OR(D120="休息日",D120="例假日",D120="國定假日",D120="特休日"),H120,0)))</f>
        <v/>
      </c>
      <c r="J120" s="31"/>
      <c r="K120" s="34" t="str">
        <f aca="false">IF(H120="","",IF(H120&gt;12,"逾12小時",IF(D120="例假日","例假日出勤僅限天災、事變、突發事件",IF(AND(I120&gt;0,J120&lt;&gt;"是"),"未取得加班同意",""))))</f>
        <v/>
      </c>
      <c r="L120" s="31"/>
      <c r="M120" s="30"/>
    </row>
    <row r="121" customFormat="false" ht="15" hidden="false" customHeight="false" outlineLevel="0" collapsed="false">
      <c r="A121" s="29"/>
      <c r="B121" s="31"/>
      <c r="C121" s="31"/>
      <c r="D121" s="31"/>
      <c r="E121" s="32"/>
      <c r="F121" s="32"/>
      <c r="G121" s="31"/>
      <c r="H121" s="33" t="str">
        <f aca="false">IF(OR(E121="",F121=""),"",ROUND(((F121-E121)*1440-G121)/60,2))</f>
        <v/>
      </c>
      <c r="I121" s="33" t="str">
        <f aca="false">IF(H121="","",IF(D121="平日",MAX(0,H121-8),IF(OR(D121="休息日",D121="例假日",D121="國定假日",D121="特休日"),H121,0)))</f>
        <v/>
      </c>
      <c r="J121" s="31"/>
      <c r="K121" s="34" t="str">
        <f aca="false">IF(H121="","",IF(H121&gt;12,"逾12小時",IF(D121="例假日","例假日出勤僅限天災、事變、突發事件",IF(AND(I121&gt;0,J121&lt;&gt;"是"),"未取得加班同意",""))))</f>
        <v/>
      </c>
      <c r="L121" s="31"/>
      <c r="M121" s="30"/>
    </row>
    <row r="122" customFormat="false" ht="15" hidden="false" customHeight="false" outlineLevel="0" collapsed="false">
      <c r="A122" s="29"/>
      <c r="B122" s="31"/>
      <c r="C122" s="31"/>
      <c r="D122" s="31"/>
      <c r="E122" s="32"/>
      <c r="F122" s="32"/>
      <c r="G122" s="31"/>
      <c r="H122" s="33" t="str">
        <f aca="false">IF(OR(E122="",F122=""),"",ROUND(((F122-E122)*1440-G122)/60,2))</f>
        <v/>
      </c>
      <c r="I122" s="33" t="str">
        <f aca="false">IF(H122="","",IF(D122="平日",MAX(0,H122-8),IF(OR(D122="休息日",D122="例假日",D122="國定假日",D122="特休日"),H122,0)))</f>
        <v/>
      </c>
      <c r="J122" s="31"/>
      <c r="K122" s="34" t="str">
        <f aca="false">IF(H122="","",IF(H122&gt;12,"逾12小時",IF(D122="例假日","例假日出勤僅限天災、事變、突發事件",IF(AND(I122&gt;0,J122&lt;&gt;"是"),"未取得加班同意",""))))</f>
        <v/>
      </c>
      <c r="L122" s="31"/>
      <c r="M122" s="30"/>
    </row>
    <row r="123" customFormat="false" ht="15" hidden="false" customHeight="false" outlineLevel="0" collapsed="false">
      <c r="A123" s="29"/>
      <c r="B123" s="31"/>
      <c r="C123" s="31"/>
      <c r="D123" s="31"/>
      <c r="E123" s="32"/>
      <c r="F123" s="32"/>
      <c r="G123" s="31"/>
      <c r="H123" s="33" t="str">
        <f aca="false">IF(OR(E123="",F123=""),"",ROUND(((F123-E123)*1440-G123)/60,2))</f>
        <v/>
      </c>
      <c r="I123" s="33" t="str">
        <f aca="false">IF(H123="","",IF(D123="平日",MAX(0,H123-8),IF(OR(D123="休息日",D123="例假日",D123="國定假日",D123="特休日"),H123,0)))</f>
        <v/>
      </c>
      <c r="J123" s="31"/>
      <c r="K123" s="34" t="str">
        <f aca="false">IF(H123="","",IF(H123&gt;12,"逾12小時",IF(D123="例假日","例假日出勤僅限天災、事變、突發事件",IF(AND(I123&gt;0,J123&lt;&gt;"是"),"未取得加班同意",""))))</f>
        <v/>
      </c>
      <c r="L123" s="31"/>
      <c r="M123" s="30"/>
    </row>
    <row r="124" customFormat="false" ht="15" hidden="false" customHeight="false" outlineLevel="0" collapsed="false">
      <c r="A124" s="29"/>
      <c r="B124" s="31"/>
      <c r="C124" s="31"/>
      <c r="D124" s="31"/>
      <c r="E124" s="32"/>
      <c r="F124" s="32"/>
      <c r="G124" s="31"/>
      <c r="H124" s="33" t="str">
        <f aca="false">IF(OR(E124="",F124=""),"",ROUND(((F124-E124)*1440-G124)/60,2))</f>
        <v/>
      </c>
      <c r="I124" s="33" t="str">
        <f aca="false">IF(H124="","",IF(D124="平日",MAX(0,H124-8),IF(OR(D124="休息日",D124="例假日",D124="國定假日",D124="特休日"),H124,0)))</f>
        <v/>
      </c>
      <c r="J124" s="31"/>
      <c r="K124" s="34" t="str">
        <f aca="false">IF(H124="","",IF(H124&gt;12,"逾12小時",IF(D124="例假日","例假日出勤僅限天災、事變、突發事件",IF(AND(I124&gt;0,J124&lt;&gt;"是"),"未取得加班同意",""))))</f>
        <v/>
      </c>
      <c r="L124" s="31"/>
      <c r="M124" s="30"/>
    </row>
    <row r="125" customFormat="false" ht="15" hidden="false" customHeight="false" outlineLevel="0" collapsed="false">
      <c r="A125" s="29"/>
      <c r="B125" s="31"/>
      <c r="C125" s="31"/>
      <c r="D125" s="31"/>
      <c r="E125" s="32"/>
      <c r="F125" s="32"/>
      <c r="G125" s="31"/>
      <c r="H125" s="33" t="str">
        <f aca="false">IF(OR(E125="",F125=""),"",ROUND(((F125-E125)*1440-G125)/60,2))</f>
        <v/>
      </c>
      <c r="I125" s="33" t="str">
        <f aca="false">IF(H125="","",IF(D125="平日",MAX(0,H125-8),IF(OR(D125="休息日",D125="例假日",D125="國定假日",D125="特休日"),H125,0)))</f>
        <v/>
      </c>
      <c r="J125" s="31"/>
      <c r="K125" s="34" t="str">
        <f aca="false">IF(H125="","",IF(H125&gt;12,"逾12小時",IF(D125="例假日","例假日出勤僅限天災、事變、突發事件",IF(AND(I125&gt;0,J125&lt;&gt;"是"),"未取得加班同意",""))))</f>
        <v/>
      </c>
      <c r="L125" s="31"/>
      <c r="M125" s="30"/>
    </row>
    <row r="126" customFormat="false" ht="15" hidden="false" customHeight="false" outlineLevel="0" collapsed="false">
      <c r="A126" s="29"/>
      <c r="B126" s="31"/>
      <c r="C126" s="31"/>
      <c r="D126" s="31"/>
      <c r="E126" s="32"/>
      <c r="F126" s="32"/>
      <c r="G126" s="31"/>
      <c r="H126" s="33" t="str">
        <f aca="false">IF(OR(E126="",F126=""),"",ROUND(((F126-E126)*1440-G126)/60,2))</f>
        <v/>
      </c>
      <c r="I126" s="33" t="str">
        <f aca="false">IF(H126="","",IF(D126="平日",MAX(0,H126-8),IF(OR(D126="休息日",D126="例假日",D126="國定假日",D126="特休日"),H126,0)))</f>
        <v/>
      </c>
      <c r="J126" s="31"/>
      <c r="K126" s="34" t="str">
        <f aca="false">IF(H126="","",IF(H126&gt;12,"逾12小時",IF(D126="例假日","例假日出勤僅限天災、事變、突發事件",IF(AND(I126&gt;0,J126&lt;&gt;"是"),"未取得加班同意",""))))</f>
        <v/>
      </c>
      <c r="L126" s="31"/>
      <c r="M126" s="30"/>
    </row>
    <row r="127" customFormat="false" ht="15" hidden="false" customHeight="false" outlineLevel="0" collapsed="false">
      <c r="A127" s="29"/>
      <c r="B127" s="31"/>
      <c r="C127" s="31"/>
      <c r="D127" s="31"/>
      <c r="E127" s="32"/>
      <c r="F127" s="32"/>
      <c r="G127" s="31"/>
      <c r="H127" s="33" t="str">
        <f aca="false">IF(OR(E127="",F127=""),"",ROUND(((F127-E127)*1440-G127)/60,2))</f>
        <v/>
      </c>
      <c r="I127" s="33" t="str">
        <f aca="false">IF(H127="","",IF(D127="平日",MAX(0,H127-8),IF(OR(D127="休息日",D127="例假日",D127="國定假日",D127="特休日"),H127,0)))</f>
        <v/>
      </c>
      <c r="J127" s="31"/>
      <c r="K127" s="34" t="str">
        <f aca="false">IF(H127="","",IF(H127&gt;12,"逾12小時",IF(D127="例假日","例假日出勤僅限天災、事變、突發事件",IF(AND(I127&gt;0,J127&lt;&gt;"是"),"未取得加班同意",""))))</f>
        <v/>
      </c>
      <c r="L127" s="31"/>
      <c r="M127" s="30"/>
    </row>
    <row r="128" customFormat="false" ht="15" hidden="false" customHeight="false" outlineLevel="0" collapsed="false">
      <c r="A128" s="29"/>
      <c r="B128" s="31"/>
      <c r="C128" s="31"/>
      <c r="D128" s="31"/>
      <c r="E128" s="32"/>
      <c r="F128" s="32"/>
      <c r="G128" s="31"/>
      <c r="H128" s="33" t="str">
        <f aca="false">IF(OR(E128="",F128=""),"",ROUND(((F128-E128)*1440-G128)/60,2))</f>
        <v/>
      </c>
      <c r="I128" s="33" t="str">
        <f aca="false">IF(H128="","",IF(D128="平日",MAX(0,H128-8),IF(OR(D128="休息日",D128="例假日",D128="國定假日",D128="特休日"),H128,0)))</f>
        <v/>
      </c>
      <c r="J128" s="31"/>
      <c r="K128" s="34" t="str">
        <f aca="false">IF(H128="","",IF(H128&gt;12,"逾12小時",IF(D128="例假日","例假日出勤僅限天災、事變、突發事件",IF(AND(I128&gt;0,J128&lt;&gt;"是"),"未取得加班同意",""))))</f>
        <v/>
      </c>
      <c r="L128" s="31"/>
      <c r="M128" s="30"/>
    </row>
    <row r="129" customFormat="false" ht="15" hidden="false" customHeight="false" outlineLevel="0" collapsed="false">
      <c r="A129" s="29"/>
      <c r="B129" s="31"/>
      <c r="C129" s="31"/>
      <c r="D129" s="31"/>
      <c r="E129" s="32"/>
      <c r="F129" s="32"/>
      <c r="G129" s="31"/>
      <c r="H129" s="33" t="str">
        <f aca="false">IF(OR(E129="",F129=""),"",ROUND(((F129-E129)*1440-G129)/60,2))</f>
        <v/>
      </c>
      <c r="I129" s="33" t="str">
        <f aca="false">IF(H129="","",IF(D129="平日",MAX(0,H129-8),IF(OR(D129="休息日",D129="例假日",D129="國定假日",D129="特休日"),H129,0)))</f>
        <v/>
      </c>
      <c r="J129" s="31"/>
      <c r="K129" s="34" t="str">
        <f aca="false">IF(H129="","",IF(H129&gt;12,"逾12小時",IF(D129="例假日","例假日出勤僅限天災、事變、突發事件",IF(AND(I129&gt;0,J129&lt;&gt;"是"),"未取得加班同意",""))))</f>
        <v/>
      </c>
      <c r="L129" s="31"/>
      <c r="M129" s="30"/>
    </row>
    <row r="130" customFormat="false" ht="15" hidden="false" customHeight="false" outlineLevel="0" collapsed="false">
      <c r="A130" s="29"/>
      <c r="B130" s="31"/>
      <c r="C130" s="31"/>
      <c r="D130" s="31"/>
      <c r="E130" s="32"/>
      <c r="F130" s="32"/>
      <c r="G130" s="31"/>
      <c r="H130" s="33" t="str">
        <f aca="false">IF(OR(E130="",F130=""),"",ROUND(((F130-E130)*1440-G130)/60,2))</f>
        <v/>
      </c>
      <c r="I130" s="33" t="str">
        <f aca="false">IF(H130="","",IF(D130="平日",MAX(0,H130-8),IF(OR(D130="休息日",D130="例假日",D130="國定假日",D130="特休日"),H130,0)))</f>
        <v/>
      </c>
      <c r="J130" s="31"/>
      <c r="K130" s="34" t="str">
        <f aca="false">IF(H130="","",IF(H130&gt;12,"逾12小時",IF(D130="例假日","例假日出勤僅限天災、事變、突發事件",IF(AND(I130&gt;0,J130&lt;&gt;"是"),"未取得加班同意",""))))</f>
        <v/>
      </c>
      <c r="L130" s="31"/>
      <c r="M130" s="30"/>
    </row>
    <row r="131" customFormat="false" ht="15" hidden="false" customHeight="false" outlineLevel="0" collapsed="false">
      <c r="A131" s="29"/>
      <c r="B131" s="31"/>
      <c r="C131" s="31"/>
      <c r="D131" s="31"/>
      <c r="E131" s="32"/>
      <c r="F131" s="32"/>
      <c r="G131" s="31"/>
      <c r="H131" s="33" t="str">
        <f aca="false">IF(OR(E131="",F131=""),"",ROUND(((F131-E131)*1440-G131)/60,2))</f>
        <v/>
      </c>
      <c r="I131" s="33" t="str">
        <f aca="false">IF(H131="","",IF(D131="平日",MAX(0,H131-8),IF(OR(D131="休息日",D131="例假日",D131="國定假日",D131="特休日"),H131,0)))</f>
        <v/>
      </c>
      <c r="J131" s="31"/>
      <c r="K131" s="34" t="str">
        <f aca="false">IF(H131="","",IF(H131&gt;12,"逾12小時",IF(D131="例假日","例假日出勤僅限天災、事變、突發事件",IF(AND(I131&gt;0,J131&lt;&gt;"是"),"未取得加班同意",""))))</f>
        <v/>
      </c>
      <c r="L131" s="31"/>
      <c r="M131" s="30"/>
    </row>
    <row r="132" customFormat="false" ht="15" hidden="false" customHeight="false" outlineLevel="0" collapsed="false">
      <c r="A132" s="29"/>
      <c r="B132" s="31"/>
      <c r="C132" s="31"/>
      <c r="D132" s="31"/>
      <c r="E132" s="32"/>
      <c r="F132" s="32"/>
      <c r="G132" s="31"/>
      <c r="H132" s="33" t="str">
        <f aca="false">IF(OR(E132="",F132=""),"",ROUND(((F132-E132)*1440-G132)/60,2))</f>
        <v/>
      </c>
      <c r="I132" s="33" t="str">
        <f aca="false">IF(H132="","",IF(D132="平日",MAX(0,H132-8),IF(OR(D132="休息日",D132="例假日",D132="國定假日",D132="特休日"),H132,0)))</f>
        <v/>
      </c>
      <c r="J132" s="31"/>
      <c r="K132" s="34" t="str">
        <f aca="false">IF(H132="","",IF(H132&gt;12,"逾12小時",IF(D132="例假日","例假日出勤僅限天災、事變、突發事件",IF(AND(I132&gt;0,J132&lt;&gt;"是"),"未取得加班同意",""))))</f>
        <v/>
      </c>
      <c r="L132" s="31"/>
      <c r="M132" s="30"/>
    </row>
    <row r="133" customFormat="false" ht="15" hidden="false" customHeight="false" outlineLevel="0" collapsed="false">
      <c r="A133" s="29"/>
      <c r="B133" s="31"/>
      <c r="C133" s="31"/>
      <c r="D133" s="31"/>
      <c r="E133" s="32"/>
      <c r="F133" s="32"/>
      <c r="G133" s="31"/>
      <c r="H133" s="33" t="str">
        <f aca="false">IF(OR(E133="",F133=""),"",ROUND(((F133-E133)*1440-G133)/60,2))</f>
        <v/>
      </c>
      <c r="I133" s="33" t="str">
        <f aca="false">IF(H133="","",IF(D133="平日",MAX(0,H133-8),IF(OR(D133="休息日",D133="例假日",D133="國定假日",D133="特休日"),H133,0)))</f>
        <v/>
      </c>
      <c r="J133" s="31"/>
      <c r="K133" s="34" t="str">
        <f aca="false">IF(H133="","",IF(H133&gt;12,"逾12小時",IF(D133="例假日","例假日出勤僅限天災、事變、突發事件",IF(AND(I133&gt;0,J133&lt;&gt;"是"),"未取得加班同意",""))))</f>
        <v/>
      </c>
      <c r="L133" s="31"/>
      <c r="M133" s="30"/>
    </row>
    <row r="134" customFormat="false" ht="15" hidden="false" customHeight="false" outlineLevel="0" collapsed="false">
      <c r="A134" s="29"/>
      <c r="B134" s="31"/>
      <c r="C134" s="31"/>
      <c r="D134" s="31"/>
      <c r="E134" s="32"/>
      <c r="F134" s="32"/>
      <c r="G134" s="31"/>
      <c r="H134" s="33" t="str">
        <f aca="false">IF(OR(E134="",F134=""),"",ROUND(((F134-E134)*1440-G134)/60,2))</f>
        <v/>
      </c>
      <c r="I134" s="33" t="str">
        <f aca="false">IF(H134="","",IF(D134="平日",MAX(0,H134-8),IF(OR(D134="休息日",D134="例假日",D134="國定假日",D134="特休日"),H134,0)))</f>
        <v/>
      </c>
      <c r="J134" s="31"/>
      <c r="K134" s="34" t="str">
        <f aca="false">IF(H134="","",IF(H134&gt;12,"逾12小時",IF(D134="例假日","例假日出勤僅限天災、事變、突發事件",IF(AND(I134&gt;0,J134&lt;&gt;"是"),"未取得加班同意",""))))</f>
        <v/>
      </c>
      <c r="L134" s="31"/>
      <c r="M134" s="30"/>
    </row>
    <row r="135" customFormat="false" ht="15" hidden="false" customHeight="false" outlineLevel="0" collapsed="false">
      <c r="A135" s="29"/>
      <c r="B135" s="31"/>
      <c r="C135" s="31"/>
      <c r="D135" s="31"/>
      <c r="E135" s="32"/>
      <c r="F135" s="32"/>
      <c r="G135" s="31"/>
      <c r="H135" s="33" t="str">
        <f aca="false">IF(OR(E135="",F135=""),"",ROUND(((F135-E135)*1440-G135)/60,2))</f>
        <v/>
      </c>
      <c r="I135" s="33" t="str">
        <f aca="false">IF(H135="","",IF(D135="平日",MAX(0,H135-8),IF(OR(D135="休息日",D135="例假日",D135="國定假日",D135="特休日"),H135,0)))</f>
        <v/>
      </c>
      <c r="J135" s="31"/>
      <c r="K135" s="34" t="str">
        <f aca="false">IF(H135="","",IF(H135&gt;12,"逾12小時",IF(D135="例假日","例假日出勤僅限天災、事變、突發事件",IF(AND(I135&gt;0,J135&lt;&gt;"是"),"未取得加班同意",""))))</f>
        <v/>
      </c>
      <c r="L135" s="31"/>
      <c r="M135" s="30"/>
    </row>
    <row r="136" customFormat="false" ht="15" hidden="false" customHeight="false" outlineLevel="0" collapsed="false">
      <c r="A136" s="29"/>
      <c r="B136" s="31"/>
      <c r="C136" s="31"/>
      <c r="D136" s="31"/>
      <c r="E136" s="32"/>
      <c r="F136" s="32"/>
      <c r="G136" s="31"/>
      <c r="H136" s="33" t="str">
        <f aca="false">IF(OR(E136="",F136=""),"",ROUND(((F136-E136)*1440-G136)/60,2))</f>
        <v/>
      </c>
      <c r="I136" s="33" t="str">
        <f aca="false">IF(H136="","",IF(D136="平日",MAX(0,H136-8),IF(OR(D136="休息日",D136="例假日",D136="國定假日",D136="特休日"),H136,0)))</f>
        <v/>
      </c>
      <c r="J136" s="31"/>
      <c r="K136" s="34" t="str">
        <f aca="false">IF(H136="","",IF(H136&gt;12,"逾12小時",IF(D136="例假日","例假日出勤僅限天災、事變、突發事件",IF(AND(I136&gt;0,J136&lt;&gt;"是"),"未取得加班同意",""))))</f>
        <v/>
      </c>
      <c r="L136" s="31"/>
      <c r="M136" s="30"/>
    </row>
    <row r="137" customFormat="false" ht="15" hidden="false" customHeight="false" outlineLevel="0" collapsed="false">
      <c r="A137" s="29"/>
      <c r="B137" s="31"/>
      <c r="C137" s="31"/>
      <c r="D137" s="31"/>
      <c r="E137" s="32"/>
      <c r="F137" s="32"/>
      <c r="G137" s="31"/>
      <c r="H137" s="33" t="str">
        <f aca="false">IF(OR(E137="",F137=""),"",ROUND(((F137-E137)*1440-G137)/60,2))</f>
        <v/>
      </c>
      <c r="I137" s="33" t="str">
        <f aca="false">IF(H137="","",IF(D137="平日",MAX(0,H137-8),IF(OR(D137="休息日",D137="例假日",D137="國定假日",D137="特休日"),H137,0)))</f>
        <v/>
      </c>
      <c r="J137" s="31"/>
      <c r="K137" s="34" t="str">
        <f aca="false">IF(H137="","",IF(H137&gt;12,"逾12小時",IF(D137="例假日","例假日出勤僅限天災、事變、突發事件",IF(AND(I137&gt;0,J137&lt;&gt;"是"),"未取得加班同意",""))))</f>
        <v/>
      </c>
      <c r="L137" s="31"/>
      <c r="M137" s="30"/>
    </row>
    <row r="138" customFormat="false" ht="15" hidden="false" customHeight="false" outlineLevel="0" collapsed="false">
      <c r="A138" s="29"/>
      <c r="B138" s="31"/>
      <c r="C138" s="31"/>
      <c r="D138" s="31"/>
      <c r="E138" s="32"/>
      <c r="F138" s="32"/>
      <c r="G138" s="31"/>
      <c r="H138" s="33" t="str">
        <f aca="false">IF(OR(E138="",F138=""),"",ROUND(((F138-E138)*1440-G138)/60,2))</f>
        <v/>
      </c>
      <c r="I138" s="33" t="str">
        <f aca="false">IF(H138="","",IF(D138="平日",MAX(0,H138-8),IF(OR(D138="休息日",D138="例假日",D138="國定假日",D138="特休日"),H138,0)))</f>
        <v/>
      </c>
      <c r="J138" s="31"/>
      <c r="K138" s="34" t="str">
        <f aca="false">IF(H138="","",IF(H138&gt;12,"逾12小時",IF(D138="例假日","例假日出勤僅限天災、事變、突發事件",IF(AND(I138&gt;0,J138&lt;&gt;"是"),"未取得加班同意",""))))</f>
        <v/>
      </c>
      <c r="L138" s="31"/>
      <c r="M138" s="30"/>
    </row>
    <row r="139" customFormat="false" ht="15" hidden="false" customHeight="false" outlineLevel="0" collapsed="false">
      <c r="A139" s="29"/>
      <c r="B139" s="31"/>
      <c r="C139" s="31"/>
      <c r="D139" s="31"/>
      <c r="E139" s="32"/>
      <c r="F139" s="32"/>
      <c r="G139" s="31"/>
      <c r="H139" s="33" t="str">
        <f aca="false">IF(OR(E139="",F139=""),"",ROUND(((F139-E139)*1440-G139)/60,2))</f>
        <v/>
      </c>
      <c r="I139" s="33" t="str">
        <f aca="false">IF(H139="","",IF(D139="平日",MAX(0,H139-8),IF(OR(D139="休息日",D139="例假日",D139="國定假日",D139="特休日"),H139,0)))</f>
        <v/>
      </c>
      <c r="J139" s="31"/>
      <c r="K139" s="34" t="str">
        <f aca="false">IF(H139="","",IF(H139&gt;12,"逾12小時",IF(D139="例假日","例假日出勤僅限天災、事變、突發事件",IF(AND(I139&gt;0,J139&lt;&gt;"是"),"未取得加班同意",""))))</f>
        <v/>
      </c>
      <c r="L139" s="31"/>
      <c r="M139" s="30"/>
    </row>
    <row r="140" customFormat="false" ht="15" hidden="false" customHeight="false" outlineLevel="0" collapsed="false">
      <c r="A140" s="29"/>
      <c r="B140" s="31"/>
      <c r="C140" s="31"/>
      <c r="D140" s="31"/>
      <c r="E140" s="32"/>
      <c r="F140" s="32"/>
      <c r="G140" s="31"/>
      <c r="H140" s="33" t="str">
        <f aca="false">IF(OR(E140="",F140=""),"",ROUND(((F140-E140)*1440-G140)/60,2))</f>
        <v/>
      </c>
      <c r="I140" s="33" t="str">
        <f aca="false">IF(H140="","",IF(D140="平日",MAX(0,H140-8),IF(OR(D140="休息日",D140="例假日",D140="國定假日",D140="特休日"),H140,0)))</f>
        <v/>
      </c>
      <c r="J140" s="31"/>
      <c r="K140" s="34" t="str">
        <f aca="false">IF(H140="","",IF(H140&gt;12,"逾12小時",IF(D140="例假日","例假日出勤僅限天災、事變、突發事件",IF(AND(I140&gt;0,J140&lt;&gt;"是"),"未取得加班同意",""))))</f>
        <v/>
      </c>
      <c r="L140" s="31"/>
      <c r="M140" s="30"/>
    </row>
    <row r="141" customFormat="false" ht="15" hidden="false" customHeight="false" outlineLevel="0" collapsed="false">
      <c r="A141" s="29"/>
      <c r="B141" s="31"/>
      <c r="C141" s="31"/>
      <c r="D141" s="31"/>
      <c r="E141" s="32"/>
      <c r="F141" s="32"/>
      <c r="G141" s="31"/>
      <c r="H141" s="33" t="str">
        <f aca="false">IF(OR(E141="",F141=""),"",ROUND(((F141-E141)*1440-G141)/60,2))</f>
        <v/>
      </c>
      <c r="I141" s="33" t="str">
        <f aca="false">IF(H141="","",IF(D141="平日",MAX(0,H141-8),IF(OR(D141="休息日",D141="例假日",D141="國定假日",D141="特休日"),H141,0)))</f>
        <v/>
      </c>
      <c r="J141" s="31"/>
      <c r="K141" s="34" t="str">
        <f aca="false">IF(H141="","",IF(H141&gt;12,"逾12小時",IF(D141="例假日","例假日出勤僅限天災、事變、突發事件",IF(AND(I141&gt;0,J141&lt;&gt;"是"),"未取得加班同意",""))))</f>
        <v/>
      </c>
      <c r="L141" s="31"/>
      <c r="M141" s="30"/>
    </row>
    <row r="142" customFormat="false" ht="15" hidden="false" customHeight="false" outlineLevel="0" collapsed="false">
      <c r="A142" s="29"/>
      <c r="B142" s="31"/>
      <c r="C142" s="31"/>
      <c r="D142" s="31"/>
      <c r="E142" s="32"/>
      <c r="F142" s="32"/>
      <c r="G142" s="31"/>
      <c r="H142" s="33" t="str">
        <f aca="false">IF(OR(E142="",F142=""),"",ROUND(((F142-E142)*1440-G142)/60,2))</f>
        <v/>
      </c>
      <c r="I142" s="33" t="str">
        <f aca="false">IF(H142="","",IF(D142="平日",MAX(0,H142-8),IF(OR(D142="休息日",D142="例假日",D142="國定假日",D142="特休日"),H142,0)))</f>
        <v/>
      </c>
      <c r="J142" s="31"/>
      <c r="K142" s="34" t="str">
        <f aca="false">IF(H142="","",IF(H142&gt;12,"逾12小時",IF(D142="例假日","例假日出勤僅限天災、事變、突發事件",IF(AND(I142&gt;0,J142&lt;&gt;"是"),"未取得加班同意",""))))</f>
        <v/>
      </c>
      <c r="L142" s="31"/>
      <c r="M142" s="30"/>
    </row>
    <row r="143" customFormat="false" ht="15" hidden="false" customHeight="false" outlineLevel="0" collapsed="false">
      <c r="A143" s="29"/>
      <c r="B143" s="31"/>
      <c r="C143" s="31"/>
      <c r="D143" s="31"/>
      <c r="E143" s="32"/>
      <c r="F143" s="32"/>
      <c r="G143" s="31"/>
      <c r="H143" s="33" t="str">
        <f aca="false">IF(OR(E143="",F143=""),"",ROUND(((F143-E143)*1440-G143)/60,2))</f>
        <v/>
      </c>
      <c r="I143" s="33" t="str">
        <f aca="false">IF(H143="","",IF(D143="平日",MAX(0,H143-8),IF(OR(D143="休息日",D143="例假日",D143="國定假日",D143="特休日"),H143,0)))</f>
        <v/>
      </c>
      <c r="J143" s="31"/>
      <c r="K143" s="34" t="str">
        <f aca="false">IF(H143="","",IF(H143&gt;12,"逾12小時",IF(D143="例假日","例假日出勤僅限天災、事變、突發事件",IF(AND(I143&gt;0,J143&lt;&gt;"是"),"未取得加班同意",""))))</f>
        <v/>
      </c>
      <c r="L143" s="31"/>
      <c r="M143" s="30"/>
    </row>
    <row r="144" customFormat="false" ht="15" hidden="false" customHeight="false" outlineLevel="0" collapsed="false">
      <c r="A144" s="29"/>
      <c r="B144" s="31"/>
      <c r="C144" s="31"/>
      <c r="D144" s="31"/>
      <c r="E144" s="32"/>
      <c r="F144" s="32"/>
      <c r="G144" s="31"/>
      <c r="H144" s="33" t="str">
        <f aca="false">IF(OR(E144="",F144=""),"",ROUND(((F144-E144)*1440-G144)/60,2))</f>
        <v/>
      </c>
      <c r="I144" s="33" t="str">
        <f aca="false">IF(H144="","",IF(D144="平日",MAX(0,H144-8),IF(OR(D144="休息日",D144="例假日",D144="國定假日",D144="特休日"),H144,0)))</f>
        <v/>
      </c>
      <c r="J144" s="31"/>
      <c r="K144" s="34" t="str">
        <f aca="false">IF(H144="","",IF(H144&gt;12,"逾12小時",IF(D144="例假日","例假日出勤僅限天災、事變、突發事件",IF(AND(I144&gt;0,J144&lt;&gt;"是"),"未取得加班同意",""))))</f>
        <v/>
      </c>
      <c r="L144" s="31"/>
      <c r="M144" s="30"/>
    </row>
    <row r="145" customFormat="false" ht="15" hidden="false" customHeight="false" outlineLevel="0" collapsed="false">
      <c r="A145" s="29"/>
      <c r="B145" s="31"/>
      <c r="C145" s="31"/>
      <c r="D145" s="31"/>
      <c r="E145" s="32"/>
      <c r="F145" s="32"/>
      <c r="G145" s="31"/>
      <c r="H145" s="33" t="str">
        <f aca="false">IF(OR(E145="",F145=""),"",ROUND(((F145-E145)*1440-G145)/60,2))</f>
        <v/>
      </c>
      <c r="I145" s="33" t="str">
        <f aca="false">IF(H145="","",IF(D145="平日",MAX(0,H145-8),IF(OR(D145="休息日",D145="例假日",D145="國定假日",D145="特休日"),H145,0)))</f>
        <v/>
      </c>
      <c r="J145" s="31"/>
      <c r="K145" s="34" t="str">
        <f aca="false">IF(H145="","",IF(H145&gt;12,"逾12小時",IF(D145="例假日","例假日出勤僅限天災、事變、突發事件",IF(AND(I145&gt;0,J145&lt;&gt;"是"),"未取得加班同意",""))))</f>
        <v/>
      </c>
      <c r="L145" s="31"/>
      <c r="M145" s="30"/>
    </row>
    <row r="146" customFormat="false" ht="15" hidden="false" customHeight="false" outlineLevel="0" collapsed="false">
      <c r="A146" s="29"/>
      <c r="B146" s="31"/>
      <c r="C146" s="31"/>
      <c r="D146" s="31"/>
      <c r="E146" s="32"/>
      <c r="F146" s="32"/>
      <c r="G146" s="31"/>
      <c r="H146" s="33" t="str">
        <f aca="false">IF(OR(E146="",F146=""),"",ROUND(((F146-E146)*1440-G146)/60,2))</f>
        <v/>
      </c>
      <c r="I146" s="33" t="str">
        <f aca="false">IF(H146="","",IF(D146="平日",MAX(0,H146-8),IF(OR(D146="休息日",D146="例假日",D146="國定假日",D146="特休日"),H146,0)))</f>
        <v/>
      </c>
      <c r="J146" s="31"/>
      <c r="K146" s="34" t="str">
        <f aca="false">IF(H146="","",IF(H146&gt;12,"逾12小時",IF(D146="例假日","例假日出勤僅限天災、事變、突發事件",IF(AND(I146&gt;0,J146&lt;&gt;"是"),"未取得加班同意",""))))</f>
        <v/>
      </c>
      <c r="L146" s="31"/>
      <c r="M146" s="30"/>
    </row>
    <row r="147" customFormat="false" ht="15" hidden="false" customHeight="false" outlineLevel="0" collapsed="false">
      <c r="A147" s="29"/>
      <c r="B147" s="31"/>
      <c r="C147" s="31"/>
      <c r="D147" s="31"/>
      <c r="E147" s="32"/>
      <c r="F147" s="32"/>
      <c r="G147" s="31"/>
      <c r="H147" s="33" t="str">
        <f aca="false">IF(OR(E147="",F147=""),"",ROUND(((F147-E147)*1440-G147)/60,2))</f>
        <v/>
      </c>
      <c r="I147" s="33" t="str">
        <f aca="false">IF(H147="","",IF(D147="平日",MAX(0,H147-8),IF(OR(D147="休息日",D147="例假日",D147="國定假日",D147="特休日"),H147,0)))</f>
        <v/>
      </c>
      <c r="J147" s="31"/>
      <c r="K147" s="34" t="str">
        <f aca="false">IF(H147="","",IF(H147&gt;12,"逾12小時",IF(D147="例假日","例假日出勤僅限天災、事變、突發事件",IF(AND(I147&gt;0,J147&lt;&gt;"是"),"未取得加班同意",""))))</f>
        <v/>
      </c>
      <c r="L147" s="31"/>
      <c r="M147" s="30"/>
    </row>
    <row r="148" customFormat="false" ht="15" hidden="false" customHeight="false" outlineLevel="0" collapsed="false">
      <c r="A148" s="29"/>
      <c r="B148" s="31"/>
      <c r="C148" s="31"/>
      <c r="D148" s="31"/>
      <c r="E148" s="32"/>
      <c r="F148" s="32"/>
      <c r="G148" s="31"/>
      <c r="H148" s="33" t="str">
        <f aca="false">IF(OR(E148="",F148=""),"",ROUND(((F148-E148)*1440-G148)/60,2))</f>
        <v/>
      </c>
      <c r="I148" s="33" t="str">
        <f aca="false">IF(H148="","",IF(D148="平日",MAX(0,H148-8),IF(OR(D148="休息日",D148="例假日",D148="國定假日",D148="特休日"),H148,0)))</f>
        <v/>
      </c>
      <c r="J148" s="31"/>
      <c r="K148" s="34" t="str">
        <f aca="false">IF(H148="","",IF(H148&gt;12,"逾12小時",IF(D148="例假日","例假日出勤僅限天災、事變、突發事件",IF(AND(I148&gt;0,J148&lt;&gt;"是"),"未取得加班同意",""))))</f>
        <v/>
      </c>
      <c r="L148" s="31"/>
      <c r="M148" s="30"/>
    </row>
    <row r="149" customFormat="false" ht="15" hidden="false" customHeight="false" outlineLevel="0" collapsed="false">
      <c r="A149" s="29"/>
      <c r="B149" s="31"/>
      <c r="C149" s="31"/>
      <c r="D149" s="31"/>
      <c r="E149" s="32"/>
      <c r="F149" s="32"/>
      <c r="G149" s="31"/>
      <c r="H149" s="33" t="str">
        <f aca="false">IF(OR(E149="",F149=""),"",ROUND(((F149-E149)*1440-G149)/60,2))</f>
        <v/>
      </c>
      <c r="I149" s="33" t="str">
        <f aca="false">IF(H149="","",IF(D149="平日",MAX(0,H149-8),IF(OR(D149="休息日",D149="例假日",D149="國定假日",D149="特休日"),H149,0)))</f>
        <v/>
      </c>
      <c r="J149" s="31"/>
      <c r="K149" s="34" t="str">
        <f aca="false">IF(H149="","",IF(H149&gt;12,"逾12小時",IF(D149="例假日","例假日出勤僅限天災、事變、突發事件",IF(AND(I149&gt;0,J149&lt;&gt;"是"),"未取得加班同意",""))))</f>
        <v/>
      </c>
      <c r="L149" s="31"/>
      <c r="M149" s="30"/>
    </row>
    <row r="150" customFormat="false" ht="15" hidden="false" customHeight="false" outlineLevel="0" collapsed="false">
      <c r="A150" s="29"/>
      <c r="B150" s="31"/>
      <c r="C150" s="31"/>
      <c r="D150" s="31"/>
      <c r="E150" s="32"/>
      <c r="F150" s="32"/>
      <c r="G150" s="31"/>
      <c r="H150" s="33" t="str">
        <f aca="false">IF(OR(E150="",F150=""),"",ROUND(((F150-E150)*1440-G150)/60,2))</f>
        <v/>
      </c>
      <c r="I150" s="33" t="str">
        <f aca="false">IF(H150="","",IF(D150="平日",MAX(0,H150-8),IF(OR(D150="休息日",D150="例假日",D150="國定假日",D150="特休日"),H150,0)))</f>
        <v/>
      </c>
      <c r="J150" s="31"/>
      <c r="K150" s="34" t="str">
        <f aca="false">IF(H150="","",IF(H150&gt;12,"逾12小時",IF(D150="例假日","例假日出勤僅限天災、事變、突發事件",IF(AND(I150&gt;0,J150&lt;&gt;"是"),"未取得加班同意",""))))</f>
        <v/>
      </c>
      <c r="L150" s="31"/>
      <c r="M150" s="30"/>
    </row>
    <row r="151" customFormat="false" ht="15" hidden="false" customHeight="false" outlineLevel="0" collapsed="false">
      <c r="A151" s="29"/>
      <c r="B151" s="31"/>
      <c r="C151" s="31"/>
      <c r="D151" s="31"/>
      <c r="E151" s="32"/>
      <c r="F151" s="32"/>
      <c r="G151" s="31"/>
      <c r="H151" s="33" t="str">
        <f aca="false">IF(OR(E151="",F151=""),"",ROUND(((F151-E151)*1440-G151)/60,2))</f>
        <v/>
      </c>
      <c r="I151" s="33" t="str">
        <f aca="false">IF(H151="","",IF(D151="平日",MAX(0,H151-8),IF(OR(D151="休息日",D151="例假日",D151="國定假日",D151="特休日"),H151,0)))</f>
        <v/>
      </c>
      <c r="J151" s="31"/>
      <c r="K151" s="34" t="str">
        <f aca="false">IF(H151="","",IF(H151&gt;12,"逾12小時",IF(D151="例假日","例假日出勤僅限天災、事變、突發事件",IF(AND(I151&gt;0,J151&lt;&gt;"是"),"未取得加班同意",""))))</f>
        <v/>
      </c>
      <c r="L151" s="31"/>
      <c r="M151" s="30"/>
    </row>
    <row r="152" customFormat="false" ht="15" hidden="false" customHeight="false" outlineLevel="0" collapsed="false">
      <c r="A152" s="29"/>
      <c r="B152" s="31"/>
      <c r="C152" s="31"/>
      <c r="D152" s="31"/>
      <c r="E152" s="32"/>
      <c r="F152" s="32"/>
      <c r="G152" s="31"/>
      <c r="H152" s="33" t="str">
        <f aca="false">IF(OR(E152="",F152=""),"",ROUND(((F152-E152)*1440-G152)/60,2))</f>
        <v/>
      </c>
      <c r="I152" s="33" t="str">
        <f aca="false">IF(H152="","",IF(D152="平日",MAX(0,H152-8),IF(OR(D152="休息日",D152="例假日",D152="國定假日",D152="特休日"),H152,0)))</f>
        <v/>
      </c>
      <c r="J152" s="31"/>
      <c r="K152" s="34" t="str">
        <f aca="false">IF(H152="","",IF(H152&gt;12,"逾12小時",IF(D152="例假日","例假日出勤僅限天災、事變、突發事件",IF(AND(I152&gt;0,J152&lt;&gt;"是"),"未取得加班同意",""))))</f>
        <v/>
      </c>
      <c r="L152" s="31"/>
      <c r="M152" s="30"/>
    </row>
    <row r="153" customFormat="false" ht="15" hidden="false" customHeight="false" outlineLevel="0" collapsed="false">
      <c r="A153" s="29"/>
      <c r="B153" s="31"/>
      <c r="C153" s="31"/>
      <c r="D153" s="31"/>
      <c r="E153" s="32"/>
      <c r="F153" s="32"/>
      <c r="G153" s="31"/>
      <c r="H153" s="33" t="str">
        <f aca="false">IF(OR(E153="",F153=""),"",ROUND(((F153-E153)*1440-G153)/60,2))</f>
        <v/>
      </c>
      <c r="I153" s="33" t="str">
        <f aca="false">IF(H153="","",IF(D153="平日",MAX(0,H153-8),IF(OR(D153="休息日",D153="例假日",D153="國定假日",D153="特休日"),H153,0)))</f>
        <v/>
      </c>
      <c r="J153" s="31"/>
      <c r="K153" s="34" t="str">
        <f aca="false">IF(H153="","",IF(H153&gt;12,"逾12小時",IF(D153="例假日","例假日出勤僅限天災、事變、突發事件",IF(AND(I153&gt;0,J153&lt;&gt;"是"),"未取得加班同意",""))))</f>
        <v/>
      </c>
      <c r="L153" s="31"/>
      <c r="M153" s="30"/>
    </row>
    <row r="154" customFormat="false" ht="15" hidden="false" customHeight="false" outlineLevel="0" collapsed="false">
      <c r="A154" s="29"/>
      <c r="B154" s="31"/>
      <c r="C154" s="31"/>
      <c r="D154" s="31"/>
      <c r="E154" s="32"/>
      <c r="F154" s="32"/>
      <c r="G154" s="31"/>
      <c r="H154" s="33" t="str">
        <f aca="false">IF(OR(E154="",F154=""),"",ROUND(((F154-E154)*1440-G154)/60,2))</f>
        <v/>
      </c>
      <c r="I154" s="33" t="str">
        <f aca="false">IF(H154="","",IF(D154="平日",MAX(0,H154-8),IF(OR(D154="休息日",D154="例假日",D154="國定假日",D154="特休日"),H154,0)))</f>
        <v/>
      </c>
      <c r="J154" s="31"/>
      <c r="K154" s="34" t="str">
        <f aca="false">IF(H154="","",IF(H154&gt;12,"逾12小時",IF(D154="例假日","例假日出勤僅限天災、事變、突發事件",IF(AND(I154&gt;0,J154&lt;&gt;"是"),"未取得加班同意",""))))</f>
        <v/>
      </c>
      <c r="L154" s="31"/>
      <c r="M154" s="30"/>
    </row>
    <row r="156" customFormat="false" ht="15" hidden="false" customHeight="false" outlineLevel="0" collapsed="false">
      <c r="A156" s="2" t="s">
        <v>315</v>
      </c>
    </row>
  </sheetData>
  <dataValidations count="3">
    <dataValidation allowBlank="true" errorStyle="stop" operator="between" showDropDown="false" showErrorMessage="false" showInputMessage="false" sqref="D5:D154" type="list">
      <formula1>"平日,休息日,例假日,國定假日,特休日"</formula1>
      <formula2>0</formula2>
    </dataValidation>
    <dataValidation allowBlank="true" errorStyle="stop" operator="between" showDropDown="false" showErrorMessage="false" showInputMessage="false" sqref="J5:J154" type="list">
      <formula1>"是,否"</formula1>
      <formula2>0</formula2>
    </dataValidation>
    <dataValidation allowBlank="true" error="請從下拉選單選擇假別" errorStyle="stop" errorTitle="請選擇" operator="between" showDropDown="false" showErrorMessage="true" showInputMessage="false" sqref="M5:M154" type="list">
      <formula1>流程1_參數!$B$21:$B$34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8" min="7" style="0" width="12"/>
    <col collapsed="false" customWidth="true" hidden="false" outlineLevel="0" max="9" min="9" style="0" width="9"/>
    <col collapsed="false" customWidth="true" hidden="false" outlineLevel="0" max="10" min="10" style="0" width="22"/>
    <col collapsed="false" customWidth="true" hidden="false" outlineLevel="0" max="13" min="11" style="0" width="12"/>
    <col collapsed="false" customWidth="true" hidden="false" outlineLevel="0" max="14" min="14" style="0" width="20"/>
    <col collapsed="false" customWidth="true" hidden="false" outlineLevel="0" max="16" min="15" style="0" width="12"/>
    <col collapsed="false" customWidth="true" hidden="false" outlineLevel="0" max="17" min="17" style="0" width="14"/>
    <col collapsed="false" customWidth="true" hidden="false" outlineLevel="0" max="18" min="18" style="0" width="24"/>
    <col collapsed="false" customWidth="true" hidden="false" outlineLevel="0" max="19" min="19" style="0" width="3"/>
    <col collapsed="false" customWidth="true" hidden="false" outlineLevel="0" max="20" min="20" style="0" width="10"/>
    <col collapsed="false" customWidth="true" hidden="false" outlineLevel="0" max="21" min="21" style="0" width="12"/>
    <col collapsed="false" customWidth="true" hidden="false" outlineLevel="0" max="22" min="22" style="0" width="10"/>
    <col collapsed="false" customWidth="true" hidden="false" outlineLevel="0" max="24" min="23" style="0" width="12"/>
    <col collapsed="false" customWidth="true" hidden="false" outlineLevel="0" max="25" min="25" style="0" width="10"/>
    <col collapsed="false" customWidth="true" hidden="false" outlineLevel="0" max="26" min="26" style="0" width="34"/>
  </cols>
  <sheetData>
    <row r="1" customFormat="false" ht="17.35" hidden="false" customHeight="false" outlineLevel="0" collapsed="false">
      <c r="A1" s="1" t="s">
        <v>316</v>
      </c>
    </row>
    <row r="2" customFormat="false" ht="15" hidden="false" customHeight="false" outlineLevel="0" collapsed="false">
      <c r="A2" s="2" t="s">
        <v>317</v>
      </c>
    </row>
    <row r="3" customFormat="false" ht="15" hidden="false" customHeight="false" outlineLevel="0" collapsed="false">
      <c r="T3" s="35" t="s">
        <v>318</v>
      </c>
    </row>
    <row r="4" customFormat="false" ht="36" hidden="false" customHeight="true" outlineLevel="0" collapsed="false">
      <c r="A4" s="3" t="s">
        <v>319</v>
      </c>
      <c r="B4" s="3" t="s">
        <v>320</v>
      </c>
      <c r="C4" s="3" t="s">
        <v>321</v>
      </c>
      <c r="D4" s="3" t="s">
        <v>322</v>
      </c>
      <c r="E4" s="3" t="s">
        <v>323</v>
      </c>
      <c r="F4" s="3" t="s">
        <v>236</v>
      </c>
      <c r="G4" s="3" t="s">
        <v>324</v>
      </c>
      <c r="H4" s="3" t="s">
        <v>325</v>
      </c>
      <c r="I4" s="3" t="s">
        <v>143</v>
      </c>
      <c r="J4" s="3" t="s">
        <v>326</v>
      </c>
      <c r="K4" s="3" t="s">
        <v>327</v>
      </c>
      <c r="L4" s="3" t="s">
        <v>328</v>
      </c>
      <c r="M4" s="3" t="s">
        <v>329</v>
      </c>
      <c r="N4" s="3" t="s">
        <v>330</v>
      </c>
      <c r="O4" s="3" t="s">
        <v>331</v>
      </c>
      <c r="P4" s="3" t="s">
        <v>332</v>
      </c>
      <c r="Q4" s="3" t="s">
        <v>189</v>
      </c>
      <c r="R4" s="3" t="s">
        <v>309</v>
      </c>
      <c r="T4" s="21" t="s">
        <v>121</v>
      </c>
      <c r="U4" s="21" t="s">
        <v>122</v>
      </c>
      <c r="V4" s="21" t="s">
        <v>323</v>
      </c>
      <c r="W4" s="21" t="s">
        <v>125</v>
      </c>
      <c r="X4" s="21" t="s">
        <v>333</v>
      </c>
      <c r="Y4" s="21" t="s">
        <v>334</v>
      </c>
      <c r="Z4" s="21" t="s">
        <v>335</v>
      </c>
    </row>
    <row r="5" customFormat="false" ht="15" hidden="false" customHeight="false" outlineLevel="0" collapsed="false">
      <c r="A5" s="9" t="s">
        <v>336</v>
      </c>
      <c r="B5" s="10" t="s">
        <v>337</v>
      </c>
      <c r="C5" s="36" t="n">
        <v>46307</v>
      </c>
      <c r="D5" s="10" t="s">
        <v>191</v>
      </c>
      <c r="E5" s="4" t="str">
        <f aca="false">IF(D5="","",IFERROR(VLOOKUP(D5,$U$5:$V$34,2,FALSE()),""))</f>
        <v>企劃部</v>
      </c>
      <c r="F5" s="10" t="s">
        <v>241</v>
      </c>
      <c r="G5" s="36" t="n">
        <v>46309</v>
      </c>
      <c r="H5" s="36" t="n">
        <v>46310</v>
      </c>
      <c r="I5" s="13" t="n">
        <v>2</v>
      </c>
      <c r="J5" s="10" t="s">
        <v>338</v>
      </c>
      <c r="K5" s="10" t="s">
        <v>200</v>
      </c>
      <c r="L5" s="10" t="s">
        <v>339</v>
      </c>
      <c r="M5" s="10" t="s">
        <v>340</v>
      </c>
      <c r="N5" s="10" t="s">
        <v>341</v>
      </c>
      <c r="O5" s="10" t="s">
        <v>313</v>
      </c>
      <c r="P5" s="10"/>
      <c r="Q5" s="10"/>
      <c r="R5" s="4" t="str">
        <f aca="false">IF(AND(D5="",F5=""),"",IF(AND(O5="是",P5=""),"請填代辦人",IF(K5="","建議指定職務代理人（非法定要件）",IF(K5=D5,"代理人不可為本人",IF(L5&lt;&gt;"已同意","代理人尚未同意（不影響給假）","")))))</f>
        <v/>
      </c>
      <c r="T5" s="30" t="s">
        <v>190</v>
      </c>
      <c r="U5" s="31" t="s">
        <v>191</v>
      </c>
      <c r="V5" s="31" t="s">
        <v>342</v>
      </c>
      <c r="W5" s="29" t="n">
        <v>42064</v>
      </c>
      <c r="X5" s="29"/>
      <c r="Y5" s="30" t="s">
        <v>343</v>
      </c>
      <c r="Z5" s="31" t="s">
        <v>344</v>
      </c>
    </row>
    <row r="6" customFormat="false" ht="15" hidden="false" customHeight="false" outlineLevel="0" collapsed="false">
      <c r="A6" s="9" t="s">
        <v>345</v>
      </c>
      <c r="B6" s="10" t="s">
        <v>337</v>
      </c>
      <c r="C6" s="36" t="n">
        <v>46301</v>
      </c>
      <c r="D6" s="10" t="s">
        <v>196</v>
      </c>
      <c r="E6" s="4" t="str">
        <f aca="false">IF(D6="","",IFERROR(VLOOKUP(D6,$U$5:$V$34,2,FALSE()),""))</f>
        <v>工程部</v>
      </c>
      <c r="F6" s="10" t="s">
        <v>131</v>
      </c>
      <c r="G6" s="36" t="n">
        <v>46303</v>
      </c>
      <c r="H6" s="36" t="n">
        <v>46303</v>
      </c>
      <c r="I6" s="13" t="n">
        <v>1</v>
      </c>
      <c r="J6" s="10" t="s">
        <v>346</v>
      </c>
      <c r="K6" s="10" t="s">
        <v>191</v>
      </c>
      <c r="L6" s="10" t="s">
        <v>339</v>
      </c>
      <c r="M6" s="10" t="s">
        <v>340</v>
      </c>
      <c r="N6" s="10"/>
      <c r="O6" s="10" t="s">
        <v>313</v>
      </c>
      <c r="P6" s="10"/>
      <c r="Q6" s="10"/>
      <c r="R6" s="4" t="str">
        <f aca="false">IF(AND(D6="",F6=""),"",IF(AND(O6="是",P6=""),"請填代辦人",IF(K6="","建議指定職務代理人（非法定要件）",IF(K6=D6,"代理人不可為本人",IF(L6&lt;&gt;"已同意","代理人尚未同意（不影響給假）","")))))</f>
        <v/>
      </c>
      <c r="T6" s="30" t="s">
        <v>195</v>
      </c>
      <c r="U6" s="31" t="s">
        <v>196</v>
      </c>
      <c r="V6" s="31" t="s">
        <v>347</v>
      </c>
      <c r="W6" s="29" t="n">
        <v>43661</v>
      </c>
      <c r="X6" s="29"/>
      <c r="Y6" s="30" t="s">
        <v>343</v>
      </c>
      <c r="Z6" s="31" t="s">
        <v>348</v>
      </c>
    </row>
    <row r="7" customFormat="false" ht="15" hidden="false" customHeight="false" outlineLevel="0" collapsed="false">
      <c r="A7" s="9" t="s">
        <v>349</v>
      </c>
      <c r="B7" s="10" t="s">
        <v>337</v>
      </c>
      <c r="C7" s="36" t="n">
        <v>46301</v>
      </c>
      <c r="D7" s="10" t="s">
        <v>196</v>
      </c>
      <c r="E7" s="4" t="str">
        <f aca="false">IF(D7="","",IFERROR(VLOOKUP(D7,$U$5:$V$34,2,FALSE()),""))</f>
        <v>工程部</v>
      </c>
      <c r="F7" s="10" t="s">
        <v>79</v>
      </c>
      <c r="G7" s="36" t="n">
        <v>46304</v>
      </c>
      <c r="H7" s="36" t="n">
        <v>46304</v>
      </c>
      <c r="I7" s="13" t="n">
        <v>1</v>
      </c>
      <c r="J7" s="10" t="s">
        <v>350</v>
      </c>
      <c r="K7" s="10" t="s">
        <v>191</v>
      </c>
      <c r="L7" s="10" t="s">
        <v>339</v>
      </c>
      <c r="M7" s="10" t="s">
        <v>340</v>
      </c>
      <c r="N7" s="10"/>
      <c r="O7" s="10" t="s">
        <v>313</v>
      </c>
      <c r="P7" s="10"/>
      <c r="Q7" s="10"/>
      <c r="R7" s="4" t="str">
        <f aca="false">IF(AND(D7="",F7=""),"",IF(AND(O7="是",P7=""),"請填代辦人",IF(K7="","建議指定職務代理人（非法定要件）",IF(K7=D7,"代理人不可為本人",IF(L7&lt;&gt;"已同意","代理人尚未同意（不影響給假）","")))))</f>
        <v/>
      </c>
      <c r="T7" s="30" t="s">
        <v>199</v>
      </c>
      <c r="U7" s="31" t="s">
        <v>200</v>
      </c>
      <c r="V7" s="31" t="s">
        <v>351</v>
      </c>
      <c r="W7" s="29" t="n">
        <v>44200</v>
      </c>
      <c r="X7" s="29"/>
      <c r="Y7" s="30" t="s">
        <v>343</v>
      </c>
      <c r="Z7" s="31" t="s">
        <v>352</v>
      </c>
    </row>
    <row r="8" customFormat="false" ht="15" hidden="false" customHeight="false" outlineLevel="0" collapsed="false">
      <c r="A8" s="10"/>
      <c r="B8" s="10"/>
      <c r="C8" s="36"/>
      <c r="D8" s="10"/>
      <c r="E8" s="4" t="str">
        <f aca="false">IF(D8="","",IFERROR(VLOOKUP(D8,$U$5:$V$34,2,FALSE()),""))</f>
        <v/>
      </c>
      <c r="F8" s="10"/>
      <c r="G8" s="36"/>
      <c r="H8" s="36"/>
      <c r="I8" s="13"/>
      <c r="J8" s="10"/>
      <c r="K8" s="10"/>
      <c r="L8" s="10"/>
      <c r="M8" s="10"/>
      <c r="N8" s="10"/>
      <c r="O8" s="10"/>
      <c r="P8" s="10"/>
      <c r="Q8" s="10"/>
      <c r="R8" s="4" t="str">
        <f aca="false">IF(AND(D8="",F8=""),"",IF(AND(O8="是",P8=""),"請填代辦人",IF(K8="","建議指定職務代理人（非法定要件）",IF(K8=D8,"代理人不可為本人",IF(L8&lt;&gt;"已同意","代理人尚未同意（不影響給假）","")))))</f>
        <v/>
      </c>
      <c r="T8" s="31"/>
      <c r="U8" s="31"/>
      <c r="V8" s="31"/>
      <c r="W8" s="29"/>
      <c r="X8" s="29"/>
      <c r="Y8" s="30"/>
      <c r="Z8" s="31"/>
    </row>
    <row r="9" customFormat="false" ht="15" hidden="false" customHeight="false" outlineLevel="0" collapsed="false">
      <c r="A9" s="10"/>
      <c r="B9" s="10"/>
      <c r="C9" s="36"/>
      <c r="D9" s="10"/>
      <c r="E9" s="4" t="str">
        <f aca="false">IF(D9="","",IFERROR(VLOOKUP(D9,$U$5:$V$34,2,FALSE()),""))</f>
        <v/>
      </c>
      <c r="F9" s="10"/>
      <c r="G9" s="36"/>
      <c r="H9" s="36"/>
      <c r="I9" s="13"/>
      <c r="J9" s="10"/>
      <c r="K9" s="10"/>
      <c r="L9" s="10"/>
      <c r="M9" s="10"/>
      <c r="N9" s="10"/>
      <c r="O9" s="10"/>
      <c r="P9" s="10"/>
      <c r="Q9" s="10"/>
      <c r="R9" s="4" t="str">
        <f aca="false">IF(AND(D9="",F9=""),"",IF(AND(O9="是",P9=""),"請填代辦人",IF(K9="","建議指定職務代理人（非法定要件）",IF(K9=D9,"代理人不可為本人",IF(L9&lt;&gt;"已同意","代理人尚未同意（不影響給假）","")))))</f>
        <v/>
      </c>
      <c r="T9" s="31"/>
      <c r="U9" s="31"/>
      <c r="V9" s="31"/>
      <c r="W9" s="29"/>
      <c r="X9" s="29"/>
      <c r="Y9" s="30"/>
      <c r="Z9" s="31"/>
    </row>
    <row r="10" customFormat="false" ht="15" hidden="false" customHeight="false" outlineLevel="0" collapsed="false">
      <c r="A10" s="10"/>
      <c r="B10" s="10"/>
      <c r="C10" s="36"/>
      <c r="D10" s="10"/>
      <c r="E10" s="4" t="str">
        <f aca="false">IF(D10="","",IFERROR(VLOOKUP(D10,$U$5:$V$34,2,FALSE()),""))</f>
        <v/>
      </c>
      <c r="F10" s="10"/>
      <c r="G10" s="36"/>
      <c r="H10" s="36"/>
      <c r="I10" s="13"/>
      <c r="J10" s="10"/>
      <c r="K10" s="10"/>
      <c r="L10" s="10"/>
      <c r="M10" s="10"/>
      <c r="N10" s="10"/>
      <c r="O10" s="10"/>
      <c r="P10" s="10"/>
      <c r="Q10" s="10"/>
      <c r="R10" s="4" t="str">
        <f aca="false">IF(AND(D10="",F10=""),"",IF(AND(O10="是",P10=""),"請填代辦人",IF(K10="","建議指定職務代理人（非法定要件）",IF(K10=D10,"代理人不可為本人",IF(L10&lt;&gt;"已同意","代理人尚未同意（不影響給假）","")))))</f>
        <v/>
      </c>
      <c r="T10" s="31"/>
      <c r="U10" s="31"/>
      <c r="V10" s="31"/>
      <c r="W10" s="29"/>
      <c r="X10" s="29"/>
      <c r="Y10" s="30"/>
      <c r="Z10" s="31"/>
    </row>
    <row r="11" customFormat="false" ht="15" hidden="false" customHeight="false" outlineLevel="0" collapsed="false">
      <c r="A11" s="10"/>
      <c r="B11" s="10"/>
      <c r="C11" s="36"/>
      <c r="D11" s="10"/>
      <c r="E11" s="4" t="str">
        <f aca="false">IF(D11="","",IFERROR(VLOOKUP(D11,$U$5:$V$34,2,FALSE()),""))</f>
        <v/>
      </c>
      <c r="F11" s="10"/>
      <c r="G11" s="36"/>
      <c r="H11" s="36"/>
      <c r="I11" s="13"/>
      <c r="J11" s="10"/>
      <c r="K11" s="10"/>
      <c r="L11" s="10"/>
      <c r="M11" s="10"/>
      <c r="N11" s="10"/>
      <c r="O11" s="10"/>
      <c r="P11" s="10"/>
      <c r="Q11" s="10"/>
      <c r="R11" s="4" t="str">
        <f aca="false">IF(AND(D11="",F11=""),"",IF(AND(O11="是",P11=""),"請填代辦人",IF(K11="","建議指定職務代理人（非法定要件）",IF(K11=D11,"代理人不可為本人",IF(L11&lt;&gt;"已同意","代理人尚未同意（不影響給假）","")))))</f>
        <v/>
      </c>
      <c r="T11" s="31"/>
      <c r="U11" s="31"/>
      <c r="V11" s="31"/>
      <c r="W11" s="29"/>
      <c r="X11" s="29"/>
      <c r="Y11" s="30"/>
      <c r="Z11" s="31"/>
    </row>
    <row r="12" customFormat="false" ht="15" hidden="false" customHeight="false" outlineLevel="0" collapsed="false">
      <c r="A12" s="10"/>
      <c r="B12" s="10"/>
      <c r="C12" s="36"/>
      <c r="D12" s="10"/>
      <c r="E12" s="4" t="str">
        <f aca="false">IF(D12="","",IFERROR(VLOOKUP(D12,$U$5:$V$34,2,FALSE()),""))</f>
        <v/>
      </c>
      <c r="F12" s="10"/>
      <c r="G12" s="36"/>
      <c r="H12" s="36"/>
      <c r="I12" s="13"/>
      <c r="J12" s="10"/>
      <c r="K12" s="10"/>
      <c r="L12" s="10"/>
      <c r="M12" s="10"/>
      <c r="N12" s="10"/>
      <c r="O12" s="10"/>
      <c r="P12" s="10"/>
      <c r="Q12" s="10"/>
      <c r="R12" s="4" t="str">
        <f aca="false">IF(AND(D12="",F12=""),"",IF(AND(O12="是",P12=""),"請填代辦人",IF(K12="","建議指定職務代理人（非法定要件）",IF(K12=D12,"代理人不可為本人",IF(L12&lt;&gt;"已同意","代理人尚未同意（不影響給假）","")))))</f>
        <v/>
      </c>
      <c r="T12" s="31"/>
      <c r="U12" s="31"/>
      <c r="V12" s="31"/>
      <c r="W12" s="29"/>
      <c r="X12" s="29"/>
      <c r="Y12" s="30"/>
      <c r="Z12" s="31"/>
    </row>
    <row r="13" customFormat="false" ht="15" hidden="false" customHeight="false" outlineLevel="0" collapsed="false">
      <c r="A13" s="10"/>
      <c r="B13" s="10"/>
      <c r="C13" s="36"/>
      <c r="D13" s="10"/>
      <c r="E13" s="4" t="str">
        <f aca="false">IF(D13="","",IFERROR(VLOOKUP(D13,$U$5:$V$34,2,FALSE()),""))</f>
        <v/>
      </c>
      <c r="F13" s="10"/>
      <c r="G13" s="36"/>
      <c r="H13" s="36"/>
      <c r="I13" s="13"/>
      <c r="J13" s="10"/>
      <c r="K13" s="10"/>
      <c r="L13" s="10"/>
      <c r="M13" s="10"/>
      <c r="N13" s="10"/>
      <c r="O13" s="10"/>
      <c r="P13" s="10"/>
      <c r="Q13" s="10"/>
      <c r="R13" s="4" t="str">
        <f aca="false">IF(AND(D13="",F13=""),"",IF(AND(O13="是",P13=""),"請填代辦人",IF(K13="","建議指定職務代理人（非法定要件）",IF(K13=D13,"代理人不可為本人",IF(L13&lt;&gt;"已同意","代理人尚未同意（不影響給假）","")))))</f>
        <v/>
      </c>
      <c r="T13" s="31"/>
      <c r="U13" s="31"/>
      <c r="V13" s="31"/>
      <c r="W13" s="29"/>
      <c r="X13" s="29"/>
      <c r="Y13" s="30"/>
      <c r="Z13" s="31"/>
    </row>
    <row r="14" customFormat="false" ht="15" hidden="false" customHeight="false" outlineLevel="0" collapsed="false">
      <c r="A14" s="10"/>
      <c r="B14" s="10"/>
      <c r="C14" s="36"/>
      <c r="D14" s="10"/>
      <c r="E14" s="4" t="str">
        <f aca="false">IF(D14="","",IFERROR(VLOOKUP(D14,$U$5:$V$34,2,FALSE()),""))</f>
        <v/>
      </c>
      <c r="F14" s="10"/>
      <c r="G14" s="36"/>
      <c r="H14" s="36"/>
      <c r="I14" s="13"/>
      <c r="J14" s="10"/>
      <c r="K14" s="10"/>
      <c r="L14" s="10"/>
      <c r="M14" s="10"/>
      <c r="N14" s="10"/>
      <c r="O14" s="10"/>
      <c r="P14" s="10"/>
      <c r="Q14" s="10"/>
      <c r="R14" s="4" t="str">
        <f aca="false">IF(AND(D14="",F14=""),"",IF(AND(O14="是",P14=""),"請填代辦人",IF(K14="","建議指定職務代理人（非法定要件）",IF(K14=D14,"代理人不可為本人",IF(L14&lt;&gt;"已同意","代理人尚未同意（不影響給假）","")))))</f>
        <v/>
      </c>
      <c r="T14" s="31"/>
      <c r="U14" s="31"/>
      <c r="V14" s="31"/>
      <c r="W14" s="29"/>
      <c r="X14" s="29"/>
      <c r="Y14" s="30"/>
      <c r="Z14" s="31"/>
    </row>
    <row r="15" customFormat="false" ht="15" hidden="false" customHeight="false" outlineLevel="0" collapsed="false">
      <c r="A15" s="10"/>
      <c r="B15" s="10"/>
      <c r="C15" s="36"/>
      <c r="D15" s="10"/>
      <c r="E15" s="4" t="str">
        <f aca="false">IF(D15="","",IFERROR(VLOOKUP(D15,$U$5:$V$34,2,FALSE()),""))</f>
        <v/>
      </c>
      <c r="F15" s="10"/>
      <c r="G15" s="36"/>
      <c r="H15" s="36"/>
      <c r="I15" s="13"/>
      <c r="J15" s="10"/>
      <c r="K15" s="10"/>
      <c r="L15" s="10"/>
      <c r="M15" s="10"/>
      <c r="N15" s="10"/>
      <c r="O15" s="10"/>
      <c r="P15" s="10"/>
      <c r="Q15" s="10"/>
      <c r="R15" s="4" t="str">
        <f aca="false">IF(AND(D15="",F15=""),"",IF(AND(O15="是",P15=""),"請填代辦人",IF(K15="","建議指定職務代理人（非法定要件）",IF(K15=D15,"代理人不可為本人",IF(L15&lt;&gt;"已同意","代理人尚未同意（不影響給假）","")))))</f>
        <v/>
      </c>
      <c r="T15" s="31"/>
      <c r="U15" s="31"/>
      <c r="V15" s="31"/>
      <c r="W15" s="29"/>
      <c r="X15" s="29"/>
      <c r="Y15" s="30"/>
      <c r="Z15" s="31"/>
    </row>
    <row r="16" customFormat="false" ht="15" hidden="false" customHeight="false" outlineLevel="0" collapsed="false">
      <c r="A16" s="10"/>
      <c r="B16" s="10"/>
      <c r="C16" s="36"/>
      <c r="D16" s="10"/>
      <c r="E16" s="4" t="str">
        <f aca="false">IF(D16="","",IFERROR(VLOOKUP(D16,$U$5:$V$34,2,FALSE()),""))</f>
        <v/>
      </c>
      <c r="F16" s="10"/>
      <c r="G16" s="36"/>
      <c r="H16" s="36"/>
      <c r="I16" s="13"/>
      <c r="J16" s="10"/>
      <c r="K16" s="10"/>
      <c r="L16" s="10"/>
      <c r="M16" s="10"/>
      <c r="N16" s="10"/>
      <c r="O16" s="10"/>
      <c r="P16" s="10"/>
      <c r="Q16" s="10"/>
      <c r="R16" s="4" t="str">
        <f aca="false">IF(AND(D16="",F16=""),"",IF(AND(O16="是",P16=""),"請填代辦人",IF(K16="","建議指定職務代理人（非法定要件）",IF(K16=D16,"代理人不可為本人",IF(L16&lt;&gt;"已同意","代理人尚未同意（不影響給假）","")))))</f>
        <v/>
      </c>
      <c r="T16" s="31"/>
      <c r="U16" s="31"/>
      <c r="V16" s="31"/>
      <c r="W16" s="29"/>
      <c r="X16" s="29"/>
      <c r="Y16" s="30"/>
      <c r="Z16" s="31"/>
    </row>
    <row r="17" customFormat="false" ht="15" hidden="false" customHeight="false" outlineLevel="0" collapsed="false">
      <c r="A17" s="10"/>
      <c r="B17" s="10"/>
      <c r="C17" s="36"/>
      <c r="D17" s="10"/>
      <c r="E17" s="4" t="str">
        <f aca="false">IF(D17="","",IFERROR(VLOOKUP(D17,$U$5:$V$34,2,FALSE()),""))</f>
        <v/>
      </c>
      <c r="F17" s="10"/>
      <c r="G17" s="36"/>
      <c r="H17" s="36"/>
      <c r="I17" s="13"/>
      <c r="J17" s="10"/>
      <c r="K17" s="10"/>
      <c r="L17" s="10"/>
      <c r="M17" s="10"/>
      <c r="N17" s="10"/>
      <c r="O17" s="10"/>
      <c r="P17" s="10"/>
      <c r="Q17" s="10"/>
      <c r="R17" s="4" t="str">
        <f aca="false">IF(AND(D17="",F17=""),"",IF(AND(O17="是",P17=""),"請填代辦人",IF(K17="","建議指定職務代理人（非法定要件）",IF(K17=D17,"代理人不可為本人",IF(L17&lt;&gt;"已同意","代理人尚未同意（不影響給假）","")))))</f>
        <v/>
      </c>
      <c r="T17" s="31"/>
      <c r="U17" s="31"/>
      <c r="V17" s="31"/>
      <c r="W17" s="29"/>
      <c r="X17" s="29"/>
      <c r="Y17" s="30"/>
      <c r="Z17" s="31"/>
    </row>
    <row r="18" customFormat="false" ht="15" hidden="false" customHeight="false" outlineLevel="0" collapsed="false">
      <c r="A18" s="10"/>
      <c r="B18" s="10"/>
      <c r="C18" s="36"/>
      <c r="D18" s="10"/>
      <c r="E18" s="4" t="str">
        <f aca="false">IF(D18="","",IFERROR(VLOOKUP(D18,$U$5:$V$34,2,FALSE()),""))</f>
        <v/>
      </c>
      <c r="F18" s="10"/>
      <c r="G18" s="36"/>
      <c r="H18" s="36"/>
      <c r="I18" s="13"/>
      <c r="J18" s="10"/>
      <c r="K18" s="10"/>
      <c r="L18" s="10"/>
      <c r="M18" s="10"/>
      <c r="N18" s="10"/>
      <c r="O18" s="10"/>
      <c r="P18" s="10"/>
      <c r="Q18" s="10"/>
      <c r="R18" s="4" t="str">
        <f aca="false">IF(AND(D18="",F18=""),"",IF(AND(O18="是",P18=""),"請填代辦人",IF(K18="","建議指定職務代理人（非法定要件）",IF(K18=D18,"代理人不可為本人",IF(L18&lt;&gt;"已同意","代理人尚未同意（不影響給假）","")))))</f>
        <v/>
      </c>
      <c r="T18" s="31"/>
      <c r="U18" s="31"/>
      <c r="V18" s="31"/>
      <c r="W18" s="29"/>
      <c r="X18" s="29"/>
      <c r="Y18" s="30"/>
      <c r="Z18" s="31"/>
    </row>
    <row r="19" customFormat="false" ht="15" hidden="false" customHeight="false" outlineLevel="0" collapsed="false">
      <c r="A19" s="10"/>
      <c r="B19" s="10"/>
      <c r="C19" s="36"/>
      <c r="D19" s="10"/>
      <c r="E19" s="4" t="str">
        <f aca="false">IF(D19="","",IFERROR(VLOOKUP(D19,$U$5:$V$34,2,FALSE()),""))</f>
        <v/>
      </c>
      <c r="F19" s="10"/>
      <c r="G19" s="36"/>
      <c r="H19" s="36"/>
      <c r="I19" s="13"/>
      <c r="J19" s="10"/>
      <c r="K19" s="10"/>
      <c r="L19" s="10"/>
      <c r="M19" s="10"/>
      <c r="N19" s="10"/>
      <c r="O19" s="10"/>
      <c r="P19" s="10"/>
      <c r="Q19" s="10"/>
      <c r="R19" s="4" t="str">
        <f aca="false">IF(AND(D19="",F19=""),"",IF(AND(O19="是",P19=""),"請填代辦人",IF(K19="","建議指定職務代理人（非法定要件）",IF(K19=D19,"代理人不可為本人",IF(L19&lt;&gt;"已同意","代理人尚未同意（不影響給假）","")))))</f>
        <v/>
      </c>
      <c r="T19" s="31"/>
      <c r="U19" s="31"/>
      <c r="V19" s="31"/>
      <c r="W19" s="29"/>
      <c r="X19" s="29"/>
      <c r="Y19" s="30"/>
      <c r="Z19" s="31"/>
    </row>
    <row r="20" customFormat="false" ht="15" hidden="false" customHeight="false" outlineLevel="0" collapsed="false">
      <c r="A20" s="10"/>
      <c r="B20" s="10"/>
      <c r="C20" s="36"/>
      <c r="D20" s="10"/>
      <c r="E20" s="4" t="str">
        <f aca="false">IF(D20="","",IFERROR(VLOOKUP(D20,$U$5:$V$34,2,FALSE()),""))</f>
        <v/>
      </c>
      <c r="F20" s="10"/>
      <c r="G20" s="36"/>
      <c r="H20" s="36"/>
      <c r="I20" s="13"/>
      <c r="J20" s="10"/>
      <c r="K20" s="10"/>
      <c r="L20" s="10"/>
      <c r="M20" s="10"/>
      <c r="N20" s="10"/>
      <c r="O20" s="10"/>
      <c r="P20" s="10"/>
      <c r="Q20" s="10"/>
      <c r="R20" s="4" t="str">
        <f aca="false">IF(AND(D20="",F20=""),"",IF(AND(O20="是",P20=""),"請填代辦人",IF(K20="","建議指定職務代理人（非法定要件）",IF(K20=D20,"代理人不可為本人",IF(L20&lt;&gt;"已同意","代理人尚未同意（不影響給假）","")))))</f>
        <v/>
      </c>
      <c r="T20" s="31"/>
      <c r="U20" s="31"/>
      <c r="V20" s="31"/>
      <c r="W20" s="29"/>
      <c r="X20" s="29"/>
      <c r="Y20" s="30"/>
      <c r="Z20" s="31"/>
    </row>
    <row r="21" customFormat="false" ht="15" hidden="false" customHeight="false" outlineLevel="0" collapsed="false">
      <c r="A21" s="10"/>
      <c r="B21" s="10"/>
      <c r="C21" s="36"/>
      <c r="D21" s="10"/>
      <c r="E21" s="4" t="str">
        <f aca="false">IF(D21="","",IFERROR(VLOOKUP(D21,$U$5:$V$34,2,FALSE()),""))</f>
        <v/>
      </c>
      <c r="F21" s="10"/>
      <c r="G21" s="36"/>
      <c r="H21" s="36"/>
      <c r="I21" s="13"/>
      <c r="J21" s="10"/>
      <c r="K21" s="10"/>
      <c r="L21" s="10"/>
      <c r="M21" s="10"/>
      <c r="N21" s="10"/>
      <c r="O21" s="10"/>
      <c r="P21" s="10"/>
      <c r="Q21" s="10"/>
      <c r="R21" s="4" t="str">
        <f aca="false">IF(AND(D21="",F21=""),"",IF(AND(O21="是",P21=""),"請填代辦人",IF(K21="","建議指定職務代理人（非法定要件）",IF(K21=D21,"代理人不可為本人",IF(L21&lt;&gt;"已同意","代理人尚未同意（不影響給假）","")))))</f>
        <v/>
      </c>
      <c r="T21" s="31"/>
      <c r="U21" s="31"/>
      <c r="V21" s="31"/>
      <c r="W21" s="29"/>
      <c r="X21" s="29"/>
      <c r="Y21" s="30"/>
      <c r="Z21" s="31"/>
    </row>
    <row r="22" customFormat="false" ht="15" hidden="false" customHeight="false" outlineLevel="0" collapsed="false">
      <c r="A22" s="10"/>
      <c r="B22" s="10"/>
      <c r="C22" s="36"/>
      <c r="D22" s="10"/>
      <c r="E22" s="4" t="str">
        <f aca="false">IF(D22="","",IFERROR(VLOOKUP(D22,$U$5:$V$34,2,FALSE()),""))</f>
        <v/>
      </c>
      <c r="F22" s="10"/>
      <c r="G22" s="36"/>
      <c r="H22" s="36"/>
      <c r="I22" s="13"/>
      <c r="J22" s="10"/>
      <c r="K22" s="10"/>
      <c r="L22" s="10"/>
      <c r="M22" s="10"/>
      <c r="N22" s="10"/>
      <c r="O22" s="10"/>
      <c r="P22" s="10"/>
      <c r="Q22" s="10"/>
      <c r="R22" s="4" t="str">
        <f aca="false">IF(AND(D22="",F22=""),"",IF(AND(O22="是",P22=""),"請填代辦人",IF(K22="","建議指定職務代理人（非法定要件）",IF(K22=D22,"代理人不可為本人",IF(L22&lt;&gt;"已同意","代理人尚未同意（不影響給假）","")))))</f>
        <v/>
      </c>
      <c r="T22" s="31"/>
      <c r="U22" s="31"/>
      <c r="V22" s="31"/>
      <c r="W22" s="29"/>
      <c r="X22" s="29"/>
      <c r="Y22" s="30"/>
      <c r="Z22" s="31"/>
    </row>
    <row r="23" customFormat="false" ht="15" hidden="false" customHeight="false" outlineLevel="0" collapsed="false">
      <c r="A23" s="10"/>
      <c r="B23" s="10"/>
      <c r="C23" s="36"/>
      <c r="D23" s="10"/>
      <c r="E23" s="4" t="str">
        <f aca="false">IF(D23="","",IFERROR(VLOOKUP(D23,$U$5:$V$34,2,FALSE()),""))</f>
        <v/>
      </c>
      <c r="F23" s="10"/>
      <c r="G23" s="36"/>
      <c r="H23" s="36"/>
      <c r="I23" s="13"/>
      <c r="J23" s="10"/>
      <c r="K23" s="10"/>
      <c r="L23" s="10"/>
      <c r="M23" s="10"/>
      <c r="N23" s="10"/>
      <c r="O23" s="10"/>
      <c r="P23" s="10"/>
      <c r="Q23" s="10"/>
      <c r="R23" s="4" t="str">
        <f aca="false">IF(AND(D23="",F23=""),"",IF(AND(O23="是",P23=""),"請填代辦人",IF(K23="","建議指定職務代理人（非法定要件）",IF(K23=D23,"代理人不可為本人",IF(L23&lt;&gt;"已同意","代理人尚未同意（不影響給假）","")))))</f>
        <v/>
      </c>
      <c r="T23" s="31"/>
      <c r="U23" s="31"/>
      <c r="V23" s="31"/>
      <c r="W23" s="29"/>
      <c r="X23" s="29"/>
      <c r="Y23" s="30"/>
      <c r="Z23" s="31"/>
    </row>
    <row r="24" customFormat="false" ht="15" hidden="false" customHeight="false" outlineLevel="0" collapsed="false">
      <c r="A24" s="10"/>
      <c r="B24" s="10"/>
      <c r="C24" s="36"/>
      <c r="D24" s="10"/>
      <c r="E24" s="4" t="str">
        <f aca="false">IF(D24="","",IFERROR(VLOOKUP(D24,$U$5:$V$34,2,FALSE()),""))</f>
        <v/>
      </c>
      <c r="F24" s="10"/>
      <c r="G24" s="36"/>
      <c r="H24" s="36"/>
      <c r="I24" s="13"/>
      <c r="J24" s="10"/>
      <c r="K24" s="10"/>
      <c r="L24" s="10"/>
      <c r="M24" s="10"/>
      <c r="N24" s="10"/>
      <c r="O24" s="10"/>
      <c r="P24" s="10"/>
      <c r="Q24" s="10"/>
      <c r="R24" s="4" t="str">
        <f aca="false">IF(AND(D24="",F24=""),"",IF(AND(O24="是",P24=""),"請填代辦人",IF(K24="","建議指定職務代理人（非法定要件）",IF(K24=D24,"代理人不可為本人",IF(L24&lt;&gt;"已同意","代理人尚未同意（不影響給假）","")))))</f>
        <v/>
      </c>
      <c r="T24" s="31"/>
      <c r="U24" s="31"/>
      <c r="V24" s="31"/>
      <c r="W24" s="29"/>
      <c r="X24" s="29"/>
      <c r="Y24" s="30"/>
      <c r="Z24" s="31"/>
    </row>
    <row r="25" customFormat="false" ht="15" hidden="false" customHeight="false" outlineLevel="0" collapsed="false">
      <c r="A25" s="10"/>
      <c r="B25" s="10"/>
      <c r="C25" s="36"/>
      <c r="D25" s="10"/>
      <c r="E25" s="4" t="str">
        <f aca="false">IF(D25="","",IFERROR(VLOOKUP(D25,$U$5:$V$34,2,FALSE()),""))</f>
        <v/>
      </c>
      <c r="F25" s="10"/>
      <c r="G25" s="36"/>
      <c r="H25" s="36"/>
      <c r="I25" s="13"/>
      <c r="J25" s="10"/>
      <c r="K25" s="10"/>
      <c r="L25" s="10"/>
      <c r="M25" s="10"/>
      <c r="N25" s="10"/>
      <c r="O25" s="10"/>
      <c r="P25" s="10"/>
      <c r="Q25" s="10"/>
      <c r="R25" s="4" t="str">
        <f aca="false">IF(AND(D25="",F25=""),"",IF(AND(O25="是",P25=""),"請填代辦人",IF(K25="","建議指定職務代理人（非法定要件）",IF(K25=D25,"代理人不可為本人",IF(L25&lt;&gt;"已同意","代理人尚未同意（不影響給假）","")))))</f>
        <v/>
      </c>
      <c r="T25" s="31"/>
      <c r="U25" s="31"/>
      <c r="V25" s="31"/>
      <c r="W25" s="29"/>
      <c r="X25" s="29"/>
      <c r="Y25" s="30"/>
      <c r="Z25" s="31"/>
    </row>
    <row r="26" customFormat="false" ht="15" hidden="false" customHeight="false" outlineLevel="0" collapsed="false">
      <c r="A26" s="10"/>
      <c r="B26" s="10"/>
      <c r="C26" s="36"/>
      <c r="D26" s="10"/>
      <c r="E26" s="4" t="str">
        <f aca="false">IF(D26="","",IFERROR(VLOOKUP(D26,$U$5:$V$34,2,FALSE()),""))</f>
        <v/>
      </c>
      <c r="F26" s="10"/>
      <c r="G26" s="36"/>
      <c r="H26" s="36"/>
      <c r="I26" s="13"/>
      <c r="J26" s="10"/>
      <c r="K26" s="10"/>
      <c r="L26" s="10"/>
      <c r="M26" s="10"/>
      <c r="N26" s="10"/>
      <c r="O26" s="10"/>
      <c r="P26" s="10"/>
      <c r="Q26" s="10"/>
      <c r="R26" s="4" t="str">
        <f aca="false">IF(AND(D26="",F26=""),"",IF(AND(O26="是",P26=""),"請填代辦人",IF(K26="","建議指定職務代理人（非法定要件）",IF(K26=D26,"代理人不可為本人",IF(L26&lt;&gt;"已同意","代理人尚未同意（不影響給假）","")))))</f>
        <v/>
      </c>
      <c r="T26" s="31"/>
      <c r="U26" s="31"/>
      <c r="V26" s="31"/>
      <c r="W26" s="29"/>
      <c r="X26" s="29"/>
      <c r="Y26" s="30"/>
      <c r="Z26" s="31"/>
    </row>
    <row r="27" customFormat="false" ht="15" hidden="false" customHeight="false" outlineLevel="0" collapsed="false">
      <c r="A27" s="10"/>
      <c r="B27" s="10"/>
      <c r="C27" s="36"/>
      <c r="D27" s="10"/>
      <c r="E27" s="4" t="str">
        <f aca="false">IF(D27="","",IFERROR(VLOOKUP(D27,$U$5:$V$34,2,FALSE()),""))</f>
        <v/>
      </c>
      <c r="F27" s="10"/>
      <c r="G27" s="36"/>
      <c r="H27" s="36"/>
      <c r="I27" s="13"/>
      <c r="J27" s="10"/>
      <c r="K27" s="10"/>
      <c r="L27" s="10"/>
      <c r="M27" s="10"/>
      <c r="N27" s="10"/>
      <c r="O27" s="10"/>
      <c r="P27" s="10"/>
      <c r="Q27" s="10"/>
      <c r="R27" s="4" t="str">
        <f aca="false">IF(AND(D27="",F27=""),"",IF(AND(O27="是",P27=""),"請填代辦人",IF(K27="","建議指定職務代理人（非法定要件）",IF(K27=D27,"代理人不可為本人",IF(L27&lt;&gt;"已同意","代理人尚未同意（不影響給假）","")))))</f>
        <v/>
      </c>
      <c r="T27" s="31"/>
      <c r="U27" s="31"/>
      <c r="V27" s="31"/>
      <c r="W27" s="29"/>
      <c r="X27" s="29"/>
      <c r="Y27" s="30"/>
      <c r="Z27" s="31"/>
    </row>
    <row r="28" customFormat="false" ht="15" hidden="false" customHeight="false" outlineLevel="0" collapsed="false">
      <c r="A28" s="10"/>
      <c r="B28" s="10"/>
      <c r="C28" s="36"/>
      <c r="D28" s="10"/>
      <c r="E28" s="4" t="str">
        <f aca="false">IF(D28="","",IFERROR(VLOOKUP(D28,$U$5:$V$34,2,FALSE()),""))</f>
        <v/>
      </c>
      <c r="F28" s="10"/>
      <c r="G28" s="36"/>
      <c r="H28" s="36"/>
      <c r="I28" s="13"/>
      <c r="J28" s="10"/>
      <c r="K28" s="10"/>
      <c r="L28" s="10"/>
      <c r="M28" s="10"/>
      <c r="N28" s="10"/>
      <c r="O28" s="10"/>
      <c r="P28" s="10"/>
      <c r="Q28" s="10"/>
      <c r="R28" s="4" t="str">
        <f aca="false">IF(AND(D28="",F28=""),"",IF(AND(O28="是",P28=""),"請填代辦人",IF(K28="","建議指定職務代理人（非法定要件）",IF(K28=D28,"代理人不可為本人",IF(L28&lt;&gt;"已同意","代理人尚未同意（不影響給假）","")))))</f>
        <v/>
      </c>
      <c r="T28" s="31"/>
      <c r="U28" s="31"/>
      <c r="V28" s="31"/>
      <c r="W28" s="29"/>
      <c r="X28" s="29"/>
      <c r="Y28" s="30"/>
      <c r="Z28" s="31"/>
    </row>
    <row r="29" customFormat="false" ht="15" hidden="false" customHeight="false" outlineLevel="0" collapsed="false">
      <c r="A29" s="10"/>
      <c r="B29" s="10"/>
      <c r="C29" s="36"/>
      <c r="D29" s="10"/>
      <c r="E29" s="4" t="str">
        <f aca="false">IF(D29="","",IFERROR(VLOOKUP(D29,$U$5:$V$34,2,FALSE()),""))</f>
        <v/>
      </c>
      <c r="F29" s="10"/>
      <c r="G29" s="36"/>
      <c r="H29" s="36"/>
      <c r="I29" s="13"/>
      <c r="J29" s="10"/>
      <c r="K29" s="10"/>
      <c r="L29" s="10"/>
      <c r="M29" s="10"/>
      <c r="N29" s="10"/>
      <c r="O29" s="10"/>
      <c r="P29" s="10"/>
      <c r="Q29" s="10"/>
      <c r="R29" s="4" t="str">
        <f aca="false">IF(AND(D29="",F29=""),"",IF(AND(O29="是",P29=""),"請填代辦人",IF(K29="","建議指定職務代理人（非法定要件）",IF(K29=D29,"代理人不可為本人",IF(L29&lt;&gt;"已同意","代理人尚未同意（不影響給假）","")))))</f>
        <v/>
      </c>
      <c r="T29" s="31"/>
      <c r="U29" s="31"/>
      <c r="V29" s="31"/>
      <c r="W29" s="29"/>
      <c r="X29" s="29"/>
      <c r="Y29" s="30"/>
      <c r="Z29" s="31"/>
    </row>
    <row r="30" customFormat="false" ht="15" hidden="false" customHeight="false" outlineLevel="0" collapsed="false">
      <c r="A30" s="10"/>
      <c r="B30" s="10"/>
      <c r="C30" s="36"/>
      <c r="D30" s="10"/>
      <c r="E30" s="4" t="str">
        <f aca="false">IF(D30="","",IFERROR(VLOOKUP(D30,$U$5:$V$34,2,FALSE()),""))</f>
        <v/>
      </c>
      <c r="F30" s="10"/>
      <c r="G30" s="36"/>
      <c r="H30" s="36"/>
      <c r="I30" s="13"/>
      <c r="J30" s="10"/>
      <c r="K30" s="10"/>
      <c r="L30" s="10"/>
      <c r="M30" s="10"/>
      <c r="N30" s="10"/>
      <c r="O30" s="10"/>
      <c r="P30" s="10"/>
      <c r="Q30" s="10"/>
      <c r="R30" s="4" t="str">
        <f aca="false">IF(AND(D30="",F30=""),"",IF(AND(O30="是",P30=""),"請填代辦人",IF(K30="","建議指定職務代理人（非法定要件）",IF(K30=D30,"代理人不可為本人",IF(L30&lt;&gt;"已同意","代理人尚未同意（不影響給假）","")))))</f>
        <v/>
      </c>
      <c r="T30" s="31"/>
      <c r="U30" s="31"/>
      <c r="V30" s="31"/>
      <c r="W30" s="29"/>
      <c r="X30" s="29"/>
      <c r="Y30" s="30"/>
      <c r="Z30" s="31"/>
    </row>
    <row r="31" customFormat="false" ht="15" hidden="false" customHeight="false" outlineLevel="0" collapsed="false">
      <c r="A31" s="10"/>
      <c r="B31" s="10"/>
      <c r="C31" s="36"/>
      <c r="D31" s="10"/>
      <c r="E31" s="4" t="str">
        <f aca="false">IF(D31="","",IFERROR(VLOOKUP(D31,$U$5:$V$34,2,FALSE()),""))</f>
        <v/>
      </c>
      <c r="F31" s="10"/>
      <c r="G31" s="36"/>
      <c r="H31" s="36"/>
      <c r="I31" s="13"/>
      <c r="J31" s="10"/>
      <c r="K31" s="10"/>
      <c r="L31" s="10"/>
      <c r="M31" s="10"/>
      <c r="N31" s="10"/>
      <c r="O31" s="10"/>
      <c r="P31" s="10"/>
      <c r="Q31" s="10"/>
      <c r="R31" s="4" t="str">
        <f aca="false">IF(AND(D31="",F31=""),"",IF(AND(O31="是",P31=""),"請填代辦人",IF(K31="","建議指定職務代理人（非法定要件）",IF(K31=D31,"代理人不可為本人",IF(L31&lt;&gt;"已同意","代理人尚未同意（不影響給假）","")))))</f>
        <v/>
      </c>
      <c r="T31" s="31"/>
      <c r="U31" s="31"/>
      <c r="V31" s="31"/>
      <c r="W31" s="29"/>
      <c r="X31" s="29"/>
      <c r="Y31" s="30"/>
      <c r="Z31" s="31"/>
    </row>
    <row r="32" customFormat="false" ht="15" hidden="false" customHeight="false" outlineLevel="0" collapsed="false">
      <c r="A32" s="10"/>
      <c r="B32" s="10"/>
      <c r="C32" s="36"/>
      <c r="D32" s="10"/>
      <c r="E32" s="4" t="str">
        <f aca="false">IF(D32="","",IFERROR(VLOOKUP(D32,$U$5:$V$34,2,FALSE()),""))</f>
        <v/>
      </c>
      <c r="F32" s="10"/>
      <c r="G32" s="36"/>
      <c r="H32" s="36"/>
      <c r="I32" s="13"/>
      <c r="J32" s="10"/>
      <c r="K32" s="10"/>
      <c r="L32" s="10"/>
      <c r="M32" s="10"/>
      <c r="N32" s="10"/>
      <c r="O32" s="10"/>
      <c r="P32" s="10"/>
      <c r="Q32" s="10"/>
      <c r="R32" s="4" t="str">
        <f aca="false">IF(AND(D32="",F32=""),"",IF(AND(O32="是",P32=""),"請填代辦人",IF(K32="","建議指定職務代理人（非法定要件）",IF(K32=D32,"代理人不可為本人",IF(L32&lt;&gt;"已同意","代理人尚未同意（不影響給假）","")))))</f>
        <v/>
      </c>
      <c r="T32" s="31"/>
      <c r="U32" s="31"/>
      <c r="V32" s="31"/>
      <c r="W32" s="29"/>
      <c r="X32" s="29"/>
      <c r="Y32" s="30"/>
      <c r="Z32" s="31"/>
    </row>
    <row r="33" customFormat="false" ht="15" hidden="false" customHeight="false" outlineLevel="0" collapsed="false">
      <c r="A33" s="10"/>
      <c r="B33" s="10"/>
      <c r="C33" s="36"/>
      <c r="D33" s="10"/>
      <c r="E33" s="4" t="str">
        <f aca="false">IF(D33="","",IFERROR(VLOOKUP(D33,$U$5:$V$34,2,FALSE()),""))</f>
        <v/>
      </c>
      <c r="F33" s="10"/>
      <c r="G33" s="36"/>
      <c r="H33" s="36"/>
      <c r="I33" s="13"/>
      <c r="J33" s="10"/>
      <c r="K33" s="10"/>
      <c r="L33" s="10"/>
      <c r="M33" s="10"/>
      <c r="N33" s="10"/>
      <c r="O33" s="10"/>
      <c r="P33" s="10"/>
      <c r="Q33" s="10"/>
      <c r="R33" s="4" t="str">
        <f aca="false">IF(AND(D33="",F33=""),"",IF(AND(O33="是",P33=""),"請填代辦人",IF(K33="","建議指定職務代理人（非法定要件）",IF(K33=D33,"代理人不可為本人",IF(L33&lt;&gt;"已同意","代理人尚未同意（不影響給假）","")))))</f>
        <v/>
      </c>
      <c r="T33" s="31"/>
      <c r="U33" s="31"/>
      <c r="V33" s="31"/>
      <c r="W33" s="29"/>
      <c r="X33" s="29"/>
      <c r="Y33" s="30"/>
      <c r="Z33" s="31"/>
    </row>
    <row r="34" customFormat="false" ht="15" hidden="false" customHeight="false" outlineLevel="0" collapsed="false">
      <c r="A34" s="10"/>
      <c r="B34" s="10"/>
      <c r="C34" s="36"/>
      <c r="D34" s="10"/>
      <c r="E34" s="4" t="str">
        <f aca="false">IF(D34="","",IFERROR(VLOOKUP(D34,$U$5:$V$34,2,FALSE()),""))</f>
        <v/>
      </c>
      <c r="F34" s="10"/>
      <c r="G34" s="36"/>
      <c r="H34" s="36"/>
      <c r="I34" s="13"/>
      <c r="J34" s="10"/>
      <c r="K34" s="10"/>
      <c r="L34" s="10"/>
      <c r="M34" s="10"/>
      <c r="N34" s="10"/>
      <c r="O34" s="10"/>
      <c r="P34" s="10"/>
      <c r="Q34" s="10"/>
      <c r="R34" s="4" t="str">
        <f aca="false">IF(AND(D34="",F34=""),"",IF(AND(O34="是",P34=""),"請填代辦人",IF(K34="","建議指定職務代理人（非法定要件）",IF(K34=D34,"代理人不可為本人",IF(L34&lt;&gt;"已同意","代理人尚未同意（不影響給假）","")))))</f>
        <v/>
      </c>
      <c r="T34" s="31"/>
      <c r="U34" s="31"/>
      <c r="V34" s="31"/>
      <c r="W34" s="29"/>
      <c r="X34" s="29"/>
      <c r="Y34" s="30"/>
      <c r="Z34" s="31"/>
    </row>
    <row r="35" customFormat="false" ht="15" hidden="false" customHeight="false" outlineLevel="0" collapsed="false">
      <c r="A35" s="10"/>
      <c r="B35" s="10"/>
      <c r="C35" s="36"/>
      <c r="D35" s="10"/>
      <c r="E35" s="4" t="str">
        <f aca="false">IF(D35="","",IFERROR(VLOOKUP(D35,$U$5:$V$34,2,FALSE()),""))</f>
        <v/>
      </c>
      <c r="F35" s="10"/>
      <c r="G35" s="36"/>
      <c r="H35" s="36"/>
      <c r="I35" s="13"/>
      <c r="J35" s="10"/>
      <c r="K35" s="10"/>
      <c r="L35" s="10"/>
      <c r="M35" s="10"/>
      <c r="N35" s="10"/>
      <c r="O35" s="10"/>
      <c r="P35" s="10"/>
      <c r="Q35" s="10"/>
      <c r="R35" s="4" t="str">
        <f aca="false">IF(AND(D35="",F35=""),"",IF(AND(O35="是",P35=""),"請填代辦人",IF(K35="","建議指定職務代理人（非法定要件）",IF(K35=D35,"代理人不可為本人",IF(L35&lt;&gt;"已同意","代理人尚未同意（不影響給假）","")))))</f>
        <v/>
      </c>
    </row>
    <row r="36" customFormat="false" ht="15" hidden="false" customHeight="false" outlineLevel="0" collapsed="false">
      <c r="A36" s="10"/>
      <c r="B36" s="10"/>
      <c r="C36" s="36"/>
      <c r="D36" s="10"/>
      <c r="E36" s="4" t="str">
        <f aca="false">IF(D36="","",IFERROR(VLOOKUP(D36,$U$5:$V$34,2,FALSE()),""))</f>
        <v/>
      </c>
      <c r="F36" s="10"/>
      <c r="G36" s="36"/>
      <c r="H36" s="36"/>
      <c r="I36" s="13"/>
      <c r="J36" s="10"/>
      <c r="K36" s="10"/>
      <c r="L36" s="10"/>
      <c r="M36" s="10"/>
      <c r="N36" s="10"/>
      <c r="O36" s="10"/>
      <c r="P36" s="10"/>
      <c r="Q36" s="10"/>
      <c r="R36" s="4" t="str">
        <f aca="false">IF(AND(D36="",F36=""),"",IF(AND(O36="是",P36=""),"請填代辦人",IF(K36="","建議指定職務代理人（非法定要件）",IF(K36=D36,"代理人不可為本人",IF(L36&lt;&gt;"已同意","代理人尚未同意（不影響給假）","")))))</f>
        <v/>
      </c>
    </row>
    <row r="37" customFormat="false" ht="15" hidden="false" customHeight="false" outlineLevel="0" collapsed="false">
      <c r="A37" s="10"/>
      <c r="B37" s="10"/>
      <c r="C37" s="36"/>
      <c r="D37" s="10"/>
      <c r="E37" s="4" t="str">
        <f aca="false">IF(D37="","",IFERROR(VLOOKUP(D37,$U$5:$V$34,2,FALSE()),""))</f>
        <v/>
      </c>
      <c r="F37" s="10"/>
      <c r="G37" s="36"/>
      <c r="H37" s="36"/>
      <c r="I37" s="13"/>
      <c r="J37" s="10"/>
      <c r="K37" s="10"/>
      <c r="L37" s="10"/>
      <c r="M37" s="10"/>
      <c r="N37" s="10"/>
      <c r="O37" s="10"/>
      <c r="P37" s="10"/>
      <c r="Q37" s="10"/>
      <c r="R37" s="4" t="str">
        <f aca="false">IF(AND(D37="",F37=""),"",IF(AND(O37="是",P37=""),"請填代辦人",IF(K37="","建議指定職務代理人（非法定要件）",IF(K37=D37,"代理人不可為本人",IF(L37&lt;&gt;"已同意","代理人尚未同意（不影響給假）","")))))</f>
        <v/>
      </c>
    </row>
    <row r="38" customFormat="false" ht="15" hidden="false" customHeight="false" outlineLevel="0" collapsed="false">
      <c r="A38" s="10"/>
      <c r="B38" s="10"/>
      <c r="C38" s="36"/>
      <c r="D38" s="10"/>
      <c r="E38" s="4" t="str">
        <f aca="false">IF(D38="","",IFERROR(VLOOKUP(D38,$U$5:$V$34,2,FALSE()),""))</f>
        <v/>
      </c>
      <c r="F38" s="10"/>
      <c r="G38" s="36"/>
      <c r="H38" s="36"/>
      <c r="I38" s="13"/>
      <c r="J38" s="10"/>
      <c r="K38" s="10"/>
      <c r="L38" s="10"/>
      <c r="M38" s="10"/>
      <c r="N38" s="10"/>
      <c r="O38" s="10"/>
      <c r="P38" s="10"/>
      <c r="Q38" s="10"/>
      <c r="R38" s="4" t="str">
        <f aca="false">IF(AND(D38="",F38=""),"",IF(AND(O38="是",P38=""),"請填代辦人",IF(K38="","建議指定職務代理人（非法定要件）",IF(K38=D38,"代理人不可為本人",IF(L38&lt;&gt;"已同意","代理人尚未同意（不影響給假）","")))))</f>
        <v/>
      </c>
    </row>
    <row r="39" customFormat="false" ht="15" hidden="false" customHeight="false" outlineLevel="0" collapsed="false">
      <c r="A39" s="10"/>
      <c r="B39" s="10"/>
      <c r="C39" s="36"/>
      <c r="D39" s="10"/>
      <c r="E39" s="4" t="str">
        <f aca="false">IF(D39="","",IFERROR(VLOOKUP(D39,$U$5:$V$34,2,FALSE()),""))</f>
        <v/>
      </c>
      <c r="F39" s="10"/>
      <c r="G39" s="36"/>
      <c r="H39" s="36"/>
      <c r="I39" s="13"/>
      <c r="J39" s="10"/>
      <c r="K39" s="10"/>
      <c r="L39" s="10"/>
      <c r="M39" s="10"/>
      <c r="N39" s="10"/>
      <c r="O39" s="10"/>
      <c r="P39" s="10"/>
      <c r="Q39" s="10"/>
      <c r="R39" s="4" t="str">
        <f aca="false">IF(AND(D39="",F39=""),"",IF(AND(O39="是",P39=""),"請填代辦人",IF(K39="","建議指定職務代理人（非法定要件）",IF(K39=D39,"代理人不可為本人",IF(L39&lt;&gt;"已同意","代理人尚未同意（不影響給假）","")))))</f>
        <v/>
      </c>
    </row>
    <row r="40" customFormat="false" ht="15" hidden="false" customHeight="false" outlineLevel="0" collapsed="false">
      <c r="A40" s="10"/>
      <c r="B40" s="10"/>
      <c r="C40" s="36"/>
      <c r="D40" s="10"/>
      <c r="E40" s="4" t="str">
        <f aca="false">IF(D40="","",IFERROR(VLOOKUP(D40,$U$5:$V$34,2,FALSE()),""))</f>
        <v/>
      </c>
      <c r="F40" s="10"/>
      <c r="G40" s="36"/>
      <c r="H40" s="36"/>
      <c r="I40" s="13"/>
      <c r="J40" s="10"/>
      <c r="K40" s="10"/>
      <c r="L40" s="10"/>
      <c r="M40" s="10"/>
      <c r="N40" s="10"/>
      <c r="O40" s="10"/>
      <c r="P40" s="10"/>
      <c r="Q40" s="10"/>
      <c r="R40" s="4" t="str">
        <f aca="false">IF(AND(D40="",F40=""),"",IF(AND(O40="是",P40=""),"請填代辦人",IF(K40="","建議指定職務代理人（非法定要件）",IF(K40=D40,"代理人不可為本人",IF(L40&lt;&gt;"已同意","代理人尚未同意（不影響給假）","")))))</f>
        <v/>
      </c>
    </row>
    <row r="41" customFormat="false" ht="15" hidden="false" customHeight="false" outlineLevel="0" collapsed="false">
      <c r="A41" s="10"/>
      <c r="B41" s="10"/>
      <c r="C41" s="36"/>
      <c r="D41" s="10"/>
      <c r="E41" s="4" t="str">
        <f aca="false">IF(D41="","",IFERROR(VLOOKUP(D41,$U$5:$V$34,2,FALSE()),""))</f>
        <v/>
      </c>
      <c r="F41" s="10"/>
      <c r="G41" s="36"/>
      <c r="H41" s="36"/>
      <c r="I41" s="13"/>
      <c r="J41" s="10"/>
      <c r="K41" s="10"/>
      <c r="L41" s="10"/>
      <c r="M41" s="10"/>
      <c r="N41" s="10"/>
      <c r="O41" s="10"/>
      <c r="P41" s="10"/>
      <c r="Q41" s="10"/>
      <c r="R41" s="4" t="str">
        <f aca="false">IF(AND(D41="",F41=""),"",IF(AND(O41="是",P41=""),"請填代辦人",IF(K41="","建議指定職務代理人（非法定要件）",IF(K41=D41,"代理人不可為本人",IF(L41&lt;&gt;"已同意","代理人尚未同意（不影響給假）","")))))</f>
        <v/>
      </c>
    </row>
    <row r="42" customFormat="false" ht="15" hidden="false" customHeight="false" outlineLevel="0" collapsed="false">
      <c r="A42" s="10"/>
      <c r="B42" s="10"/>
      <c r="C42" s="36"/>
      <c r="D42" s="10"/>
      <c r="E42" s="4" t="str">
        <f aca="false">IF(D42="","",IFERROR(VLOOKUP(D42,$U$5:$V$34,2,FALSE()),""))</f>
        <v/>
      </c>
      <c r="F42" s="10"/>
      <c r="G42" s="36"/>
      <c r="H42" s="36"/>
      <c r="I42" s="13"/>
      <c r="J42" s="10"/>
      <c r="K42" s="10"/>
      <c r="L42" s="10"/>
      <c r="M42" s="10"/>
      <c r="N42" s="10"/>
      <c r="O42" s="10"/>
      <c r="P42" s="10"/>
      <c r="Q42" s="10"/>
      <c r="R42" s="4" t="str">
        <f aca="false">IF(AND(D42="",F42=""),"",IF(AND(O42="是",P42=""),"請填代辦人",IF(K42="","建議指定職務代理人（非法定要件）",IF(K42=D42,"代理人不可為本人",IF(L42&lt;&gt;"已同意","代理人尚未同意（不影響給假）","")))))</f>
        <v/>
      </c>
    </row>
    <row r="43" customFormat="false" ht="15" hidden="false" customHeight="false" outlineLevel="0" collapsed="false">
      <c r="A43" s="10"/>
      <c r="B43" s="10"/>
      <c r="C43" s="36"/>
      <c r="D43" s="10"/>
      <c r="E43" s="4" t="str">
        <f aca="false">IF(D43="","",IFERROR(VLOOKUP(D43,$U$5:$V$34,2,FALSE()),""))</f>
        <v/>
      </c>
      <c r="F43" s="10"/>
      <c r="G43" s="36"/>
      <c r="H43" s="36"/>
      <c r="I43" s="13"/>
      <c r="J43" s="10"/>
      <c r="K43" s="10"/>
      <c r="L43" s="10"/>
      <c r="M43" s="10"/>
      <c r="N43" s="10"/>
      <c r="O43" s="10"/>
      <c r="P43" s="10"/>
      <c r="Q43" s="10"/>
      <c r="R43" s="4" t="str">
        <f aca="false">IF(AND(D43="",F43=""),"",IF(AND(O43="是",P43=""),"請填代辦人",IF(K43="","建議指定職務代理人（非法定要件）",IF(K43=D43,"代理人不可為本人",IF(L43&lt;&gt;"已同意","代理人尚未同意（不影響給假）","")))))</f>
        <v/>
      </c>
    </row>
    <row r="44" customFormat="false" ht="15" hidden="false" customHeight="false" outlineLevel="0" collapsed="false">
      <c r="A44" s="10"/>
      <c r="B44" s="10"/>
      <c r="C44" s="36"/>
      <c r="D44" s="10"/>
      <c r="E44" s="4" t="str">
        <f aca="false">IF(D44="","",IFERROR(VLOOKUP(D44,$U$5:$V$34,2,FALSE()),""))</f>
        <v/>
      </c>
      <c r="F44" s="10"/>
      <c r="G44" s="36"/>
      <c r="H44" s="36"/>
      <c r="I44" s="13"/>
      <c r="J44" s="10"/>
      <c r="K44" s="10"/>
      <c r="L44" s="10"/>
      <c r="M44" s="10"/>
      <c r="N44" s="10"/>
      <c r="O44" s="10"/>
      <c r="P44" s="10"/>
      <c r="Q44" s="10"/>
      <c r="R44" s="4" t="str">
        <f aca="false">IF(AND(D44="",F44=""),"",IF(AND(O44="是",P44=""),"請填代辦人",IF(K44="","建議指定職務代理人（非法定要件）",IF(K44=D44,"代理人不可為本人",IF(L44&lt;&gt;"已同意","代理人尚未同意（不影響給假）","")))))</f>
        <v/>
      </c>
    </row>
    <row r="45" customFormat="false" ht="15" hidden="false" customHeight="false" outlineLevel="0" collapsed="false">
      <c r="A45" s="10"/>
      <c r="B45" s="10"/>
      <c r="C45" s="36"/>
      <c r="D45" s="10"/>
      <c r="E45" s="4" t="str">
        <f aca="false">IF(D45="","",IFERROR(VLOOKUP(D45,$U$5:$V$34,2,FALSE()),""))</f>
        <v/>
      </c>
      <c r="F45" s="10"/>
      <c r="G45" s="36"/>
      <c r="H45" s="36"/>
      <c r="I45" s="13"/>
      <c r="J45" s="10"/>
      <c r="K45" s="10"/>
      <c r="L45" s="10"/>
      <c r="M45" s="10"/>
      <c r="N45" s="10"/>
      <c r="O45" s="10"/>
      <c r="P45" s="10"/>
      <c r="Q45" s="10"/>
      <c r="R45" s="4" t="str">
        <f aca="false">IF(AND(D45="",F45=""),"",IF(AND(O45="是",P45=""),"請填代辦人",IF(K45="","建議指定職務代理人（非法定要件）",IF(K45=D45,"代理人不可為本人",IF(L45&lt;&gt;"已同意","代理人尚未同意（不影響給假）","")))))</f>
        <v/>
      </c>
    </row>
    <row r="46" customFormat="false" ht="15" hidden="false" customHeight="false" outlineLevel="0" collapsed="false">
      <c r="A46" s="10"/>
      <c r="B46" s="10"/>
      <c r="C46" s="36"/>
      <c r="D46" s="10"/>
      <c r="E46" s="4" t="str">
        <f aca="false">IF(D46="","",IFERROR(VLOOKUP(D46,$U$5:$V$34,2,FALSE()),""))</f>
        <v/>
      </c>
      <c r="F46" s="10"/>
      <c r="G46" s="36"/>
      <c r="H46" s="36"/>
      <c r="I46" s="13"/>
      <c r="J46" s="10"/>
      <c r="K46" s="10"/>
      <c r="L46" s="10"/>
      <c r="M46" s="10"/>
      <c r="N46" s="10"/>
      <c r="O46" s="10"/>
      <c r="P46" s="10"/>
      <c r="Q46" s="10"/>
      <c r="R46" s="4" t="str">
        <f aca="false">IF(AND(D46="",F46=""),"",IF(AND(O46="是",P46=""),"請填代辦人",IF(K46="","建議指定職務代理人（非法定要件）",IF(K46=D46,"代理人不可為本人",IF(L46&lt;&gt;"已同意","代理人尚未同意（不影響給假）","")))))</f>
        <v/>
      </c>
    </row>
    <row r="47" customFormat="false" ht="15" hidden="false" customHeight="false" outlineLevel="0" collapsed="false">
      <c r="A47" s="10"/>
      <c r="B47" s="10"/>
      <c r="C47" s="36"/>
      <c r="D47" s="10"/>
      <c r="E47" s="4" t="str">
        <f aca="false">IF(D47="","",IFERROR(VLOOKUP(D47,$U$5:$V$34,2,FALSE()),""))</f>
        <v/>
      </c>
      <c r="F47" s="10"/>
      <c r="G47" s="36"/>
      <c r="H47" s="36"/>
      <c r="I47" s="13"/>
      <c r="J47" s="10"/>
      <c r="K47" s="10"/>
      <c r="L47" s="10"/>
      <c r="M47" s="10"/>
      <c r="N47" s="10"/>
      <c r="O47" s="10"/>
      <c r="P47" s="10"/>
      <c r="Q47" s="10"/>
      <c r="R47" s="4" t="str">
        <f aca="false">IF(AND(D47="",F47=""),"",IF(AND(O47="是",P47=""),"請填代辦人",IF(K47="","建議指定職務代理人（非法定要件）",IF(K47=D47,"代理人不可為本人",IF(L47&lt;&gt;"已同意","代理人尚未同意（不影響給假）","")))))</f>
        <v/>
      </c>
    </row>
    <row r="48" customFormat="false" ht="15" hidden="false" customHeight="false" outlineLevel="0" collapsed="false">
      <c r="A48" s="10"/>
      <c r="B48" s="10"/>
      <c r="C48" s="36"/>
      <c r="D48" s="10"/>
      <c r="E48" s="4" t="str">
        <f aca="false">IF(D48="","",IFERROR(VLOOKUP(D48,$U$5:$V$34,2,FALSE()),""))</f>
        <v/>
      </c>
      <c r="F48" s="10"/>
      <c r="G48" s="36"/>
      <c r="H48" s="36"/>
      <c r="I48" s="13"/>
      <c r="J48" s="10"/>
      <c r="K48" s="10"/>
      <c r="L48" s="10"/>
      <c r="M48" s="10"/>
      <c r="N48" s="10"/>
      <c r="O48" s="10"/>
      <c r="P48" s="10"/>
      <c r="Q48" s="10"/>
      <c r="R48" s="4" t="str">
        <f aca="false">IF(AND(D48="",F48=""),"",IF(AND(O48="是",P48=""),"請填代辦人",IF(K48="","建議指定職務代理人（非法定要件）",IF(K48=D48,"代理人不可為本人",IF(L48&lt;&gt;"已同意","代理人尚未同意（不影響給假）","")))))</f>
        <v/>
      </c>
    </row>
    <row r="49" customFormat="false" ht="15" hidden="false" customHeight="false" outlineLevel="0" collapsed="false">
      <c r="A49" s="10"/>
      <c r="B49" s="10"/>
      <c r="C49" s="36"/>
      <c r="D49" s="10"/>
      <c r="E49" s="4" t="str">
        <f aca="false">IF(D49="","",IFERROR(VLOOKUP(D49,$U$5:$V$34,2,FALSE()),""))</f>
        <v/>
      </c>
      <c r="F49" s="10"/>
      <c r="G49" s="36"/>
      <c r="H49" s="36"/>
      <c r="I49" s="13"/>
      <c r="J49" s="10"/>
      <c r="K49" s="10"/>
      <c r="L49" s="10"/>
      <c r="M49" s="10"/>
      <c r="N49" s="10"/>
      <c r="O49" s="10"/>
      <c r="P49" s="10"/>
      <c r="Q49" s="10"/>
      <c r="R49" s="4" t="str">
        <f aca="false">IF(AND(D49="",F49=""),"",IF(AND(O49="是",P49=""),"請填代辦人",IF(K49="","建議指定職務代理人（非法定要件）",IF(K49=D49,"代理人不可為本人",IF(L49&lt;&gt;"已同意","代理人尚未同意（不影響給假）","")))))</f>
        <v/>
      </c>
    </row>
    <row r="50" customFormat="false" ht="15" hidden="false" customHeight="false" outlineLevel="0" collapsed="false">
      <c r="A50" s="10"/>
      <c r="B50" s="10"/>
      <c r="C50" s="36"/>
      <c r="D50" s="10"/>
      <c r="E50" s="4" t="str">
        <f aca="false">IF(D50="","",IFERROR(VLOOKUP(D50,$U$5:$V$34,2,FALSE()),""))</f>
        <v/>
      </c>
      <c r="F50" s="10"/>
      <c r="G50" s="36"/>
      <c r="H50" s="36"/>
      <c r="I50" s="13"/>
      <c r="J50" s="10"/>
      <c r="K50" s="10"/>
      <c r="L50" s="10"/>
      <c r="M50" s="10"/>
      <c r="N50" s="10"/>
      <c r="O50" s="10"/>
      <c r="P50" s="10"/>
      <c r="Q50" s="10"/>
      <c r="R50" s="4" t="str">
        <f aca="false">IF(AND(D50="",F50=""),"",IF(AND(O50="是",P50=""),"請填代辦人",IF(K50="","建議指定職務代理人（非法定要件）",IF(K50=D50,"代理人不可為本人",IF(L50&lt;&gt;"已同意","代理人尚未同意（不影響給假）","")))))</f>
        <v/>
      </c>
    </row>
    <row r="51" customFormat="false" ht="15" hidden="false" customHeight="false" outlineLevel="0" collapsed="false">
      <c r="A51" s="10"/>
      <c r="B51" s="10"/>
      <c r="C51" s="36"/>
      <c r="D51" s="10"/>
      <c r="E51" s="4" t="str">
        <f aca="false">IF(D51="","",IFERROR(VLOOKUP(D51,$U$5:$V$34,2,FALSE()),""))</f>
        <v/>
      </c>
      <c r="F51" s="10"/>
      <c r="G51" s="36"/>
      <c r="H51" s="36"/>
      <c r="I51" s="13"/>
      <c r="J51" s="10"/>
      <c r="K51" s="10"/>
      <c r="L51" s="10"/>
      <c r="M51" s="10"/>
      <c r="N51" s="10"/>
      <c r="O51" s="10"/>
      <c r="P51" s="10"/>
      <c r="Q51" s="10"/>
      <c r="R51" s="4" t="str">
        <f aca="false">IF(AND(D51="",F51=""),"",IF(AND(O51="是",P51=""),"請填代辦人",IF(K51="","建議指定職務代理人（非法定要件）",IF(K51=D51,"代理人不可為本人",IF(L51&lt;&gt;"已同意","代理人尚未同意（不影響給假）","")))))</f>
        <v/>
      </c>
    </row>
    <row r="52" customFormat="false" ht="15" hidden="false" customHeight="false" outlineLevel="0" collapsed="false">
      <c r="A52" s="10"/>
      <c r="B52" s="10"/>
      <c r="C52" s="36"/>
      <c r="D52" s="10"/>
      <c r="E52" s="4" t="str">
        <f aca="false">IF(D52="","",IFERROR(VLOOKUP(D52,$U$5:$V$34,2,FALSE()),""))</f>
        <v/>
      </c>
      <c r="F52" s="10"/>
      <c r="G52" s="36"/>
      <c r="H52" s="36"/>
      <c r="I52" s="13"/>
      <c r="J52" s="10"/>
      <c r="K52" s="10"/>
      <c r="L52" s="10"/>
      <c r="M52" s="10"/>
      <c r="N52" s="10"/>
      <c r="O52" s="10"/>
      <c r="P52" s="10"/>
      <c r="Q52" s="10"/>
      <c r="R52" s="4" t="str">
        <f aca="false">IF(AND(D52="",F52=""),"",IF(AND(O52="是",P52=""),"請填代辦人",IF(K52="","建議指定職務代理人（非法定要件）",IF(K52=D52,"代理人不可為本人",IF(L52&lt;&gt;"已同意","代理人尚未同意（不影響給假）","")))))</f>
        <v/>
      </c>
    </row>
    <row r="53" customFormat="false" ht="15" hidden="false" customHeight="false" outlineLevel="0" collapsed="false">
      <c r="A53" s="10"/>
      <c r="B53" s="10"/>
      <c r="C53" s="36"/>
      <c r="D53" s="10"/>
      <c r="E53" s="4" t="str">
        <f aca="false">IF(D53="","",IFERROR(VLOOKUP(D53,$U$5:$V$34,2,FALSE()),""))</f>
        <v/>
      </c>
      <c r="F53" s="10"/>
      <c r="G53" s="36"/>
      <c r="H53" s="36"/>
      <c r="I53" s="13"/>
      <c r="J53" s="10"/>
      <c r="K53" s="10"/>
      <c r="L53" s="10"/>
      <c r="M53" s="10"/>
      <c r="N53" s="10"/>
      <c r="O53" s="10"/>
      <c r="P53" s="10"/>
      <c r="Q53" s="10"/>
      <c r="R53" s="4" t="str">
        <f aca="false">IF(AND(D53="",F53=""),"",IF(AND(O53="是",P53=""),"請填代辦人",IF(K53="","建議指定職務代理人（非法定要件）",IF(K53=D53,"代理人不可為本人",IF(L53&lt;&gt;"已同意","代理人尚未同意（不影響給假）","")))))</f>
        <v/>
      </c>
    </row>
    <row r="54" customFormat="false" ht="15" hidden="false" customHeight="false" outlineLevel="0" collapsed="false">
      <c r="A54" s="10"/>
      <c r="B54" s="10"/>
      <c r="C54" s="36"/>
      <c r="D54" s="10"/>
      <c r="E54" s="4" t="str">
        <f aca="false">IF(D54="","",IFERROR(VLOOKUP(D54,$U$5:$V$34,2,FALSE()),""))</f>
        <v/>
      </c>
      <c r="F54" s="10"/>
      <c r="G54" s="36"/>
      <c r="H54" s="36"/>
      <c r="I54" s="13"/>
      <c r="J54" s="10"/>
      <c r="K54" s="10"/>
      <c r="L54" s="10"/>
      <c r="M54" s="10"/>
      <c r="N54" s="10"/>
      <c r="O54" s="10"/>
      <c r="P54" s="10"/>
      <c r="Q54" s="10"/>
      <c r="R54" s="4" t="str">
        <f aca="false">IF(AND(D54="",F54=""),"",IF(AND(O54="是",P54=""),"請填代辦人",IF(K54="","建議指定職務代理人（非法定要件）",IF(K54=D54,"代理人不可為本人",IF(L54&lt;&gt;"已同意","代理人尚未同意（不影響給假）","")))))</f>
        <v/>
      </c>
    </row>
    <row r="55" customFormat="false" ht="15" hidden="false" customHeight="false" outlineLevel="0" collapsed="false">
      <c r="A55" s="10"/>
      <c r="B55" s="10"/>
      <c r="C55" s="36"/>
      <c r="D55" s="10"/>
      <c r="E55" s="4" t="str">
        <f aca="false">IF(D55="","",IFERROR(VLOOKUP(D55,$U$5:$V$34,2,FALSE()),""))</f>
        <v/>
      </c>
      <c r="F55" s="10"/>
      <c r="G55" s="36"/>
      <c r="H55" s="36"/>
      <c r="I55" s="13"/>
      <c r="J55" s="10"/>
      <c r="K55" s="10"/>
      <c r="L55" s="10"/>
      <c r="M55" s="10"/>
      <c r="N55" s="10"/>
      <c r="O55" s="10"/>
      <c r="P55" s="10"/>
      <c r="Q55" s="10"/>
      <c r="R55" s="4" t="str">
        <f aca="false">IF(AND(D55="",F55=""),"",IF(AND(O55="是",P55=""),"請填代辦人",IF(K55="","建議指定職務代理人（非法定要件）",IF(K55=D55,"代理人不可為本人",IF(L55&lt;&gt;"已同意","代理人尚未同意（不影響給假）","")))))</f>
        <v/>
      </c>
    </row>
    <row r="56" customFormat="false" ht="15" hidden="false" customHeight="false" outlineLevel="0" collapsed="false">
      <c r="A56" s="10"/>
      <c r="B56" s="10"/>
      <c r="C56" s="36"/>
      <c r="D56" s="10"/>
      <c r="E56" s="4" t="str">
        <f aca="false">IF(D56="","",IFERROR(VLOOKUP(D56,$U$5:$V$34,2,FALSE()),""))</f>
        <v/>
      </c>
      <c r="F56" s="10"/>
      <c r="G56" s="36"/>
      <c r="H56" s="36"/>
      <c r="I56" s="13"/>
      <c r="J56" s="10"/>
      <c r="K56" s="10"/>
      <c r="L56" s="10"/>
      <c r="M56" s="10"/>
      <c r="N56" s="10"/>
      <c r="O56" s="10"/>
      <c r="P56" s="10"/>
      <c r="Q56" s="10"/>
      <c r="R56" s="4" t="str">
        <f aca="false">IF(AND(D56="",F56=""),"",IF(AND(O56="是",P56=""),"請填代辦人",IF(K56="","建議指定職務代理人（非法定要件）",IF(K56=D56,"代理人不可為本人",IF(L56&lt;&gt;"已同意","代理人尚未同意（不影響給假）","")))))</f>
        <v/>
      </c>
    </row>
    <row r="57" customFormat="false" ht="15" hidden="false" customHeight="false" outlineLevel="0" collapsed="false">
      <c r="A57" s="10"/>
      <c r="B57" s="10"/>
      <c r="C57" s="36"/>
      <c r="D57" s="10"/>
      <c r="E57" s="4" t="str">
        <f aca="false">IF(D57="","",IFERROR(VLOOKUP(D57,$U$5:$V$34,2,FALSE()),""))</f>
        <v/>
      </c>
      <c r="F57" s="10"/>
      <c r="G57" s="36"/>
      <c r="H57" s="36"/>
      <c r="I57" s="13"/>
      <c r="J57" s="10"/>
      <c r="K57" s="10"/>
      <c r="L57" s="10"/>
      <c r="M57" s="10"/>
      <c r="N57" s="10"/>
      <c r="O57" s="10"/>
      <c r="P57" s="10"/>
      <c r="Q57" s="10"/>
      <c r="R57" s="4" t="str">
        <f aca="false">IF(AND(D57="",F57=""),"",IF(AND(O57="是",P57=""),"請填代辦人",IF(K57="","建議指定職務代理人（非法定要件）",IF(K57=D57,"代理人不可為本人",IF(L57&lt;&gt;"已同意","代理人尚未同意（不影響給假）","")))))</f>
        <v/>
      </c>
    </row>
    <row r="58" customFormat="false" ht="15" hidden="false" customHeight="false" outlineLevel="0" collapsed="false">
      <c r="A58" s="10"/>
      <c r="B58" s="10"/>
      <c r="C58" s="36"/>
      <c r="D58" s="10"/>
      <c r="E58" s="4" t="str">
        <f aca="false">IF(D58="","",IFERROR(VLOOKUP(D58,$U$5:$V$34,2,FALSE()),""))</f>
        <v/>
      </c>
      <c r="F58" s="10"/>
      <c r="G58" s="36"/>
      <c r="H58" s="36"/>
      <c r="I58" s="13"/>
      <c r="J58" s="10"/>
      <c r="K58" s="10"/>
      <c r="L58" s="10"/>
      <c r="M58" s="10"/>
      <c r="N58" s="10"/>
      <c r="O58" s="10"/>
      <c r="P58" s="10"/>
      <c r="Q58" s="10"/>
      <c r="R58" s="4" t="str">
        <f aca="false">IF(AND(D58="",F58=""),"",IF(AND(O58="是",P58=""),"請填代辦人",IF(K58="","建議指定職務代理人（非法定要件）",IF(K58=D58,"代理人不可為本人",IF(L58&lt;&gt;"已同意","代理人尚未同意（不影響給假）","")))))</f>
        <v/>
      </c>
    </row>
    <row r="59" customFormat="false" ht="15" hidden="false" customHeight="false" outlineLevel="0" collapsed="false">
      <c r="A59" s="10"/>
      <c r="B59" s="10"/>
      <c r="C59" s="36"/>
      <c r="D59" s="10"/>
      <c r="E59" s="4" t="str">
        <f aca="false">IF(D59="","",IFERROR(VLOOKUP(D59,$U$5:$V$34,2,FALSE()),""))</f>
        <v/>
      </c>
      <c r="F59" s="10"/>
      <c r="G59" s="36"/>
      <c r="H59" s="36"/>
      <c r="I59" s="13"/>
      <c r="J59" s="10"/>
      <c r="K59" s="10"/>
      <c r="L59" s="10"/>
      <c r="M59" s="10"/>
      <c r="N59" s="10"/>
      <c r="O59" s="10"/>
      <c r="P59" s="10"/>
      <c r="Q59" s="10"/>
      <c r="R59" s="4" t="str">
        <f aca="false">IF(AND(D59="",F59=""),"",IF(AND(O59="是",P59=""),"請填代辦人",IF(K59="","建議指定職務代理人（非法定要件）",IF(K59=D59,"代理人不可為本人",IF(L59&lt;&gt;"已同意","代理人尚未同意（不影響給假）","")))))</f>
        <v/>
      </c>
    </row>
    <row r="60" customFormat="false" ht="15" hidden="false" customHeight="false" outlineLevel="0" collapsed="false">
      <c r="A60" s="10"/>
      <c r="B60" s="10"/>
      <c r="C60" s="36"/>
      <c r="D60" s="10"/>
      <c r="E60" s="4" t="str">
        <f aca="false">IF(D60="","",IFERROR(VLOOKUP(D60,$U$5:$V$34,2,FALSE()),""))</f>
        <v/>
      </c>
      <c r="F60" s="10"/>
      <c r="G60" s="36"/>
      <c r="H60" s="36"/>
      <c r="I60" s="13"/>
      <c r="J60" s="10"/>
      <c r="K60" s="10"/>
      <c r="L60" s="10"/>
      <c r="M60" s="10"/>
      <c r="N60" s="10"/>
      <c r="O60" s="10"/>
      <c r="P60" s="10"/>
      <c r="Q60" s="10"/>
      <c r="R60" s="4" t="str">
        <f aca="false">IF(AND(D60="",F60=""),"",IF(AND(O60="是",P60=""),"請填代辦人",IF(K60="","建議指定職務代理人（非法定要件）",IF(K60=D60,"代理人不可為本人",IF(L60&lt;&gt;"已同意","代理人尚未同意（不影響給假）","")))))</f>
        <v/>
      </c>
    </row>
    <row r="61" customFormat="false" ht="15" hidden="false" customHeight="false" outlineLevel="0" collapsed="false">
      <c r="A61" s="10"/>
      <c r="B61" s="10"/>
      <c r="C61" s="36"/>
      <c r="D61" s="10"/>
      <c r="E61" s="4" t="str">
        <f aca="false">IF(D61="","",IFERROR(VLOOKUP(D61,$U$5:$V$34,2,FALSE()),""))</f>
        <v/>
      </c>
      <c r="F61" s="10"/>
      <c r="G61" s="36"/>
      <c r="H61" s="36"/>
      <c r="I61" s="13"/>
      <c r="J61" s="10"/>
      <c r="K61" s="10"/>
      <c r="L61" s="10"/>
      <c r="M61" s="10"/>
      <c r="N61" s="10"/>
      <c r="O61" s="10"/>
      <c r="P61" s="10"/>
      <c r="Q61" s="10"/>
      <c r="R61" s="4" t="str">
        <f aca="false">IF(AND(D61="",F61=""),"",IF(AND(O61="是",P61=""),"請填代辦人",IF(K61="","建議指定職務代理人（非法定要件）",IF(K61=D61,"代理人不可為本人",IF(L61&lt;&gt;"已同意","代理人尚未同意（不影響給假）","")))))</f>
        <v/>
      </c>
    </row>
    <row r="62" customFormat="false" ht="15" hidden="false" customHeight="false" outlineLevel="0" collapsed="false">
      <c r="A62" s="10"/>
      <c r="B62" s="10"/>
      <c r="C62" s="36"/>
      <c r="D62" s="10"/>
      <c r="E62" s="4" t="str">
        <f aca="false">IF(D62="","",IFERROR(VLOOKUP(D62,$U$5:$V$34,2,FALSE()),""))</f>
        <v/>
      </c>
      <c r="F62" s="10"/>
      <c r="G62" s="36"/>
      <c r="H62" s="36"/>
      <c r="I62" s="13"/>
      <c r="J62" s="10"/>
      <c r="K62" s="10"/>
      <c r="L62" s="10"/>
      <c r="M62" s="10"/>
      <c r="N62" s="10"/>
      <c r="O62" s="10"/>
      <c r="P62" s="10"/>
      <c r="Q62" s="10"/>
      <c r="R62" s="4" t="str">
        <f aca="false">IF(AND(D62="",F62=""),"",IF(AND(O62="是",P62=""),"請填代辦人",IF(K62="","建議指定職務代理人（非法定要件）",IF(K62=D62,"代理人不可為本人",IF(L62&lt;&gt;"已同意","代理人尚未同意（不影響給假）","")))))</f>
        <v/>
      </c>
    </row>
    <row r="63" customFormat="false" ht="15" hidden="false" customHeight="false" outlineLevel="0" collapsed="false">
      <c r="A63" s="10"/>
      <c r="B63" s="10"/>
      <c r="C63" s="36"/>
      <c r="D63" s="10"/>
      <c r="E63" s="4" t="str">
        <f aca="false">IF(D63="","",IFERROR(VLOOKUP(D63,$U$5:$V$34,2,FALSE()),""))</f>
        <v/>
      </c>
      <c r="F63" s="10"/>
      <c r="G63" s="36"/>
      <c r="H63" s="36"/>
      <c r="I63" s="13"/>
      <c r="J63" s="10"/>
      <c r="K63" s="10"/>
      <c r="L63" s="10"/>
      <c r="M63" s="10"/>
      <c r="N63" s="10"/>
      <c r="O63" s="10"/>
      <c r="P63" s="10"/>
      <c r="Q63" s="10"/>
      <c r="R63" s="4" t="str">
        <f aca="false">IF(AND(D63="",F63=""),"",IF(AND(O63="是",P63=""),"請填代辦人",IF(K63="","建議指定職務代理人（非法定要件）",IF(K63=D63,"代理人不可為本人",IF(L63&lt;&gt;"已同意","代理人尚未同意（不影響給假）","")))))</f>
        <v/>
      </c>
    </row>
    <row r="64" customFormat="false" ht="15" hidden="false" customHeight="false" outlineLevel="0" collapsed="false">
      <c r="A64" s="10"/>
      <c r="B64" s="10"/>
      <c r="C64" s="36"/>
      <c r="D64" s="10"/>
      <c r="E64" s="4" t="str">
        <f aca="false">IF(D64="","",IFERROR(VLOOKUP(D64,$U$5:$V$34,2,FALSE()),""))</f>
        <v/>
      </c>
      <c r="F64" s="10"/>
      <c r="G64" s="36"/>
      <c r="H64" s="36"/>
      <c r="I64" s="13"/>
      <c r="J64" s="10"/>
      <c r="K64" s="10"/>
      <c r="L64" s="10"/>
      <c r="M64" s="10"/>
      <c r="N64" s="10"/>
      <c r="O64" s="10"/>
      <c r="P64" s="10"/>
      <c r="Q64" s="10"/>
      <c r="R64" s="4" t="str">
        <f aca="false">IF(AND(D64="",F64=""),"",IF(AND(O64="是",P64=""),"請填代辦人",IF(K64="","建議指定職務代理人（非法定要件）",IF(K64=D64,"代理人不可為本人",IF(L64&lt;&gt;"已同意","代理人尚未同意（不影響給假）","")))))</f>
        <v/>
      </c>
    </row>
    <row r="66" customFormat="false" ht="15" hidden="false" customHeight="false" outlineLevel="0" collapsed="false">
      <c r="A66" s="2" t="s">
        <v>353</v>
      </c>
    </row>
    <row r="67" customFormat="false" ht="15" hidden="false" customHeight="false" outlineLevel="0" collapsed="false">
      <c r="A67" s="2" t="s">
        <v>354</v>
      </c>
    </row>
  </sheetData>
  <dataValidations count="8">
    <dataValidation allowBlank="true" error="請從下拉選單選擇員工" errorStyle="stop" errorTitle="請選擇" operator="between" showDropDown="false" showErrorMessage="true" showInputMessage="false" sqref="D5:D64" type="list">
      <formula1>流程1_請假申請!$U$5:$U$34</formula1>
      <formula2>0</formula2>
    </dataValidation>
    <dataValidation allowBlank="true" error="請從下拉選單選擇職務代理人" errorStyle="stop" errorTitle="請選擇" operator="between" showDropDown="false" showErrorMessage="true" showInputMessage="false" sqref="K5:K64" type="list">
      <formula1>流程1_請假申請!$U$5:$U$34</formula1>
      <formula2>0</formula2>
    </dataValidation>
    <dataValidation allowBlank="true" error="請從下拉選單選擇假別" errorStyle="stop" errorTitle="請選擇" operator="between" showDropDown="false" showErrorMessage="true" showInputMessage="false" sqref="F5:F64" type="list">
      <formula1>流程1_參數!$B$21:$B$34</formula1>
      <formula2>0</formula2>
    </dataValidation>
    <dataValidation allowBlank="true" errorStyle="stop" errorTitle="請選擇" operator="between" showDropDown="false" showErrorMessage="false" showInputMessage="false" sqref="Y5:Y34" type="list">
      <formula1>"0,3,5,7,9"</formula1>
      <formula2>0</formula2>
    </dataValidation>
    <dataValidation allowBlank="true" errorStyle="stop" errorTitle="請選擇" operator="between" showDropDown="false" showErrorMessage="false" showInputMessage="false" sqref="L5:L64" type="list">
      <formula1>"待確認,已同意,拒絕"</formula1>
      <formula2>0</formula2>
    </dataValidation>
    <dataValidation allowBlank="true" errorStyle="stop" errorTitle="請選擇" operator="between" showDropDown="false" showErrorMessage="false" showInputMessage="false" sqref="M5:M64" type="list">
      <formula1>"待確認,已確認,需補證明"</formula1>
      <formula2>0</formula2>
    </dataValidation>
    <dataValidation allowBlank="true" errorStyle="stop" errorTitle="請選擇" operator="between" showDropDown="false" showErrorMessage="false" showInputMessage="false" sqref="O5:O64" type="list">
      <formula1>"是,否"</formula1>
      <formula2>0</formula2>
    </dataValidation>
    <dataValidation allowBlank="true" errorStyle="stop" errorTitle="請選擇" operator="between" showDropDown="false" showErrorMessage="false" showInputMessage="false" sqref="B5:B64" type="list">
      <formula1>"文創科技股份有限公司,小貓,知識產權"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0"/>
    <col collapsed="false" customWidth="true" hidden="false" outlineLevel="0" max="4" min="2" style="0" width="12"/>
    <col collapsed="false" customWidth="true" hidden="false" outlineLevel="0" max="5" min="5" style="0" width="9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10" min="8" style="0" width="11"/>
    <col collapsed="false" customWidth="true" hidden="false" outlineLevel="0" max="11" min="11" style="0" width="13"/>
    <col collapsed="false" customWidth="true" hidden="false" outlineLevel="0" max="12" min="12" style="0" width="10"/>
    <col collapsed="false" customWidth="true" hidden="false" outlineLevel="0" max="15" min="13" style="0" width="12"/>
    <col collapsed="false" customWidth="true" hidden="false" outlineLevel="0" max="17" min="16" style="0" width="14"/>
    <col collapsed="false" customWidth="true" hidden="false" outlineLevel="0" max="33" min="18" style="0" width="11"/>
    <col collapsed="false" customWidth="true" hidden="true" outlineLevel="1" max="40" min="34" style="0" width="11"/>
  </cols>
  <sheetData>
    <row r="1" customFormat="false" ht="17.35" hidden="false" customHeight="false" outlineLevel="0" collapsed="false">
      <c r="A1" s="1" t="s">
        <v>355</v>
      </c>
    </row>
    <row r="2" customFormat="false" ht="15" hidden="false" customHeight="false" outlineLevel="0" collapsed="false">
      <c r="A2" s="2" t="s">
        <v>356</v>
      </c>
    </row>
    <row r="3" customFormat="false" ht="15" hidden="false" customHeight="false" outlineLevel="0" collapsed="false">
      <c r="A3" s="37" t="s">
        <v>357</v>
      </c>
      <c r="B3" s="38" t="n">
        <v>46326</v>
      </c>
      <c r="D3" s="37" t="s">
        <v>358</v>
      </c>
      <c r="E3" s="39" t="n">
        <v>0.5</v>
      </c>
      <c r="G3" s="2" t="s">
        <v>359</v>
      </c>
    </row>
    <row r="4" customFormat="false" ht="60" hidden="false" customHeight="true" outlineLevel="0" collapsed="false">
      <c r="A4" s="3" t="s">
        <v>121</v>
      </c>
      <c r="B4" s="3" t="s">
        <v>122</v>
      </c>
      <c r="C4" s="3" t="s">
        <v>125</v>
      </c>
      <c r="D4" s="3" t="s">
        <v>333</v>
      </c>
      <c r="E4" s="3" t="s">
        <v>360</v>
      </c>
      <c r="F4" s="3" t="s">
        <v>361</v>
      </c>
      <c r="G4" s="3" t="s">
        <v>362</v>
      </c>
      <c r="H4" s="3" t="s">
        <v>363</v>
      </c>
      <c r="I4" s="3" t="s">
        <v>364</v>
      </c>
      <c r="J4" s="3" t="s">
        <v>365</v>
      </c>
      <c r="K4" s="3" t="s">
        <v>366</v>
      </c>
      <c r="L4" s="3" t="s">
        <v>367</v>
      </c>
      <c r="M4" s="3" t="s">
        <v>368</v>
      </c>
      <c r="N4" s="3" t="s">
        <v>369</v>
      </c>
      <c r="O4" s="3" t="s">
        <v>370</v>
      </c>
      <c r="P4" s="3" t="s">
        <v>371</v>
      </c>
      <c r="Q4" s="3" t="s">
        <v>372</v>
      </c>
      <c r="R4" s="3" t="s">
        <v>373</v>
      </c>
      <c r="S4" s="3" t="s">
        <v>374</v>
      </c>
      <c r="T4" s="3" t="s">
        <v>375</v>
      </c>
      <c r="U4" s="3" t="s">
        <v>376</v>
      </c>
      <c r="V4" s="3" t="s">
        <v>377</v>
      </c>
      <c r="W4" s="3" t="s">
        <v>378</v>
      </c>
      <c r="X4" s="3" t="s">
        <v>379</v>
      </c>
      <c r="Y4" s="3" t="s">
        <v>380</v>
      </c>
      <c r="Z4" s="3" t="s">
        <v>381</v>
      </c>
      <c r="AA4" s="3" t="s">
        <v>382</v>
      </c>
      <c r="AB4" s="3" t="s">
        <v>383</v>
      </c>
      <c r="AC4" s="3" t="s">
        <v>384</v>
      </c>
      <c r="AD4" s="3" t="s">
        <v>385</v>
      </c>
      <c r="AE4" s="3" t="s">
        <v>386</v>
      </c>
      <c r="AF4" s="3" t="s">
        <v>387</v>
      </c>
      <c r="AG4" s="3" t="s">
        <v>388</v>
      </c>
      <c r="AH4" s="3" t="s">
        <v>389</v>
      </c>
      <c r="AI4" s="3" t="s">
        <v>390</v>
      </c>
      <c r="AJ4" s="3" t="s">
        <v>391</v>
      </c>
      <c r="AK4" s="3" t="s">
        <v>392</v>
      </c>
      <c r="AL4" s="3" t="s">
        <v>393</v>
      </c>
      <c r="AM4" s="3" t="s">
        <v>394</v>
      </c>
      <c r="AN4" s="3" t="s">
        <v>395</v>
      </c>
    </row>
    <row r="5" customFormat="false" ht="15" hidden="false" customHeight="false" outlineLevel="0" collapsed="false">
      <c r="A5" s="34" t="str">
        <f aca="false">IF(流程1_請假申請!U5="","",流程1_請假申請!T5)</f>
        <v>E001</v>
      </c>
      <c r="B5" s="34" t="str">
        <f aca="false">IF(流程1_請假申請!U5="","",流程1_請假申請!U5)</f>
        <v>範例員工A</v>
      </c>
      <c r="C5" s="40" t="n">
        <f aca="false">IF(流程1_請假申請!U5="","",流程1_請假申請!W5)</f>
        <v>42064</v>
      </c>
      <c r="D5" s="40" t="str">
        <f aca="false">IF(流程1_請假申請!X5="","",流程1_請假申請!X5)</f>
        <v/>
      </c>
      <c r="E5" s="34" t="n">
        <f aca="false">IF(C5="","",IF($B$3&lt;C5,0,DATEDIF(C5,$B$3,"m")))</f>
        <v>139</v>
      </c>
      <c r="F5" s="41" t="n">
        <f aca="false">IF(C5="","",IF(AN5=0,0,CEILING(ROUND(AN5,2),$E$3)))</f>
        <v>17</v>
      </c>
      <c r="G5" s="42"/>
      <c r="H5" s="41" t="n">
        <f aca="false">IF(C5="","",F5+G5)</f>
        <v>17</v>
      </c>
      <c r="I5" s="41" t="n">
        <f aca="false">IF(C5="","",SUMIFS(流程1_請假申請!$I$5:$I$64,流程1_請假申請!$D$5:$D$64,B5,流程1_請假申請!$F$5:$F$64,"特別休假",流程1_請假申請!$M$5:$M$64,"已確認",流程1_請假申請!$G$5:$G$64,"&gt;="&amp;DATE(YEAR($B$3),1,1),流程1_請假申請!$G$5:$G$64,"&lt;="&amp;$B$3))</f>
        <v>0</v>
      </c>
      <c r="J5" s="41" t="n">
        <f aca="false">IF(C5="","",H5-I5)</f>
        <v>17</v>
      </c>
      <c r="K5" s="42"/>
      <c r="L5" s="34" t="str">
        <f aca="false">IF(C5="","",IF(AND(D5&lt;&gt;"",D5&lt;=$B$3),"離職結算",IF(AND(MONTH($B$3)=12,DAY($B$3)=31),"年度結算","")))</f>
        <v/>
      </c>
      <c r="M5" s="41" t="n">
        <f aca="false">IF(OR(C5="",L5=""),0,N(G5)-MIN(N(G5),I5))</f>
        <v>0</v>
      </c>
      <c r="N5" s="41" t="n">
        <f aca="false">IF(OR(C5="",L5=""),0,IF(L5="離職結算",J5-M5,MAX(0,J5-M5-N(K5))))</f>
        <v>0</v>
      </c>
      <c r="O5" s="43" t="n">
        <f aca="false">IF(C5="","",IFERROR(ROUND((INDEX(流程1_月結表!$G$6:$G$8,MATCH(A5,流程1_月結表!$B$6:$B$8,0))+INDEX(流程1_月結表!$H$6:$H$8,MATCH(A5,流程1_月結表!$B$6:$B$8,0))*流程1_參數!$C$7)/流程1_參數!$C$5,2),0))</f>
        <v>2100</v>
      </c>
      <c r="P5" s="44"/>
      <c r="Q5" s="43" t="n">
        <f aca="false">IF(OR(C5="",L5=""),0,ROUND(N5*O5+M5*IF(P5="",O5,P5),0))</f>
        <v>0</v>
      </c>
      <c r="R5" s="41" t="n">
        <f aca="false">IF($C5="","",SUMIFS(流程1_請假申請!$I$5:$I$64,流程1_請假申請!$D$5:$D$64,$B5,流程1_請假申請!$F$5:$F$64,"病假（普通傷病假）",流程1_請假申請!$M$5:$M$64,"已確認",流程1_請假申請!$G$5:$G$64,"&gt;="&amp;DATE(YEAR($B$3),1,1),流程1_請假申請!$G$5:$G$64,"&lt;="&amp;$B$3))</f>
        <v>2</v>
      </c>
      <c r="S5" s="41" t="n">
        <f aca="false">IF($C5="","",SUMIFS(流程1_請假申請!$I$5:$I$64,流程1_請假申請!$D$5:$D$64,$B5,流程1_請假申請!$F$5:$F$64,"事假",流程1_請假申請!$M$5:$M$64,"已確認",流程1_請假申請!$G$5:$G$64,"&gt;="&amp;DATE(YEAR($B$3),1,1),流程1_請假申請!$G$5:$G$64,"&lt;="&amp;$B$3))</f>
        <v>0</v>
      </c>
      <c r="T5" s="41" t="n">
        <f aca="false">IF($C5="","",SUMIFS(流程1_請假申請!$I$5:$I$64,流程1_請假申請!$D$5:$D$64,$B5,流程1_請假申請!$F$5:$F$64,"家庭照顧假",流程1_請假申請!$M$5:$M$64,"已確認",流程1_請假申請!$G$5:$G$64,"&gt;="&amp;DATE(YEAR($B$3),1,1),流程1_請假申請!$G$5:$G$64,"&lt;="&amp;$B$3))</f>
        <v>0</v>
      </c>
      <c r="U5" s="41" t="n">
        <f aca="false">IF($C5="","",SUMIFS(流程1_請假申請!$I$5:$I$64,流程1_請假申請!$D$5:$D$64,$B5,流程1_請假申請!$F$5:$F$64,"生理假",流程1_請假申請!$M$5:$M$64,"已確認",流程1_請假申請!$G$5:$G$64,"&gt;="&amp;DATE(YEAR($B$3),1,1),流程1_請假申請!$G$5:$G$64,"&lt;="&amp;$B$3))</f>
        <v>0</v>
      </c>
      <c r="V5" s="41" t="n">
        <f aca="false">IF($C5="","",SUMIFS(流程1_請假申請!$I$5:$I$64,流程1_請假申請!$D$5:$D$64,$B5,流程1_請假申請!$F$5:$F$64,"安胎休養假",流程1_請假申請!$M$5:$M$64,"已確認",流程1_請假申請!$G$5:$G$64,"&gt;="&amp;DATE(YEAR($B$3),1,1),流程1_請假申請!$G$5:$G$64,"&lt;="&amp;$B$3))</f>
        <v>0</v>
      </c>
      <c r="W5" s="41" t="n">
        <f aca="false">IF($C5="","",SUMIFS(流程1_請假申請!$I$5:$I$64,流程1_請假申請!$D$5:$D$64,$B5,流程1_請假申請!$F$5:$F$64,"婚假",流程1_請假申請!$M$5:$M$64,"已確認",流程1_請假申請!$G$5:$G$64,"&gt;="&amp;DATE(YEAR($B$3),1,1),流程1_請假申請!$G$5:$G$64,"&lt;="&amp;$B$3))</f>
        <v>0</v>
      </c>
      <c r="X5" s="41" t="n">
        <f aca="false">IF($C5="","",SUMIFS(流程1_請假申請!$I$5:$I$64,流程1_請假申請!$D$5:$D$64,$B5,流程1_請假申請!$F$5:$F$64,"喪假",流程1_請假申請!$M$5:$M$64,"已確認",流程1_請假申請!$G$5:$G$64,"&gt;="&amp;DATE(YEAR($B$3),1,1),流程1_請假申請!$G$5:$G$64,"&lt;="&amp;$B$3))</f>
        <v>0</v>
      </c>
      <c r="Y5" s="41" t="n">
        <f aca="false">IF($C5="","",SUMIFS(流程1_請假申請!$I$5:$I$64,流程1_請假申請!$D$5:$D$64,$B5,流程1_請假申請!$F$5:$F$64,"產假",流程1_請假申請!$M$5:$M$64,"已確認",流程1_請假申請!$G$5:$G$64,"&gt;="&amp;DATE(YEAR($B$3),1,1),流程1_請假申請!$G$5:$G$64,"&lt;="&amp;$B$3))</f>
        <v>0</v>
      </c>
      <c r="Z5" s="41" t="n">
        <f aca="false">IF($C5="","",SUMIFS(流程1_請假申請!$I$5:$I$64,流程1_請假申請!$D$5:$D$64,$B5,流程1_請假申請!$F$5:$F$64,"產檢假",流程1_請假申請!$M$5:$M$64,"已確認",流程1_請假申請!$G$5:$G$64,"&gt;="&amp;DATE(YEAR($B$3),1,1),流程1_請假申請!$G$5:$G$64,"&lt;="&amp;$B$3))</f>
        <v>0</v>
      </c>
      <c r="AA5" s="41" t="n">
        <f aca="false">IF($C5="","",SUMIFS(流程1_請假申請!$I$5:$I$64,流程1_請假申請!$D$5:$D$64,$B5,流程1_請假申請!$F$5:$F$64,"陪產檢及陪產假",流程1_請假申請!$M$5:$M$64,"已確認",流程1_請假申請!$G$5:$G$64,"&gt;="&amp;DATE(YEAR($B$3),1,1),流程1_請假申請!$G$5:$G$64,"&lt;="&amp;$B$3))</f>
        <v>0</v>
      </c>
      <c r="AB5" s="41" t="n">
        <f aca="false">IF($C5="","",SUMIFS(流程1_請假申請!$I$5:$I$64,流程1_請假申請!$D$5:$D$64,$B5,流程1_請假申請!$F$5:$F$64,"公傷病假",流程1_請假申請!$M$5:$M$64,"已確認",流程1_請假申請!$G$5:$G$64,"&gt;="&amp;DATE(YEAR($B$3),1,1),流程1_請假申請!$G$5:$G$64,"&lt;="&amp;$B$3))</f>
        <v>0</v>
      </c>
      <c r="AC5" s="41" t="n">
        <f aca="false">IF($C5="","",SUMIFS(流程1_請假申請!$I$5:$I$64,流程1_請假申請!$D$5:$D$64,$B5,流程1_請假申請!$F$5:$F$64,"公假",流程1_請假申請!$M$5:$M$64,"已確認",流程1_請假申請!$G$5:$G$64,"&gt;="&amp;DATE(YEAR($B$3),1,1),流程1_請假申請!$G$5:$G$64,"&lt;="&amp;$B$3))</f>
        <v>0</v>
      </c>
      <c r="AD5" s="41" t="n">
        <f aca="false">IF($C5="","",SUMIFS(流程1_請假申請!$I$5:$I$64,流程1_請假申請!$D$5:$D$64,$B5,流程1_請假申請!$F$5:$F$64,"特別休假",流程1_請假申請!$M$5:$M$64,"已確認",流程1_請假申請!$G$5:$G$64,"&gt;="&amp;DATE(YEAR($B$3),1,1),流程1_請假申請!$G$5:$G$64,"&lt;="&amp;$B$3))</f>
        <v>0</v>
      </c>
      <c r="AE5" s="41" t="n">
        <f aca="false">IF($C5="","",SUMIFS(流程1_請假申請!$I$5:$I$64,流程1_請假申請!$D$5:$D$64,$B5,流程1_請假申請!$F$5:$F$64,"育嬰留職停薪",流程1_請假申請!$M$5:$M$64,"已確認",流程1_請假申請!$G$5:$G$64,"&gt;="&amp;DATE(YEAR($B$3),1,1),流程1_請假申請!$G$5:$G$64,"&lt;="&amp;$B$3))</f>
        <v>0</v>
      </c>
      <c r="AF5" s="41" t="n">
        <f aca="false">IF(C5="","",30-R5)</f>
        <v>28</v>
      </c>
      <c r="AG5" s="41" t="n">
        <f aca="false">IF(C5="","",14-S5)</f>
        <v>14</v>
      </c>
      <c r="AH5" s="40" t="n">
        <f aca="false">IF(C5="","",IF(D5="",DATE(YEAR($B$3)+1,1,1),MIN(DATE(YEAR($B$3)+1,1,1),D5+1)))</f>
        <v>46388</v>
      </c>
      <c r="AI5" s="40" t="n">
        <f aca="false">IF(C5="","",MAX(DATE(YEAR($B$3),1,1),MIN(AH5,EDATE(C5,6))))</f>
        <v>46023</v>
      </c>
      <c r="AJ5" s="40" t="n">
        <f aca="false">IF(C5="","",MAX(AI5,MIN(AH5,EDATE(C5,12*MAX(1,YEAR($B$3)-YEAR(C5))))))</f>
        <v>46082</v>
      </c>
      <c r="AK5" s="34" t="n">
        <f aca="false">IF(C5="","",IF(IF(DATE(YEAR($B$3),1,1)&lt;$C5,0,DATEDIF($C5,DATE(YEAR($B$3),1,1),"m"))&lt;6,0,IF(IF(DATE(YEAR($B$3),1,1)&lt;$C5,0,DATEDIF($C5,DATE(YEAR($B$3),1,1),"m"))&lt;12,6,IF(IF(DATE(YEAR($B$3),1,1)&lt;$C5,0,DATEDIF($C5,DATE(YEAR($B$3),1,1),"m"))&lt;24,7,IF(IF(DATE(YEAR($B$3),1,1)&lt;$C5,0,DATEDIF($C5,DATE(YEAR($B$3),1,1),"m"))&lt;36,10,IF(IF(DATE(YEAR($B$3),1,1)&lt;$C5,0,DATEDIF($C5,DATE(YEAR($B$3),1,1),"m"))&lt;60,14,IF(IF(DATE(YEAR($B$3),1,1)&lt;$C5,0,DATEDIF($C5,DATE(YEAR($B$3),1,1),"m"))&lt;120,15,MIN(30,15+INT(IF(DATE(YEAR($B$3),1,1)&lt;$C5,0,DATEDIF($C5,DATE(YEAR($B$3),1,1),"m"))/12)-9))))))))</f>
        <v>16</v>
      </c>
      <c r="AL5" s="34" t="n">
        <f aca="false">IF(C5="","",IF(IF(AI5&lt;$C5,0,DATEDIF($C5,AI5,"m"))&lt;6,0,IF(IF(AI5&lt;$C5,0,DATEDIF($C5,AI5,"m"))&lt;12,6,IF(IF(AI5&lt;$C5,0,DATEDIF($C5,AI5,"m"))&lt;24,7,IF(IF(AI5&lt;$C5,0,DATEDIF($C5,AI5,"m"))&lt;36,10,IF(IF(AI5&lt;$C5,0,DATEDIF($C5,AI5,"m"))&lt;60,14,IF(IF(AI5&lt;$C5,0,DATEDIF($C5,AI5,"m"))&lt;120,15,MIN(30,15+INT(IF(AI5&lt;$C5,0,DATEDIF($C5,AI5,"m"))/12)-9))))))))</f>
        <v>16</v>
      </c>
      <c r="AM5" s="34" t="n">
        <f aca="false">IF(C5="","",IF(IF(AJ5&lt;$C5,0,DATEDIF($C5,AJ5,"m"))&lt;6,0,IF(IF(AJ5&lt;$C5,0,DATEDIF($C5,AJ5,"m"))&lt;12,6,IF(IF(AJ5&lt;$C5,0,DATEDIF($C5,AJ5,"m"))&lt;24,7,IF(IF(AJ5&lt;$C5,0,DATEDIF($C5,AJ5,"m"))&lt;36,10,IF(IF(AJ5&lt;$C5,0,DATEDIF($C5,AJ5,"m"))&lt;60,14,IF(IF(AJ5&lt;$C5,0,DATEDIF($C5,AJ5,"m"))&lt;120,15,MIN(30,15+INT(IF(AJ5&lt;$C5,0,DATEDIF($C5,AJ5,"m"))/12)-9))))))))</f>
        <v>17</v>
      </c>
      <c r="AN5" s="33" t="n">
        <f aca="false">IF(C5="","",((AI5-DATE(YEAR($B$3),1,1))*AK5+(AJ5-AI5)*AL5+(AH5-AJ5)*AM5)/(DATE(YEAR($B$3)+1,1,1)-DATE(YEAR($B$3),1,1)))</f>
        <v>16.8383561643836</v>
      </c>
    </row>
    <row r="6" customFormat="false" ht="15" hidden="false" customHeight="false" outlineLevel="0" collapsed="false">
      <c r="A6" s="34" t="str">
        <f aca="false">IF(流程1_請假申請!U6="","",流程1_請假申請!T6)</f>
        <v>E002</v>
      </c>
      <c r="B6" s="34" t="str">
        <f aca="false">IF(流程1_請假申請!U6="","",流程1_請假申請!U6)</f>
        <v>範例員工B</v>
      </c>
      <c r="C6" s="40" t="n">
        <f aca="false">IF(流程1_請假申請!U6="","",流程1_請假申請!W6)</f>
        <v>43661</v>
      </c>
      <c r="D6" s="40" t="str">
        <f aca="false">IF(流程1_請假申請!X6="","",流程1_請假申請!X6)</f>
        <v/>
      </c>
      <c r="E6" s="34" t="n">
        <f aca="false">IF(C6="","",IF($B$3&lt;C6,0,DATEDIF(C6,$B$3,"m")))</f>
        <v>87</v>
      </c>
      <c r="F6" s="41" t="n">
        <f aca="false">IF(C6="","",IF(AN6=0,0,CEILING(ROUND(AN6,2),$E$3)))</f>
        <v>15</v>
      </c>
      <c r="G6" s="42"/>
      <c r="H6" s="41" t="n">
        <f aca="false">IF(C6="","",F6+G6)</f>
        <v>15</v>
      </c>
      <c r="I6" s="41" t="n">
        <f aca="false">IF(C6="","",SUMIFS(流程1_請假申請!$I$5:$I$64,流程1_請假申請!$D$5:$D$64,B6,流程1_請假申請!$F$5:$F$64,"特別休假",流程1_請假申請!$M$5:$M$64,"已確認",流程1_請假申請!$G$5:$G$64,"&gt;="&amp;DATE(YEAR($B$3),1,1),流程1_請假申請!$G$5:$G$64,"&lt;="&amp;$B$3))</f>
        <v>1</v>
      </c>
      <c r="J6" s="41" t="n">
        <f aca="false">IF(C6="","",H6-I6)</f>
        <v>14</v>
      </c>
      <c r="K6" s="42"/>
      <c r="L6" s="34" t="str">
        <f aca="false">IF(C6="","",IF(AND(D6&lt;&gt;"",D6&lt;=$B$3),"離職結算",IF(AND(MONTH($B$3)=12,DAY($B$3)=31),"年度結算","")))</f>
        <v/>
      </c>
      <c r="M6" s="41" t="n">
        <f aca="false">IF(OR(C6="",L6=""),0,N(G6)-MIN(N(G6),I6))</f>
        <v>0</v>
      </c>
      <c r="N6" s="41" t="n">
        <f aca="false">IF(OR(C6="",L6=""),0,IF(L6="離職結算",J6-M6,MAX(0,J6-M6-N(K6))))</f>
        <v>0</v>
      </c>
      <c r="O6" s="43" t="n">
        <f aca="false">IF(C6="","",IFERROR(ROUND((INDEX(流程1_月結表!$G$6:$G$8,MATCH(A6,流程1_月結表!$B$6:$B$8,0))+INDEX(流程1_月結表!$H$6:$H$8,MATCH(A6,流程1_月結表!$B$6:$B$8,0))*流程1_參數!$C$7)/流程1_參數!$C$5,2),0))</f>
        <v>2266.67</v>
      </c>
      <c r="P6" s="44"/>
      <c r="Q6" s="43" t="n">
        <f aca="false">IF(OR(C6="",L6=""),0,ROUND(N6*O6+M6*IF(P6="",O6,P6),0))</f>
        <v>0</v>
      </c>
      <c r="R6" s="41" t="n">
        <f aca="false">IF($C6="","",SUMIFS(流程1_請假申請!$I$5:$I$64,流程1_請假申請!$D$5:$D$64,$B6,流程1_請假申請!$F$5:$F$64,"病假（普通傷病假）",流程1_請假申請!$M$5:$M$64,"已確認",流程1_請假申請!$G$5:$G$64,"&gt;="&amp;DATE(YEAR($B$3),1,1),流程1_請假申請!$G$5:$G$64,"&lt;="&amp;$B$3))</f>
        <v>0</v>
      </c>
      <c r="S6" s="41" t="n">
        <f aca="false">IF($C6="","",SUMIFS(流程1_請假申請!$I$5:$I$64,流程1_請假申請!$D$5:$D$64,$B6,流程1_請假申請!$F$5:$F$64,"事假",流程1_請假申請!$M$5:$M$64,"已確認",流程1_請假申請!$G$5:$G$64,"&gt;="&amp;DATE(YEAR($B$3),1,1),流程1_請假申請!$G$5:$G$64,"&lt;="&amp;$B$3))</f>
        <v>1</v>
      </c>
      <c r="T6" s="41" t="n">
        <f aca="false">IF($C6="","",SUMIFS(流程1_請假申請!$I$5:$I$64,流程1_請假申請!$D$5:$D$64,$B6,流程1_請假申請!$F$5:$F$64,"家庭照顧假",流程1_請假申請!$M$5:$M$64,"已確認",流程1_請假申請!$G$5:$G$64,"&gt;="&amp;DATE(YEAR($B$3),1,1),流程1_請假申請!$G$5:$G$64,"&lt;="&amp;$B$3))</f>
        <v>0</v>
      </c>
      <c r="U6" s="41" t="n">
        <f aca="false">IF($C6="","",SUMIFS(流程1_請假申請!$I$5:$I$64,流程1_請假申請!$D$5:$D$64,$B6,流程1_請假申請!$F$5:$F$64,"生理假",流程1_請假申請!$M$5:$M$64,"已確認",流程1_請假申請!$G$5:$G$64,"&gt;="&amp;DATE(YEAR($B$3),1,1),流程1_請假申請!$G$5:$G$64,"&lt;="&amp;$B$3))</f>
        <v>0</v>
      </c>
      <c r="V6" s="41" t="n">
        <f aca="false">IF($C6="","",SUMIFS(流程1_請假申請!$I$5:$I$64,流程1_請假申請!$D$5:$D$64,$B6,流程1_請假申請!$F$5:$F$64,"安胎休養假",流程1_請假申請!$M$5:$M$64,"已確認",流程1_請假申請!$G$5:$G$64,"&gt;="&amp;DATE(YEAR($B$3),1,1),流程1_請假申請!$G$5:$G$64,"&lt;="&amp;$B$3))</f>
        <v>0</v>
      </c>
      <c r="W6" s="41" t="n">
        <f aca="false">IF($C6="","",SUMIFS(流程1_請假申請!$I$5:$I$64,流程1_請假申請!$D$5:$D$64,$B6,流程1_請假申請!$F$5:$F$64,"婚假",流程1_請假申請!$M$5:$M$64,"已確認",流程1_請假申請!$G$5:$G$64,"&gt;="&amp;DATE(YEAR($B$3),1,1),流程1_請假申請!$G$5:$G$64,"&lt;="&amp;$B$3))</f>
        <v>0</v>
      </c>
      <c r="X6" s="41" t="n">
        <f aca="false">IF($C6="","",SUMIFS(流程1_請假申請!$I$5:$I$64,流程1_請假申請!$D$5:$D$64,$B6,流程1_請假申請!$F$5:$F$64,"喪假",流程1_請假申請!$M$5:$M$64,"已確認",流程1_請假申請!$G$5:$G$64,"&gt;="&amp;DATE(YEAR($B$3),1,1),流程1_請假申請!$G$5:$G$64,"&lt;="&amp;$B$3))</f>
        <v>0</v>
      </c>
      <c r="Y6" s="41" t="n">
        <f aca="false">IF($C6="","",SUMIFS(流程1_請假申請!$I$5:$I$64,流程1_請假申請!$D$5:$D$64,$B6,流程1_請假申請!$F$5:$F$64,"產假",流程1_請假申請!$M$5:$M$64,"已確認",流程1_請假申請!$G$5:$G$64,"&gt;="&amp;DATE(YEAR($B$3),1,1),流程1_請假申請!$G$5:$G$64,"&lt;="&amp;$B$3))</f>
        <v>0</v>
      </c>
      <c r="Z6" s="41" t="n">
        <f aca="false">IF($C6="","",SUMIFS(流程1_請假申請!$I$5:$I$64,流程1_請假申請!$D$5:$D$64,$B6,流程1_請假申請!$F$5:$F$64,"產檢假",流程1_請假申請!$M$5:$M$64,"已確認",流程1_請假申請!$G$5:$G$64,"&gt;="&amp;DATE(YEAR($B$3),1,1),流程1_請假申請!$G$5:$G$64,"&lt;="&amp;$B$3))</f>
        <v>0</v>
      </c>
      <c r="AA6" s="41" t="n">
        <f aca="false">IF($C6="","",SUMIFS(流程1_請假申請!$I$5:$I$64,流程1_請假申請!$D$5:$D$64,$B6,流程1_請假申請!$F$5:$F$64,"陪產檢及陪產假",流程1_請假申請!$M$5:$M$64,"已確認",流程1_請假申請!$G$5:$G$64,"&gt;="&amp;DATE(YEAR($B$3),1,1),流程1_請假申請!$G$5:$G$64,"&lt;="&amp;$B$3))</f>
        <v>0</v>
      </c>
      <c r="AB6" s="41" t="n">
        <f aca="false">IF($C6="","",SUMIFS(流程1_請假申請!$I$5:$I$64,流程1_請假申請!$D$5:$D$64,$B6,流程1_請假申請!$F$5:$F$64,"公傷病假",流程1_請假申請!$M$5:$M$64,"已確認",流程1_請假申請!$G$5:$G$64,"&gt;="&amp;DATE(YEAR($B$3),1,1),流程1_請假申請!$G$5:$G$64,"&lt;="&amp;$B$3))</f>
        <v>0</v>
      </c>
      <c r="AC6" s="41" t="n">
        <f aca="false">IF($C6="","",SUMIFS(流程1_請假申請!$I$5:$I$64,流程1_請假申請!$D$5:$D$64,$B6,流程1_請假申請!$F$5:$F$64,"公假",流程1_請假申請!$M$5:$M$64,"已確認",流程1_請假申請!$G$5:$G$64,"&gt;="&amp;DATE(YEAR($B$3),1,1),流程1_請假申請!$G$5:$G$64,"&lt;="&amp;$B$3))</f>
        <v>0</v>
      </c>
      <c r="AD6" s="41" t="n">
        <f aca="false">IF($C6="","",SUMIFS(流程1_請假申請!$I$5:$I$64,流程1_請假申請!$D$5:$D$64,$B6,流程1_請假申請!$F$5:$F$64,"特別休假",流程1_請假申請!$M$5:$M$64,"已確認",流程1_請假申請!$G$5:$G$64,"&gt;="&amp;DATE(YEAR($B$3),1,1),流程1_請假申請!$G$5:$G$64,"&lt;="&amp;$B$3))</f>
        <v>1</v>
      </c>
      <c r="AE6" s="41" t="n">
        <f aca="false">IF($C6="","",SUMIFS(流程1_請假申請!$I$5:$I$64,流程1_請假申請!$D$5:$D$64,$B6,流程1_請假申請!$F$5:$F$64,"育嬰留職停薪",流程1_請假申請!$M$5:$M$64,"已確認",流程1_請假申請!$G$5:$G$64,"&gt;="&amp;DATE(YEAR($B$3),1,1),流程1_請假申請!$G$5:$G$64,"&lt;="&amp;$B$3))</f>
        <v>0</v>
      </c>
      <c r="AF6" s="41" t="n">
        <f aca="false">IF(C6="","",30-R6)</f>
        <v>30</v>
      </c>
      <c r="AG6" s="41" t="n">
        <f aca="false">IF(C6="","",14-S6)</f>
        <v>13</v>
      </c>
      <c r="AH6" s="40" t="n">
        <f aca="false">IF(C6="","",IF(D6="",DATE(YEAR($B$3)+1,1,1),MIN(DATE(YEAR($B$3)+1,1,1),D6+1)))</f>
        <v>46388</v>
      </c>
      <c r="AI6" s="40" t="n">
        <f aca="false">IF(C6="","",MAX(DATE(YEAR($B$3),1,1),MIN(AH6,EDATE(C6,6))))</f>
        <v>46023</v>
      </c>
      <c r="AJ6" s="40" t="n">
        <f aca="false">IF(C6="","",MAX(AI6,MIN(AH6,EDATE(C6,12*MAX(1,YEAR($B$3)-YEAR(C6))))))</f>
        <v>46218</v>
      </c>
      <c r="AK6" s="34" t="n">
        <f aca="false">IF(C6="","",IF(IF(DATE(YEAR($B$3),1,1)&lt;$C6,0,DATEDIF($C6,DATE(YEAR($B$3),1,1),"m"))&lt;6,0,IF(IF(DATE(YEAR($B$3),1,1)&lt;$C6,0,DATEDIF($C6,DATE(YEAR($B$3),1,1),"m"))&lt;12,6,IF(IF(DATE(YEAR($B$3),1,1)&lt;$C6,0,DATEDIF($C6,DATE(YEAR($B$3),1,1),"m"))&lt;24,7,IF(IF(DATE(YEAR($B$3),1,1)&lt;$C6,0,DATEDIF($C6,DATE(YEAR($B$3),1,1),"m"))&lt;36,10,IF(IF(DATE(YEAR($B$3),1,1)&lt;$C6,0,DATEDIF($C6,DATE(YEAR($B$3),1,1),"m"))&lt;60,14,IF(IF(DATE(YEAR($B$3),1,1)&lt;$C6,0,DATEDIF($C6,DATE(YEAR($B$3),1,1),"m"))&lt;120,15,MIN(30,15+INT(IF(DATE(YEAR($B$3),1,1)&lt;$C6,0,DATEDIF($C6,DATE(YEAR($B$3),1,1),"m"))/12)-9))))))))</f>
        <v>15</v>
      </c>
      <c r="AL6" s="34" t="n">
        <f aca="false">IF(C6="","",IF(IF(AI6&lt;$C6,0,DATEDIF($C6,AI6,"m"))&lt;6,0,IF(IF(AI6&lt;$C6,0,DATEDIF($C6,AI6,"m"))&lt;12,6,IF(IF(AI6&lt;$C6,0,DATEDIF($C6,AI6,"m"))&lt;24,7,IF(IF(AI6&lt;$C6,0,DATEDIF($C6,AI6,"m"))&lt;36,10,IF(IF(AI6&lt;$C6,0,DATEDIF($C6,AI6,"m"))&lt;60,14,IF(IF(AI6&lt;$C6,0,DATEDIF($C6,AI6,"m"))&lt;120,15,MIN(30,15+INT(IF(AI6&lt;$C6,0,DATEDIF($C6,AI6,"m"))/12)-9))))))))</f>
        <v>15</v>
      </c>
      <c r="AM6" s="34" t="n">
        <f aca="false">IF(C6="","",IF(IF(AJ6&lt;$C6,0,DATEDIF($C6,AJ6,"m"))&lt;6,0,IF(IF(AJ6&lt;$C6,0,DATEDIF($C6,AJ6,"m"))&lt;12,6,IF(IF(AJ6&lt;$C6,0,DATEDIF($C6,AJ6,"m"))&lt;24,7,IF(IF(AJ6&lt;$C6,0,DATEDIF($C6,AJ6,"m"))&lt;36,10,IF(IF(AJ6&lt;$C6,0,DATEDIF($C6,AJ6,"m"))&lt;60,14,IF(IF(AJ6&lt;$C6,0,DATEDIF($C6,AJ6,"m"))&lt;120,15,MIN(30,15+INT(IF(AJ6&lt;$C6,0,DATEDIF($C6,AJ6,"m"))/12)-9))))))))</f>
        <v>15</v>
      </c>
      <c r="AN6" s="33" t="n">
        <f aca="false">IF(C6="","",((AI6-DATE(YEAR($B$3),1,1))*AK6+(AJ6-AI6)*AL6+(AH6-AJ6)*AM6)/(DATE(YEAR($B$3)+1,1,1)-DATE(YEAR($B$3),1,1)))</f>
        <v>15</v>
      </c>
    </row>
    <row r="7" customFormat="false" ht="15" hidden="false" customHeight="false" outlineLevel="0" collapsed="false">
      <c r="A7" s="34" t="str">
        <f aca="false">IF(流程1_請假申請!U7="","",流程1_請假申請!T7)</f>
        <v>E003</v>
      </c>
      <c r="B7" s="34" t="str">
        <f aca="false">IF(流程1_請假申請!U7="","",流程1_請假申請!U7)</f>
        <v>範例員工C</v>
      </c>
      <c r="C7" s="40" t="n">
        <f aca="false">IF(流程1_請假申請!U7="","",流程1_請假申請!W7)</f>
        <v>44200</v>
      </c>
      <c r="D7" s="40" t="str">
        <f aca="false">IF(流程1_請假申請!X7="","",流程1_請假申請!X7)</f>
        <v/>
      </c>
      <c r="E7" s="34" t="n">
        <f aca="false">IF(C7="","",IF($B$3&lt;C7,0,DATEDIF(C7,$B$3,"m")))</f>
        <v>69</v>
      </c>
      <c r="F7" s="41" t="n">
        <f aca="false">IF(C7="","",IF(AN7=0,0,CEILING(ROUND(AN7,2),$E$3)))</f>
        <v>15</v>
      </c>
      <c r="G7" s="42"/>
      <c r="H7" s="41" t="n">
        <f aca="false">IF(C7="","",F7+G7)</f>
        <v>15</v>
      </c>
      <c r="I7" s="41" t="n">
        <f aca="false">IF(C7="","",SUMIFS(流程1_請假申請!$I$5:$I$64,流程1_請假申請!$D$5:$D$64,B7,流程1_請假申請!$F$5:$F$64,"特別休假",流程1_請假申請!$M$5:$M$64,"已確認",流程1_請假申請!$G$5:$G$64,"&gt;="&amp;DATE(YEAR($B$3),1,1),流程1_請假申請!$G$5:$G$64,"&lt;="&amp;$B$3))</f>
        <v>0</v>
      </c>
      <c r="J7" s="41" t="n">
        <f aca="false">IF(C7="","",H7-I7)</f>
        <v>15</v>
      </c>
      <c r="K7" s="42"/>
      <c r="L7" s="34" t="str">
        <f aca="false">IF(C7="","",IF(AND(D7&lt;&gt;"",D7&lt;=$B$3),"離職結算",IF(AND(MONTH($B$3)=12,DAY($B$3)=31),"年度結算","")))</f>
        <v/>
      </c>
      <c r="M7" s="41" t="n">
        <f aca="false">IF(OR(C7="",L7=""),0,N(G7)-MIN(N(G7),I7))</f>
        <v>0</v>
      </c>
      <c r="N7" s="41" t="n">
        <f aca="false">IF(OR(C7="",L7=""),0,IF(L7="離職結算",J7-M7,MAX(0,J7-M7-N(K7))))</f>
        <v>0</v>
      </c>
      <c r="O7" s="43" t="n">
        <f aca="false">IF(C7="","",IFERROR(ROUND((INDEX(流程1_月結表!$G$6:$G$8,MATCH(A7,流程1_月結表!$B$6:$B$8,0))+INDEX(流程1_月結表!$H$6:$H$8,MATCH(A7,流程1_月結表!$B$6:$B$8,0))*流程1_參數!$C$7)/流程1_參數!$C$5,2),0))</f>
        <v>1500</v>
      </c>
      <c r="P7" s="44"/>
      <c r="Q7" s="43" t="n">
        <f aca="false">IF(OR(C7="",L7=""),0,ROUND(N7*O7+M7*IF(P7="",O7,P7),0))</f>
        <v>0</v>
      </c>
      <c r="R7" s="41" t="n">
        <f aca="false">IF($C7="","",SUMIFS(流程1_請假申請!$I$5:$I$64,流程1_請假申請!$D$5:$D$64,$B7,流程1_請假申請!$F$5:$F$64,"病假（普通傷病假）",流程1_請假申請!$M$5:$M$64,"已確認",流程1_請假申請!$G$5:$G$64,"&gt;="&amp;DATE(YEAR($B$3),1,1),流程1_請假申請!$G$5:$G$64,"&lt;="&amp;$B$3))</f>
        <v>0</v>
      </c>
      <c r="S7" s="41" t="n">
        <f aca="false">IF($C7="","",SUMIFS(流程1_請假申請!$I$5:$I$64,流程1_請假申請!$D$5:$D$64,$B7,流程1_請假申請!$F$5:$F$64,"事假",流程1_請假申請!$M$5:$M$64,"已確認",流程1_請假申請!$G$5:$G$64,"&gt;="&amp;DATE(YEAR($B$3),1,1),流程1_請假申請!$G$5:$G$64,"&lt;="&amp;$B$3))</f>
        <v>0</v>
      </c>
      <c r="T7" s="41" t="n">
        <f aca="false">IF($C7="","",SUMIFS(流程1_請假申請!$I$5:$I$64,流程1_請假申請!$D$5:$D$64,$B7,流程1_請假申請!$F$5:$F$64,"家庭照顧假",流程1_請假申請!$M$5:$M$64,"已確認",流程1_請假申請!$G$5:$G$64,"&gt;="&amp;DATE(YEAR($B$3),1,1),流程1_請假申請!$G$5:$G$64,"&lt;="&amp;$B$3))</f>
        <v>0</v>
      </c>
      <c r="U7" s="41" t="n">
        <f aca="false">IF($C7="","",SUMIFS(流程1_請假申請!$I$5:$I$64,流程1_請假申請!$D$5:$D$64,$B7,流程1_請假申請!$F$5:$F$64,"生理假",流程1_請假申請!$M$5:$M$64,"已確認",流程1_請假申請!$G$5:$G$64,"&gt;="&amp;DATE(YEAR($B$3),1,1),流程1_請假申請!$G$5:$G$64,"&lt;="&amp;$B$3))</f>
        <v>0</v>
      </c>
      <c r="V7" s="41" t="n">
        <f aca="false">IF($C7="","",SUMIFS(流程1_請假申請!$I$5:$I$64,流程1_請假申請!$D$5:$D$64,$B7,流程1_請假申請!$F$5:$F$64,"安胎休養假",流程1_請假申請!$M$5:$M$64,"已確認",流程1_請假申請!$G$5:$G$64,"&gt;="&amp;DATE(YEAR($B$3),1,1),流程1_請假申請!$G$5:$G$64,"&lt;="&amp;$B$3))</f>
        <v>0</v>
      </c>
      <c r="W7" s="41" t="n">
        <f aca="false">IF($C7="","",SUMIFS(流程1_請假申請!$I$5:$I$64,流程1_請假申請!$D$5:$D$64,$B7,流程1_請假申請!$F$5:$F$64,"婚假",流程1_請假申請!$M$5:$M$64,"已確認",流程1_請假申請!$G$5:$G$64,"&gt;="&amp;DATE(YEAR($B$3),1,1),流程1_請假申請!$G$5:$G$64,"&lt;="&amp;$B$3))</f>
        <v>0</v>
      </c>
      <c r="X7" s="41" t="n">
        <f aca="false">IF($C7="","",SUMIFS(流程1_請假申請!$I$5:$I$64,流程1_請假申請!$D$5:$D$64,$B7,流程1_請假申請!$F$5:$F$64,"喪假",流程1_請假申請!$M$5:$M$64,"已確認",流程1_請假申請!$G$5:$G$64,"&gt;="&amp;DATE(YEAR($B$3),1,1),流程1_請假申請!$G$5:$G$64,"&lt;="&amp;$B$3))</f>
        <v>0</v>
      </c>
      <c r="Y7" s="41" t="n">
        <f aca="false">IF($C7="","",SUMIFS(流程1_請假申請!$I$5:$I$64,流程1_請假申請!$D$5:$D$64,$B7,流程1_請假申請!$F$5:$F$64,"產假",流程1_請假申請!$M$5:$M$64,"已確認",流程1_請假申請!$G$5:$G$64,"&gt;="&amp;DATE(YEAR($B$3),1,1),流程1_請假申請!$G$5:$G$64,"&lt;="&amp;$B$3))</f>
        <v>0</v>
      </c>
      <c r="Z7" s="41" t="n">
        <f aca="false">IF($C7="","",SUMIFS(流程1_請假申請!$I$5:$I$64,流程1_請假申請!$D$5:$D$64,$B7,流程1_請假申請!$F$5:$F$64,"產檢假",流程1_請假申請!$M$5:$M$64,"已確認",流程1_請假申請!$G$5:$G$64,"&gt;="&amp;DATE(YEAR($B$3),1,1),流程1_請假申請!$G$5:$G$64,"&lt;="&amp;$B$3))</f>
        <v>0</v>
      </c>
      <c r="AA7" s="41" t="n">
        <f aca="false">IF($C7="","",SUMIFS(流程1_請假申請!$I$5:$I$64,流程1_請假申請!$D$5:$D$64,$B7,流程1_請假申請!$F$5:$F$64,"陪產檢及陪產假",流程1_請假申請!$M$5:$M$64,"已確認",流程1_請假申請!$G$5:$G$64,"&gt;="&amp;DATE(YEAR($B$3),1,1),流程1_請假申請!$G$5:$G$64,"&lt;="&amp;$B$3))</f>
        <v>0</v>
      </c>
      <c r="AB7" s="41" t="n">
        <f aca="false">IF($C7="","",SUMIFS(流程1_請假申請!$I$5:$I$64,流程1_請假申請!$D$5:$D$64,$B7,流程1_請假申請!$F$5:$F$64,"公傷病假",流程1_請假申請!$M$5:$M$64,"已確認",流程1_請假申請!$G$5:$G$64,"&gt;="&amp;DATE(YEAR($B$3),1,1),流程1_請假申請!$G$5:$G$64,"&lt;="&amp;$B$3))</f>
        <v>0</v>
      </c>
      <c r="AC7" s="41" t="n">
        <f aca="false">IF($C7="","",SUMIFS(流程1_請假申請!$I$5:$I$64,流程1_請假申請!$D$5:$D$64,$B7,流程1_請假申請!$F$5:$F$64,"公假",流程1_請假申請!$M$5:$M$64,"已確認",流程1_請假申請!$G$5:$G$64,"&gt;="&amp;DATE(YEAR($B$3),1,1),流程1_請假申請!$G$5:$G$64,"&lt;="&amp;$B$3))</f>
        <v>0</v>
      </c>
      <c r="AD7" s="41" t="n">
        <f aca="false">IF($C7="","",SUMIFS(流程1_請假申請!$I$5:$I$64,流程1_請假申請!$D$5:$D$64,$B7,流程1_請假申請!$F$5:$F$64,"特別休假",流程1_請假申請!$M$5:$M$64,"已確認",流程1_請假申請!$G$5:$G$64,"&gt;="&amp;DATE(YEAR($B$3),1,1),流程1_請假申請!$G$5:$G$64,"&lt;="&amp;$B$3))</f>
        <v>0</v>
      </c>
      <c r="AE7" s="41" t="n">
        <f aca="false">IF($C7="","",SUMIFS(流程1_請假申請!$I$5:$I$64,流程1_請假申請!$D$5:$D$64,$B7,流程1_請假申請!$F$5:$F$64,"育嬰留職停薪",流程1_請假申請!$M$5:$M$64,"已確認",流程1_請假申請!$G$5:$G$64,"&gt;="&amp;DATE(YEAR($B$3),1,1),流程1_請假申請!$G$5:$G$64,"&lt;="&amp;$B$3))</f>
        <v>0</v>
      </c>
      <c r="AF7" s="41" t="n">
        <f aca="false">IF(C7="","",30-R7)</f>
        <v>30</v>
      </c>
      <c r="AG7" s="41" t="n">
        <f aca="false">IF(C7="","",14-S7)</f>
        <v>14</v>
      </c>
      <c r="AH7" s="40" t="n">
        <f aca="false">IF(C7="","",IF(D7="",DATE(YEAR($B$3)+1,1,1),MIN(DATE(YEAR($B$3)+1,1,1),D7+1)))</f>
        <v>46388</v>
      </c>
      <c r="AI7" s="40" t="n">
        <f aca="false">IF(C7="","",MAX(DATE(YEAR($B$3),1,1),MIN(AH7,EDATE(C7,6))))</f>
        <v>46023</v>
      </c>
      <c r="AJ7" s="40" t="n">
        <f aca="false">IF(C7="","",MAX(AI7,MIN(AH7,EDATE(C7,12*MAX(1,YEAR($B$3)-YEAR(C7))))))</f>
        <v>46026</v>
      </c>
      <c r="AK7" s="34" t="n">
        <f aca="false">IF(C7="","",IF(IF(DATE(YEAR($B$3),1,1)&lt;$C7,0,DATEDIF($C7,DATE(YEAR($B$3),1,1),"m"))&lt;6,0,IF(IF(DATE(YEAR($B$3),1,1)&lt;$C7,0,DATEDIF($C7,DATE(YEAR($B$3),1,1),"m"))&lt;12,6,IF(IF(DATE(YEAR($B$3),1,1)&lt;$C7,0,DATEDIF($C7,DATE(YEAR($B$3),1,1),"m"))&lt;24,7,IF(IF(DATE(YEAR($B$3),1,1)&lt;$C7,0,DATEDIF($C7,DATE(YEAR($B$3),1,1),"m"))&lt;36,10,IF(IF(DATE(YEAR($B$3),1,1)&lt;$C7,0,DATEDIF($C7,DATE(YEAR($B$3),1,1),"m"))&lt;60,14,IF(IF(DATE(YEAR($B$3),1,1)&lt;$C7,0,DATEDIF($C7,DATE(YEAR($B$3),1,1),"m"))&lt;120,15,MIN(30,15+INT(IF(DATE(YEAR($B$3),1,1)&lt;$C7,0,DATEDIF($C7,DATE(YEAR($B$3),1,1),"m"))/12)-9))))))))</f>
        <v>14</v>
      </c>
      <c r="AL7" s="34" t="n">
        <f aca="false">IF(C7="","",IF(IF(AI7&lt;$C7,0,DATEDIF($C7,AI7,"m"))&lt;6,0,IF(IF(AI7&lt;$C7,0,DATEDIF($C7,AI7,"m"))&lt;12,6,IF(IF(AI7&lt;$C7,0,DATEDIF($C7,AI7,"m"))&lt;24,7,IF(IF(AI7&lt;$C7,0,DATEDIF($C7,AI7,"m"))&lt;36,10,IF(IF(AI7&lt;$C7,0,DATEDIF($C7,AI7,"m"))&lt;60,14,IF(IF(AI7&lt;$C7,0,DATEDIF($C7,AI7,"m"))&lt;120,15,MIN(30,15+INT(IF(AI7&lt;$C7,0,DATEDIF($C7,AI7,"m"))/12)-9))))))))</f>
        <v>14</v>
      </c>
      <c r="AM7" s="34" t="n">
        <f aca="false">IF(C7="","",IF(IF(AJ7&lt;$C7,0,DATEDIF($C7,AJ7,"m"))&lt;6,0,IF(IF(AJ7&lt;$C7,0,DATEDIF($C7,AJ7,"m"))&lt;12,6,IF(IF(AJ7&lt;$C7,0,DATEDIF($C7,AJ7,"m"))&lt;24,7,IF(IF(AJ7&lt;$C7,0,DATEDIF($C7,AJ7,"m"))&lt;36,10,IF(IF(AJ7&lt;$C7,0,DATEDIF($C7,AJ7,"m"))&lt;60,14,IF(IF(AJ7&lt;$C7,0,DATEDIF($C7,AJ7,"m"))&lt;120,15,MIN(30,15+INT(IF(AJ7&lt;$C7,0,DATEDIF($C7,AJ7,"m"))/12)-9))))))))</f>
        <v>15</v>
      </c>
      <c r="AN7" s="33" t="n">
        <f aca="false">IF(C7="","",((AI7-DATE(YEAR($B$3),1,1))*AK7+(AJ7-AI7)*AL7+(AH7-AJ7)*AM7)/(DATE(YEAR($B$3)+1,1,1)-DATE(YEAR($B$3),1,1)))</f>
        <v>14.9917808219178</v>
      </c>
    </row>
    <row r="8" customFormat="false" ht="15" hidden="false" customHeight="false" outlineLevel="0" collapsed="false">
      <c r="A8" s="34" t="str">
        <f aca="false">IF(流程1_請假申請!U8="","",流程1_請假申請!T8)</f>
        <v/>
      </c>
      <c r="B8" s="34" t="str">
        <f aca="false">IF(流程1_請假申請!U8="","",流程1_請假申請!U8)</f>
        <v/>
      </c>
      <c r="C8" s="40" t="str">
        <f aca="false">IF(流程1_請假申請!U8="","",流程1_請假申請!W8)</f>
        <v/>
      </c>
      <c r="D8" s="40" t="str">
        <f aca="false">IF(流程1_請假申請!X8="","",流程1_請假申請!X8)</f>
        <v/>
      </c>
      <c r="E8" s="34" t="str">
        <f aca="false">IF(C8="","",IF($B$3&lt;C8,0,DATEDIF(C8,$B$3,"m")))</f>
        <v/>
      </c>
      <c r="F8" s="41" t="str">
        <f aca="false">IF(C8="","",IF(AN8=0,0,CEILING(ROUND(AN8,2),$E$3)))</f>
        <v/>
      </c>
      <c r="G8" s="42"/>
      <c r="H8" s="41" t="str">
        <f aca="false">IF(C8="","",F8+G8)</f>
        <v/>
      </c>
      <c r="I8" s="41" t="str">
        <f aca="false">IF(C8="","",SUMIFS(流程1_請假申請!$I$5:$I$64,流程1_請假申請!$D$5:$D$64,B8,流程1_請假申請!$F$5:$F$64,"特別休假",流程1_請假申請!$M$5:$M$64,"已確認",流程1_請假申請!$G$5:$G$64,"&gt;="&amp;DATE(YEAR($B$3),1,1),流程1_請假申請!$G$5:$G$64,"&lt;="&amp;$B$3))</f>
        <v/>
      </c>
      <c r="J8" s="41" t="str">
        <f aca="false">IF(C8="","",H8-I8)</f>
        <v/>
      </c>
      <c r="K8" s="42"/>
      <c r="L8" s="34" t="str">
        <f aca="false">IF(C8="","",IF(AND(D8&lt;&gt;"",D8&lt;=$B$3),"離職結算",IF(AND(MONTH($B$3)=12,DAY($B$3)=31),"年度結算","")))</f>
        <v/>
      </c>
      <c r="M8" s="41" t="n">
        <f aca="false">IF(OR(C8="",L8=""),0,N(G8)-MIN(N(G8),I8))</f>
        <v>0</v>
      </c>
      <c r="N8" s="41" t="n">
        <f aca="false">IF(OR(C8="",L8=""),0,IF(L8="離職結算",J8-M8,MAX(0,J8-M8-N(K8))))</f>
        <v>0</v>
      </c>
      <c r="O8" s="43" t="str">
        <f aca="false">IF(C8="","",IFERROR(ROUND((INDEX(流程1_月結表!$G$6:$G$8,MATCH(A8,流程1_月結表!$B$6:$B$8,0))+INDEX(流程1_月結表!$H$6:$H$8,MATCH(A8,流程1_月結表!$B$6:$B$8,0))*流程1_參數!$C$7)/流程1_參數!$C$5,2),0))</f>
        <v/>
      </c>
      <c r="P8" s="44"/>
      <c r="Q8" s="43" t="n">
        <f aca="false">IF(OR(C8="",L8=""),0,ROUND(N8*O8+M8*IF(P8="",O8,P8),0))</f>
        <v>0</v>
      </c>
      <c r="R8" s="41" t="str">
        <f aca="false">IF($C8="","",SUMIFS(流程1_請假申請!$I$5:$I$64,流程1_請假申請!$D$5:$D$64,$B8,流程1_請假申請!$F$5:$F$64,"病假（普通傷病假）",流程1_請假申請!$M$5:$M$64,"已確認",流程1_請假申請!$G$5:$G$64,"&gt;="&amp;DATE(YEAR($B$3),1,1),流程1_請假申請!$G$5:$G$64,"&lt;="&amp;$B$3))</f>
        <v/>
      </c>
      <c r="S8" s="41" t="str">
        <f aca="false">IF($C8="","",SUMIFS(流程1_請假申請!$I$5:$I$64,流程1_請假申請!$D$5:$D$64,$B8,流程1_請假申請!$F$5:$F$64,"事假",流程1_請假申請!$M$5:$M$64,"已確認",流程1_請假申請!$G$5:$G$64,"&gt;="&amp;DATE(YEAR($B$3),1,1),流程1_請假申請!$G$5:$G$64,"&lt;="&amp;$B$3))</f>
        <v/>
      </c>
      <c r="T8" s="41" t="str">
        <f aca="false">IF($C8="","",SUMIFS(流程1_請假申請!$I$5:$I$64,流程1_請假申請!$D$5:$D$64,$B8,流程1_請假申請!$F$5:$F$64,"家庭照顧假",流程1_請假申請!$M$5:$M$64,"已確認",流程1_請假申請!$G$5:$G$64,"&gt;="&amp;DATE(YEAR($B$3),1,1),流程1_請假申請!$G$5:$G$64,"&lt;="&amp;$B$3))</f>
        <v/>
      </c>
      <c r="U8" s="41" t="str">
        <f aca="false">IF($C8="","",SUMIFS(流程1_請假申請!$I$5:$I$64,流程1_請假申請!$D$5:$D$64,$B8,流程1_請假申請!$F$5:$F$64,"生理假",流程1_請假申請!$M$5:$M$64,"已確認",流程1_請假申請!$G$5:$G$64,"&gt;="&amp;DATE(YEAR($B$3),1,1),流程1_請假申請!$G$5:$G$64,"&lt;="&amp;$B$3))</f>
        <v/>
      </c>
      <c r="V8" s="41" t="str">
        <f aca="false">IF($C8="","",SUMIFS(流程1_請假申請!$I$5:$I$64,流程1_請假申請!$D$5:$D$64,$B8,流程1_請假申請!$F$5:$F$64,"安胎休養假",流程1_請假申請!$M$5:$M$64,"已確認",流程1_請假申請!$G$5:$G$64,"&gt;="&amp;DATE(YEAR($B$3),1,1),流程1_請假申請!$G$5:$G$64,"&lt;="&amp;$B$3))</f>
        <v/>
      </c>
      <c r="W8" s="41" t="str">
        <f aca="false">IF($C8="","",SUMIFS(流程1_請假申請!$I$5:$I$64,流程1_請假申請!$D$5:$D$64,$B8,流程1_請假申請!$F$5:$F$64,"婚假",流程1_請假申請!$M$5:$M$64,"已確認",流程1_請假申請!$G$5:$G$64,"&gt;="&amp;DATE(YEAR($B$3),1,1),流程1_請假申請!$G$5:$G$64,"&lt;="&amp;$B$3))</f>
        <v/>
      </c>
      <c r="X8" s="41" t="str">
        <f aca="false">IF($C8="","",SUMIFS(流程1_請假申請!$I$5:$I$64,流程1_請假申請!$D$5:$D$64,$B8,流程1_請假申請!$F$5:$F$64,"喪假",流程1_請假申請!$M$5:$M$64,"已確認",流程1_請假申請!$G$5:$G$64,"&gt;="&amp;DATE(YEAR($B$3),1,1),流程1_請假申請!$G$5:$G$64,"&lt;="&amp;$B$3))</f>
        <v/>
      </c>
      <c r="Y8" s="41" t="str">
        <f aca="false">IF($C8="","",SUMIFS(流程1_請假申請!$I$5:$I$64,流程1_請假申請!$D$5:$D$64,$B8,流程1_請假申請!$F$5:$F$64,"產假",流程1_請假申請!$M$5:$M$64,"已確認",流程1_請假申請!$G$5:$G$64,"&gt;="&amp;DATE(YEAR($B$3),1,1),流程1_請假申請!$G$5:$G$64,"&lt;="&amp;$B$3))</f>
        <v/>
      </c>
      <c r="Z8" s="41" t="str">
        <f aca="false">IF($C8="","",SUMIFS(流程1_請假申請!$I$5:$I$64,流程1_請假申請!$D$5:$D$64,$B8,流程1_請假申請!$F$5:$F$64,"產檢假",流程1_請假申請!$M$5:$M$64,"已確認",流程1_請假申請!$G$5:$G$64,"&gt;="&amp;DATE(YEAR($B$3),1,1),流程1_請假申請!$G$5:$G$64,"&lt;="&amp;$B$3))</f>
        <v/>
      </c>
      <c r="AA8" s="41" t="str">
        <f aca="false">IF($C8="","",SUMIFS(流程1_請假申請!$I$5:$I$64,流程1_請假申請!$D$5:$D$64,$B8,流程1_請假申請!$F$5:$F$64,"陪產檢及陪產假",流程1_請假申請!$M$5:$M$64,"已確認",流程1_請假申請!$G$5:$G$64,"&gt;="&amp;DATE(YEAR($B$3),1,1),流程1_請假申請!$G$5:$G$64,"&lt;="&amp;$B$3))</f>
        <v/>
      </c>
      <c r="AB8" s="41" t="str">
        <f aca="false">IF($C8="","",SUMIFS(流程1_請假申請!$I$5:$I$64,流程1_請假申請!$D$5:$D$64,$B8,流程1_請假申請!$F$5:$F$64,"公傷病假",流程1_請假申請!$M$5:$M$64,"已確認",流程1_請假申請!$G$5:$G$64,"&gt;="&amp;DATE(YEAR($B$3),1,1),流程1_請假申請!$G$5:$G$64,"&lt;="&amp;$B$3))</f>
        <v/>
      </c>
      <c r="AC8" s="41" t="str">
        <f aca="false">IF($C8="","",SUMIFS(流程1_請假申請!$I$5:$I$64,流程1_請假申請!$D$5:$D$64,$B8,流程1_請假申請!$F$5:$F$64,"公假",流程1_請假申請!$M$5:$M$64,"已確認",流程1_請假申請!$G$5:$G$64,"&gt;="&amp;DATE(YEAR($B$3),1,1),流程1_請假申請!$G$5:$G$64,"&lt;="&amp;$B$3))</f>
        <v/>
      </c>
      <c r="AD8" s="41" t="str">
        <f aca="false">IF($C8="","",SUMIFS(流程1_請假申請!$I$5:$I$64,流程1_請假申請!$D$5:$D$64,$B8,流程1_請假申請!$F$5:$F$64,"特別休假",流程1_請假申請!$M$5:$M$64,"已確認",流程1_請假申請!$G$5:$G$64,"&gt;="&amp;DATE(YEAR($B$3),1,1),流程1_請假申請!$G$5:$G$64,"&lt;="&amp;$B$3))</f>
        <v/>
      </c>
      <c r="AE8" s="41" t="str">
        <f aca="false">IF($C8="","",SUMIFS(流程1_請假申請!$I$5:$I$64,流程1_請假申請!$D$5:$D$64,$B8,流程1_請假申請!$F$5:$F$64,"育嬰留職停薪",流程1_請假申請!$M$5:$M$64,"已確認",流程1_請假申請!$G$5:$G$64,"&gt;="&amp;DATE(YEAR($B$3),1,1),流程1_請假申請!$G$5:$G$64,"&lt;="&amp;$B$3))</f>
        <v/>
      </c>
      <c r="AF8" s="41" t="str">
        <f aca="false">IF(C8="","",30-R8)</f>
        <v/>
      </c>
      <c r="AG8" s="41" t="str">
        <f aca="false">IF(C8="","",14-S8)</f>
        <v/>
      </c>
      <c r="AH8" s="40" t="str">
        <f aca="false">IF(C8="","",IF(D8="",DATE(YEAR($B$3)+1,1,1),MIN(DATE(YEAR($B$3)+1,1,1),D8+1)))</f>
        <v/>
      </c>
      <c r="AI8" s="40" t="str">
        <f aca="false">IF(C8="","",MAX(DATE(YEAR($B$3),1,1),MIN(AH8,EDATE(C8,6))))</f>
        <v/>
      </c>
      <c r="AJ8" s="40" t="str">
        <f aca="false">IF(C8="","",MAX(AI8,MIN(AH8,EDATE(C8,12*MAX(1,YEAR($B$3)-YEAR(C8))))))</f>
        <v/>
      </c>
      <c r="AK8" s="34" t="str">
        <f aca="false">IF(C8="","",IF(IF(DATE(YEAR($B$3),1,1)&lt;$C8,0,DATEDIF($C8,DATE(YEAR($B$3),1,1),"m"))&lt;6,0,IF(IF(DATE(YEAR($B$3),1,1)&lt;$C8,0,DATEDIF($C8,DATE(YEAR($B$3),1,1),"m"))&lt;12,6,IF(IF(DATE(YEAR($B$3),1,1)&lt;$C8,0,DATEDIF($C8,DATE(YEAR($B$3),1,1),"m"))&lt;24,7,IF(IF(DATE(YEAR($B$3),1,1)&lt;$C8,0,DATEDIF($C8,DATE(YEAR($B$3),1,1),"m"))&lt;36,10,IF(IF(DATE(YEAR($B$3),1,1)&lt;$C8,0,DATEDIF($C8,DATE(YEAR($B$3),1,1),"m"))&lt;60,14,IF(IF(DATE(YEAR($B$3),1,1)&lt;$C8,0,DATEDIF($C8,DATE(YEAR($B$3),1,1),"m"))&lt;120,15,MIN(30,15+INT(IF(DATE(YEAR($B$3),1,1)&lt;$C8,0,DATEDIF($C8,DATE(YEAR($B$3),1,1),"m"))/12)-9))))))))</f>
        <v/>
      </c>
      <c r="AL8" s="34" t="str">
        <f aca="false">IF(C8="","",IF(IF(AI8&lt;$C8,0,DATEDIF($C8,AI8,"m"))&lt;6,0,IF(IF(AI8&lt;$C8,0,DATEDIF($C8,AI8,"m"))&lt;12,6,IF(IF(AI8&lt;$C8,0,DATEDIF($C8,AI8,"m"))&lt;24,7,IF(IF(AI8&lt;$C8,0,DATEDIF($C8,AI8,"m"))&lt;36,10,IF(IF(AI8&lt;$C8,0,DATEDIF($C8,AI8,"m"))&lt;60,14,IF(IF(AI8&lt;$C8,0,DATEDIF($C8,AI8,"m"))&lt;120,15,MIN(30,15+INT(IF(AI8&lt;$C8,0,DATEDIF($C8,AI8,"m"))/12)-9))))))))</f>
        <v/>
      </c>
      <c r="AM8" s="34" t="str">
        <f aca="false">IF(C8="","",IF(IF(AJ8&lt;$C8,0,DATEDIF($C8,AJ8,"m"))&lt;6,0,IF(IF(AJ8&lt;$C8,0,DATEDIF($C8,AJ8,"m"))&lt;12,6,IF(IF(AJ8&lt;$C8,0,DATEDIF($C8,AJ8,"m"))&lt;24,7,IF(IF(AJ8&lt;$C8,0,DATEDIF($C8,AJ8,"m"))&lt;36,10,IF(IF(AJ8&lt;$C8,0,DATEDIF($C8,AJ8,"m"))&lt;60,14,IF(IF(AJ8&lt;$C8,0,DATEDIF($C8,AJ8,"m"))&lt;120,15,MIN(30,15+INT(IF(AJ8&lt;$C8,0,DATEDIF($C8,AJ8,"m"))/12)-9))))))))</f>
        <v/>
      </c>
      <c r="AN8" s="33" t="str">
        <f aca="false">IF(C8="","",((AI8-DATE(YEAR($B$3),1,1))*AK8+(AJ8-AI8)*AL8+(AH8-AJ8)*AM8)/(DATE(YEAR($B$3)+1,1,1)-DATE(YEAR($B$3),1,1)))</f>
        <v/>
      </c>
    </row>
    <row r="9" customFormat="false" ht="15" hidden="false" customHeight="false" outlineLevel="0" collapsed="false">
      <c r="A9" s="34" t="str">
        <f aca="false">IF(流程1_請假申請!U9="","",流程1_請假申請!T9)</f>
        <v/>
      </c>
      <c r="B9" s="34" t="str">
        <f aca="false">IF(流程1_請假申請!U9="","",流程1_請假申請!U9)</f>
        <v/>
      </c>
      <c r="C9" s="40" t="str">
        <f aca="false">IF(流程1_請假申請!U9="","",流程1_請假申請!W9)</f>
        <v/>
      </c>
      <c r="D9" s="40" t="str">
        <f aca="false">IF(流程1_請假申請!X9="","",流程1_請假申請!X9)</f>
        <v/>
      </c>
      <c r="E9" s="34" t="str">
        <f aca="false">IF(C9="","",IF($B$3&lt;C9,0,DATEDIF(C9,$B$3,"m")))</f>
        <v/>
      </c>
      <c r="F9" s="41" t="str">
        <f aca="false">IF(C9="","",IF(AN9=0,0,CEILING(ROUND(AN9,2),$E$3)))</f>
        <v/>
      </c>
      <c r="G9" s="42"/>
      <c r="H9" s="41" t="str">
        <f aca="false">IF(C9="","",F9+G9)</f>
        <v/>
      </c>
      <c r="I9" s="41" t="str">
        <f aca="false">IF(C9="","",SUMIFS(流程1_請假申請!$I$5:$I$64,流程1_請假申請!$D$5:$D$64,B9,流程1_請假申請!$F$5:$F$64,"特別休假",流程1_請假申請!$M$5:$M$64,"已確認",流程1_請假申請!$G$5:$G$64,"&gt;="&amp;DATE(YEAR($B$3),1,1),流程1_請假申請!$G$5:$G$64,"&lt;="&amp;$B$3))</f>
        <v/>
      </c>
      <c r="J9" s="41" t="str">
        <f aca="false">IF(C9="","",H9-I9)</f>
        <v/>
      </c>
      <c r="K9" s="42"/>
      <c r="L9" s="34" t="str">
        <f aca="false">IF(C9="","",IF(AND(D9&lt;&gt;"",D9&lt;=$B$3),"離職結算",IF(AND(MONTH($B$3)=12,DAY($B$3)=31),"年度結算","")))</f>
        <v/>
      </c>
      <c r="M9" s="41" t="n">
        <f aca="false">IF(OR(C9="",L9=""),0,N(G9)-MIN(N(G9),I9))</f>
        <v>0</v>
      </c>
      <c r="N9" s="41" t="n">
        <f aca="false">IF(OR(C9="",L9=""),0,IF(L9="離職結算",J9-M9,MAX(0,J9-M9-N(K9))))</f>
        <v>0</v>
      </c>
      <c r="O9" s="43" t="str">
        <f aca="false">IF(C9="","",IFERROR(ROUND((INDEX(流程1_月結表!$G$6:$G$8,MATCH(A9,流程1_月結表!$B$6:$B$8,0))+INDEX(流程1_月結表!$H$6:$H$8,MATCH(A9,流程1_月結表!$B$6:$B$8,0))*流程1_參數!$C$7)/流程1_參數!$C$5,2),0))</f>
        <v/>
      </c>
      <c r="P9" s="44"/>
      <c r="Q9" s="43" t="n">
        <f aca="false">IF(OR(C9="",L9=""),0,ROUND(N9*O9+M9*IF(P9="",O9,P9),0))</f>
        <v>0</v>
      </c>
      <c r="R9" s="41" t="str">
        <f aca="false">IF($C9="","",SUMIFS(流程1_請假申請!$I$5:$I$64,流程1_請假申請!$D$5:$D$64,$B9,流程1_請假申請!$F$5:$F$64,"病假（普通傷病假）",流程1_請假申請!$M$5:$M$64,"已確認",流程1_請假申請!$G$5:$G$64,"&gt;="&amp;DATE(YEAR($B$3),1,1),流程1_請假申請!$G$5:$G$64,"&lt;="&amp;$B$3))</f>
        <v/>
      </c>
      <c r="S9" s="41" t="str">
        <f aca="false">IF($C9="","",SUMIFS(流程1_請假申請!$I$5:$I$64,流程1_請假申請!$D$5:$D$64,$B9,流程1_請假申請!$F$5:$F$64,"事假",流程1_請假申請!$M$5:$M$64,"已確認",流程1_請假申請!$G$5:$G$64,"&gt;="&amp;DATE(YEAR($B$3),1,1),流程1_請假申請!$G$5:$G$64,"&lt;="&amp;$B$3))</f>
        <v/>
      </c>
      <c r="T9" s="41" t="str">
        <f aca="false">IF($C9="","",SUMIFS(流程1_請假申請!$I$5:$I$64,流程1_請假申請!$D$5:$D$64,$B9,流程1_請假申請!$F$5:$F$64,"家庭照顧假",流程1_請假申請!$M$5:$M$64,"已確認",流程1_請假申請!$G$5:$G$64,"&gt;="&amp;DATE(YEAR($B$3),1,1),流程1_請假申請!$G$5:$G$64,"&lt;="&amp;$B$3))</f>
        <v/>
      </c>
      <c r="U9" s="41" t="str">
        <f aca="false">IF($C9="","",SUMIFS(流程1_請假申請!$I$5:$I$64,流程1_請假申請!$D$5:$D$64,$B9,流程1_請假申請!$F$5:$F$64,"生理假",流程1_請假申請!$M$5:$M$64,"已確認",流程1_請假申請!$G$5:$G$64,"&gt;="&amp;DATE(YEAR($B$3),1,1),流程1_請假申請!$G$5:$G$64,"&lt;="&amp;$B$3))</f>
        <v/>
      </c>
      <c r="V9" s="41" t="str">
        <f aca="false">IF($C9="","",SUMIFS(流程1_請假申請!$I$5:$I$64,流程1_請假申請!$D$5:$D$64,$B9,流程1_請假申請!$F$5:$F$64,"安胎休養假",流程1_請假申請!$M$5:$M$64,"已確認",流程1_請假申請!$G$5:$G$64,"&gt;="&amp;DATE(YEAR($B$3),1,1),流程1_請假申請!$G$5:$G$64,"&lt;="&amp;$B$3))</f>
        <v/>
      </c>
      <c r="W9" s="41" t="str">
        <f aca="false">IF($C9="","",SUMIFS(流程1_請假申請!$I$5:$I$64,流程1_請假申請!$D$5:$D$64,$B9,流程1_請假申請!$F$5:$F$64,"婚假",流程1_請假申請!$M$5:$M$64,"已確認",流程1_請假申請!$G$5:$G$64,"&gt;="&amp;DATE(YEAR($B$3),1,1),流程1_請假申請!$G$5:$G$64,"&lt;="&amp;$B$3))</f>
        <v/>
      </c>
      <c r="X9" s="41" t="str">
        <f aca="false">IF($C9="","",SUMIFS(流程1_請假申請!$I$5:$I$64,流程1_請假申請!$D$5:$D$64,$B9,流程1_請假申請!$F$5:$F$64,"喪假",流程1_請假申請!$M$5:$M$64,"已確認",流程1_請假申請!$G$5:$G$64,"&gt;="&amp;DATE(YEAR($B$3),1,1),流程1_請假申請!$G$5:$G$64,"&lt;="&amp;$B$3))</f>
        <v/>
      </c>
      <c r="Y9" s="41" t="str">
        <f aca="false">IF($C9="","",SUMIFS(流程1_請假申請!$I$5:$I$64,流程1_請假申請!$D$5:$D$64,$B9,流程1_請假申請!$F$5:$F$64,"產假",流程1_請假申請!$M$5:$M$64,"已確認",流程1_請假申請!$G$5:$G$64,"&gt;="&amp;DATE(YEAR($B$3),1,1),流程1_請假申請!$G$5:$G$64,"&lt;="&amp;$B$3))</f>
        <v/>
      </c>
      <c r="Z9" s="41" t="str">
        <f aca="false">IF($C9="","",SUMIFS(流程1_請假申請!$I$5:$I$64,流程1_請假申請!$D$5:$D$64,$B9,流程1_請假申請!$F$5:$F$64,"產檢假",流程1_請假申請!$M$5:$M$64,"已確認",流程1_請假申請!$G$5:$G$64,"&gt;="&amp;DATE(YEAR($B$3),1,1),流程1_請假申請!$G$5:$G$64,"&lt;="&amp;$B$3))</f>
        <v/>
      </c>
      <c r="AA9" s="41" t="str">
        <f aca="false">IF($C9="","",SUMIFS(流程1_請假申請!$I$5:$I$64,流程1_請假申請!$D$5:$D$64,$B9,流程1_請假申請!$F$5:$F$64,"陪產檢及陪產假",流程1_請假申請!$M$5:$M$64,"已確認",流程1_請假申請!$G$5:$G$64,"&gt;="&amp;DATE(YEAR($B$3),1,1),流程1_請假申請!$G$5:$G$64,"&lt;="&amp;$B$3))</f>
        <v/>
      </c>
      <c r="AB9" s="41" t="str">
        <f aca="false">IF($C9="","",SUMIFS(流程1_請假申請!$I$5:$I$64,流程1_請假申請!$D$5:$D$64,$B9,流程1_請假申請!$F$5:$F$64,"公傷病假",流程1_請假申請!$M$5:$M$64,"已確認",流程1_請假申請!$G$5:$G$64,"&gt;="&amp;DATE(YEAR($B$3),1,1),流程1_請假申請!$G$5:$G$64,"&lt;="&amp;$B$3))</f>
        <v/>
      </c>
      <c r="AC9" s="41" t="str">
        <f aca="false">IF($C9="","",SUMIFS(流程1_請假申請!$I$5:$I$64,流程1_請假申請!$D$5:$D$64,$B9,流程1_請假申請!$F$5:$F$64,"公假",流程1_請假申請!$M$5:$M$64,"已確認",流程1_請假申請!$G$5:$G$64,"&gt;="&amp;DATE(YEAR($B$3),1,1),流程1_請假申請!$G$5:$G$64,"&lt;="&amp;$B$3))</f>
        <v/>
      </c>
      <c r="AD9" s="41" t="str">
        <f aca="false">IF($C9="","",SUMIFS(流程1_請假申請!$I$5:$I$64,流程1_請假申請!$D$5:$D$64,$B9,流程1_請假申請!$F$5:$F$64,"特別休假",流程1_請假申請!$M$5:$M$64,"已確認",流程1_請假申請!$G$5:$G$64,"&gt;="&amp;DATE(YEAR($B$3),1,1),流程1_請假申請!$G$5:$G$64,"&lt;="&amp;$B$3))</f>
        <v/>
      </c>
      <c r="AE9" s="41" t="str">
        <f aca="false">IF($C9="","",SUMIFS(流程1_請假申請!$I$5:$I$64,流程1_請假申請!$D$5:$D$64,$B9,流程1_請假申請!$F$5:$F$64,"育嬰留職停薪",流程1_請假申請!$M$5:$M$64,"已確認",流程1_請假申請!$G$5:$G$64,"&gt;="&amp;DATE(YEAR($B$3),1,1),流程1_請假申請!$G$5:$G$64,"&lt;="&amp;$B$3))</f>
        <v/>
      </c>
      <c r="AF9" s="41" t="str">
        <f aca="false">IF(C9="","",30-R9)</f>
        <v/>
      </c>
      <c r="AG9" s="41" t="str">
        <f aca="false">IF(C9="","",14-S9)</f>
        <v/>
      </c>
      <c r="AH9" s="40" t="str">
        <f aca="false">IF(C9="","",IF(D9="",DATE(YEAR($B$3)+1,1,1),MIN(DATE(YEAR($B$3)+1,1,1),D9+1)))</f>
        <v/>
      </c>
      <c r="AI9" s="40" t="str">
        <f aca="false">IF(C9="","",MAX(DATE(YEAR($B$3),1,1),MIN(AH9,EDATE(C9,6))))</f>
        <v/>
      </c>
      <c r="AJ9" s="40" t="str">
        <f aca="false">IF(C9="","",MAX(AI9,MIN(AH9,EDATE(C9,12*MAX(1,YEAR($B$3)-YEAR(C9))))))</f>
        <v/>
      </c>
      <c r="AK9" s="34" t="str">
        <f aca="false">IF(C9="","",IF(IF(DATE(YEAR($B$3),1,1)&lt;$C9,0,DATEDIF($C9,DATE(YEAR($B$3),1,1),"m"))&lt;6,0,IF(IF(DATE(YEAR($B$3),1,1)&lt;$C9,0,DATEDIF($C9,DATE(YEAR($B$3),1,1),"m"))&lt;12,6,IF(IF(DATE(YEAR($B$3),1,1)&lt;$C9,0,DATEDIF($C9,DATE(YEAR($B$3),1,1),"m"))&lt;24,7,IF(IF(DATE(YEAR($B$3),1,1)&lt;$C9,0,DATEDIF($C9,DATE(YEAR($B$3),1,1),"m"))&lt;36,10,IF(IF(DATE(YEAR($B$3),1,1)&lt;$C9,0,DATEDIF($C9,DATE(YEAR($B$3),1,1),"m"))&lt;60,14,IF(IF(DATE(YEAR($B$3),1,1)&lt;$C9,0,DATEDIF($C9,DATE(YEAR($B$3),1,1),"m"))&lt;120,15,MIN(30,15+INT(IF(DATE(YEAR($B$3),1,1)&lt;$C9,0,DATEDIF($C9,DATE(YEAR($B$3),1,1),"m"))/12)-9))))))))</f>
        <v/>
      </c>
      <c r="AL9" s="34" t="str">
        <f aca="false">IF(C9="","",IF(IF(AI9&lt;$C9,0,DATEDIF($C9,AI9,"m"))&lt;6,0,IF(IF(AI9&lt;$C9,0,DATEDIF($C9,AI9,"m"))&lt;12,6,IF(IF(AI9&lt;$C9,0,DATEDIF($C9,AI9,"m"))&lt;24,7,IF(IF(AI9&lt;$C9,0,DATEDIF($C9,AI9,"m"))&lt;36,10,IF(IF(AI9&lt;$C9,0,DATEDIF($C9,AI9,"m"))&lt;60,14,IF(IF(AI9&lt;$C9,0,DATEDIF($C9,AI9,"m"))&lt;120,15,MIN(30,15+INT(IF(AI9&lt;$C9,0,DATEDIF($C9,AI9,"m"))/12)-9))))))))</f>
        <v/>
      </c>
      <c r="AM9" s="34" t="str">
        <f aca="false">IF(C9="","",IF(IF(AJ9&lt;$C9,0,DATEDIF($C9,AJ9,"m"))&lt;6,0,IF(IF(AJ9&lt;$C9,0,DATEDIF($C9,AJ9,"m"))&lt;12,6,IF(IF(AJ9&lt;$C9,0,DATEDIF($C9,AJ9,"m"))&lt;24,7,IF(IF(AJ9&lt;$C9,0,DATEDIF($C9,AJ9,"m"))&lt;36,10,IF(IF(AJ9&lt;$C9,0,DATEDIF($C9,AJ9,"m"))&lt;60,14,IF(IF(AJ9&lt;$C9,0,DATEDIF($C9,AJ9,"m"))&lt;120,15,MIN(30,15+INT(IF(AJ9&lt;$C9,0,DATEDIF($C9,AJ9,"m"))/12)-9))))))))</f>
        <v/>
      </c>
      <c r="AN9" s="33" t="str">
        <f aca="false">IF(C9="","",((AI9-DATE(YEAR($B$3),1,1))*AK9+(AJ9-AI9)*AL9+(AH9-AJ9)*AM9)/(DATE(YEAR($B$3)+1,1,1)-DATE(YEAR($B$3),1,1)))</f>
        <v/>
      </c>
    </row>
    <row r="10" customFormat="false" ht="15" hidden="false" customHeight="false" outlineLevel="0" collapsed="false">
      <c r="A10" s="34" t="str">
        <f aca="false">IF(流程1_請假申請!U10="","",流程1_請假申請!T10)</f>
        <v/>
      </c>
      <c r="B10" s="34" t="str">
        <f aca="false">IF(流程1_請假申請!U10="","",流程1_請假申請!U10)</f>
        <v/>
      </c>
      <c r="C10" s="40" t="str">
        <f aca="false">IF(流程1_請假申請!U10="","",流程1_請假申請!W10)</f>
        <v/>
      </c>
      <c r="D10" s="40" t="str">
        <f aca="false">IF(流程1_請假申請!X10="","",流程1_請假申請!X10)</f>
        <v/>
      </c>
      <c r="E10" s="34" t="str">
        <f aca="false">IF(C10="","",IF($B$3&lt;C10,0,DATEDIF(C10,$B$3,"m")))</f>
        <v/>
      </c>
      <c r="F10" s="41" t="str">
        <f aca="false">IF(C10="","",IF(AN10=0,0,CEILING(ROUND(AN10,2),$E$3)))</f>
        <v/>
      </c>
      <c r="G10" s="42"/>
      <c r="H10" s="41" t="str">
        <f aca="false">IF(C10="","",F10+G10)</f>
        <v/>
      </c>
      <c r="I10" s="41" t="str">
        <f aca="false">IF(C10="","",SUMIFS(流程1_請假申請!$I$5:$I$64,流程1_請假申請!$D$5:$D$64,B10,流程1_請假申請!$F$5:$F$64,"特別休假",流程1_請假申請!$M$5:$M$64,"已確認",流程1_請假申請!$G$5:$G$64,"&gt;="&amp;DATE(YEAR($B$3),1,1),流程1_請假申請!$G$5:$G$64,"&lt;="&amp;$B$3))</f>
        <v/>
      </c>
      <c r="J10" s="41" t="str">
        <f aca="false">IF(C10="","",H10-I10)</f>
        <v/>
      </c>
      <c r="K10" s="42"/>
      <c r="L10" s="34" t="str">
        <f aca="false">IF(C10="","",IF(AND(D10&lt;&gt;"",D10&lt;=$B$3),"離職結算",IF(AND(MONTH($B$3)=12,DAY($B$3)=31),"年度結算","")))</f>
        <v/>
      </c>
      <c r="M10" s="41" t="n">
        <f aca="false">IF(OR(C10="",L10=""),0,N(G10)-MIN(N(G10),I10))</f>
        <v>0</v>
      </c>
      <c r="N10" s="41" t="n">
        <f aca="false">IF(OR(C10="",L10=""),0,IF(L10="離職結算",J10-M10,MAX(0,J10-M10-N(K10))))</f>
        <v>0</v>
      </c>
      <c r="O10" s="43" t="str">
        <f aca="false">IF(C10="","",IFERROR(ROUND((INDEX(流程1_月結表!$G$6:$G$8,MATCH(A10,流程1_月結表!$B$6:$B$8,0))+INDEX(流程1_月結表!$H$6:$H$8,MATCH(A10,流程1_月結表!$B$6:$B$8,0))*流程1_參數!$C$7)/流程1_參數!$C$5,2),0))</f>
        <v/>
      </c>
      <c r="P10" s="44"/>
      <c r="Q10" s="43" t="n">
        <f aca="false">IF(OR(C10="",L10=""),0,ROUND(N10*O10+M10*IF(P10="",O10,P10),0))</f>
        <v>0</v>
      </c>
      <c r="R10" s="41" t="str">
        <f aca="false">IF($C10="","",SUMIFS(流程1_請假申請!$I$5:$I$64,流程1_請假申請!$D$5:$D$64,$B10,流程1_請假申請!$F$5:$F$64,"病假（普通傷病假）",流程1_請假申請!$M$5:$M$64,"已確認",流程1_請假申請!$G$5:$G$64,"&gt;="&amp;DATE(YEAR($B$3),1,1),流程1_請假申請!$G$5:$G$64,"&lt;="&amp;$B$3))</f>
        <v/>
      </c>
      <c r="S10" s="41" t="str">
        <f aca="false">IF($C10="","",SUMIFS(流程1_請假申請!$I$5:$I$64,流程1_請假申請!$D$5:$D$64,$B10,流程1_請假申請!$F$5:$F$64,"事假",流程1_請假申請!$M$5:$M$64,"已確認",流程1_請假申請!$G$5:$G$64,"&gt;="&amp;DATE(YEAR($B$3),1,1),流程1_請假申請!$G$5:$G$64,"&lt;="&amp;$B$3))</f>
        <v/>
      </c>
      <c r="T10" s="41" t="str">
        <f aca="false">IF($C10="","",SUMIFS(流程1_請假申請!$I$5:$I$64,流程1_請假申請!$D$5:$D$64,$B10,流程1_請假申請!$F$5:$F$64,"家庭照顧假",流程1_請假申請!$M$5:$M$64,"已確認",流程1_請假申請!$G$5:$G$64,"&gt;="&amp;DATE(YEAR($B$3),1,1),流程1_請假申請!$G$5:$G$64,"&lt;="&amp;$B$3))</f>
        <v/>
      </c>
      <c r="U10" s="41" t="str">
        <f aca="false">IF($C10="","",SUMIFS(流程1_請假申請!$I$5:$I$64,流程1_請假申請!$D$5:$D$64,$B10,流程1_請假申請!$F$5:$F$64,"生理假",流程1_請假申請!$M$5:$M$64,"已確認",流程1_請假申請!$G$5:$G$64,"&gt;="&amp;DATE(YEAR($B$3),1,1),流程1_請假申請!$G$5:$G$64,"&lt;="&amp;$B$3))</f>
        <v/>
      </c>
      <c r="V10" s="41" t="str">
        <f aca="false">IF($C10="","",SUMIFS(流程1_請假申請!$I$5:$I$64,流程1_請假申請!$D$5:$D$64,$B10,流程1_請假申請!$F$5:$F$64,"安胎休養假",流程1_請假申請!$M$5:$M$64,"已確認",流程1_請假申請!$G$5:$G$64,"&gt;="&amp;DATE(YEAR($B$3),1,1),流程1_請假申請!$G$5:$G$64,"&lt;="&amp;$B$3))</f>
        <v/>
      </c>
      <c r="W10" s="41" t="str">
        <f aca="false">IF($C10="","",SUMIFS(流程1_請假申請!$I$5:$I$64,流程1_請假申請!$D$5:$D$64,$B10,流程1_請假申請!$F$5:$F$64,"婚假",流程1_請假申請!$M$5:$M$64,"已確認",流程1_請假申請!$G$5:$G$64,"&gt;="&amp;DATE(YEAR($B$3),1,1),流程1_請假申請!$G$5:$G$64,"&lt;="&amp;$B$3))</f>
        <v/>
      </c>
      <c r="X10" s="41" t="str">
        <f aca="false">IF($C10="","",SUMIFS(流程1_請假申請!$I$5:$I$64,流程1_請假申請!$D$5:$D$64,$B10,流程1_請假申請!$F$5:$F$64,"喪假",流程1_請假申請!$M$5:$M$64,"已確認",流程1_請假申請!$G$5:$G$64,"&gt;="&amp;DATE(YEAR($B$3),1,1),流程1_請假申請!$G$5:$G$64,"&lt;="&amp;$B$3))</f>
        <v/>
      </c>
      <c r="Y10" s="41" t="str">
        <f aca="false">IF($C10="","",SUMIFS(流程1_請假申請!$I$5:$I$64,流程1_請假申請!$D$5:$D$64,$B10,流程1_請假申請!$F$5:$F$64,"產假",流程1_請假申請!$M$5:$M$64,"已確認",流程1_請假申請!$G$5:$G$64,"&gt;="&amp;DATE(YEAR($B$3),1,1),流程1_請假申請!$G$5:$G$64,"&lt;="&amp;$B$3))</f>
        <v/>
      </c>
      <c r="Z10" s="41" t="str">
        <f aca="false">IF($C10="","",SUMIFS(流程1_請假申請!$I$5:$I$64,流程1_請假申請!$D$5:$D$64,$B10,流程1_請假申請!$F$5:$F$64,"產檢假",流程1_請假申請!$M$5:$M$64,"已確認",流程1_請假申請!$G$5:$G$64,"&gt;="&amp;DATE(YEAR($B$3),1,1),流程1_請假申請!$G$5:$G$64,"&lt;="&amp;$B$3))</f>
        <v/>
      </c>
      <c r="AA10" s="41" t="str">
        <f aca="false">IF($C10="","",SUMIFS(流程1_請假申請!$I$5:$I$64,流程1_請假申請!$D$5:$D$64,$B10,流程1_請假申請!$F$5:$F$64,"陪產檢及陪產假",流程1_請假申請!$M$5:$M$64,"已確認",流程1_請假申請!$G$5:$G$64,"&gt;="&amp;DATE(YEAR($B$3),1,1),流程1_請假申請!$G$5:$G$64,"&lt;="&amp;$B$3))</f>
        <v/>
      </c>
      <c r="AB10" s="41" t="str">
        <f aca="false">IF($C10="","",SUMIFS(流程1_請假申請!$I$5:$I$64,流程1_請假申請!$D$5:$D$64,$B10,流程1_請假申請!$F$5:$F$64,"公傷病假",流程1_請假申請!$M$5:$M$64,"已確認",流程1_請假申請!$G$5:$G$64,"&gt;="&amp;DATE(YEAR($B$3),1,1),流程1_請假申請!$G$5:$G$64,"&lt;="&amp;$B$3))</f>
        <v/>
      </c>
      <c r="AC10" s="41" t="str">
        <f aca="false">IF($C10="","",SUMIFS(流程1_請假申請!$I$5:$I$64,流程1_請假申請!$D$5:$D$64,$B10,流程1_請假申請!$F$5:$F$64,"公假",流程1_請假申請!$M$5:$M$64,"已確認",流程1_請假申請!$G$5:$G$64,"&gt;="&amp;DATE(YEAR($B$3),1,1),流程1_請假申請!$G$5:$G$64,"&lt;="&amp;$B$3))</f>
        <v/>
      </c>
      <c r="AD10" s="41" t="str">
        <f aca="false">IF($C10="","",SUMIFS(流程1_請假申請!$I$5:$I$64,流程1_請假申請!$D$5:$D$64,$B10,流程1_請假申請!$F$5:$F$64,"特別休假",流程1_請假申請!$M$5:$M$64,"已確認",流程1_請假申請!$G$5:$G$64,"&gt;="&amp;DATE(YEAR($B$3),1,1),流程1_請假申請!$G$5:$G$64,"&lt;="&amp;$B$3))</f>
        <v/>
      </c>
      <c r="AE10" s="41" t="str">
        <f aca="false">IF($C10="","",SUMIFS(流程1_請假申請!$I$5:$I$64,流程1_請假申請!$D$5:$D$64,$B10,流程1_請假申請!$F$5:$F$64,"育嬰留職停薪",流程1_請假申請!$M$5:$M$64,"已確認",流程1_請假申請!$G$5:$G$64,"&gt;="&amp;DATE(YEAR($B$3),1,1),流程1_請假申請!$G$5:$G$64,"&lt;="&amp;$B$3))</f>
        <v/>
      </c>
      <c r="AF10" s="41" t="str">
        <f aca="false">IF(C10="","",30-R10)</f>
        <v/>
      </c>
      <c r="AG10" s="41" t="str">
        <f aca="false">IF(C10="","",14-S10)</f>
        <v/>
      </c>
      <c r="AH10" s="40" t="str">
        <f aca="false">IF(C10="","",IF(D10="",DATE(YEAR($B$3)+1,1,1),MIN(DATE(YEAR($B$3)+1,1,1),D10+1)))</f>
        <v/>
      </c>
      <c r="AI10" s="40" t="str">
        <f aca="false">IF(C10="","",MAX(DATE(YEAR($B$3),1,1),MIN(AH10,EDATE(C10,6))))</f>
        <v/>
      </c>
      <c r="AJ10" s="40" t="str">
        <f aca="false">IF(C10="","",MAX(AI10,MIN(AH10,EDATE(C10,12*MAX(1,YEAR($B$3)-YEAR(C10))))))</f>
        <v/>
      </c>
      <c r="AK10" s="34" t="str">
        <f aca="false">IF(C10="","",IF(IF(DATE(YEAR($B$3),1,1)&lt;$C10,0,DATEDIF($C10,DATE(YEAR($B$3),1,1),"m"))&lt;6,0,IF(IF(DATE(YEAR($B$3),1,1)&lt;$C10,0,DATEDIF($C10,DATE(YEAR($B$3),1,1),"m"))&lt;12,6,IF(IF(DATE(YEAR($B$3),1,1)&lt;$C10,0,DATEDIF($C10,DATE(YEAR($B$3),1,1),"m"))&lt;24,7,IF(IF(DATE(YEAR($B$3),1,1)&lt;$C10,0,DATEDIF($C10,DATE(YEAR($B$3),1,1),"m"))&lt;36,10,IF(IF(DATE(YEAR($B$3),1,1)&lt;$C10,0,DATEDIF($C10,DATE(YEAR($B$3),1,1),"m"))&lt;60,14,IF(IF(DATE(YEAR($B$3),1,1)&lt;$C10,0,DATEDIF($C10,DATE(YEAR($B$3),1,1),"m"))&lt;120,15,MIN(30,15+INT(IF(DATE(YEAR($B$3),1,1)&lt;$C10,0,DATEDIF($C10,DATE(YEAR($B$3),1,1),"m"))/12)-9))))))))</f>
        <v/>
      </c>
      <c r="AL10" s="34" t="str">
        <f aca="false">IF(C10="","",IF(IF(AI10&lt;$C10,0,DATEDIF($C10,AI10,"m"))&lt;6,0,IF(IF(AI10&lt;$C10,0,DATEDIF($C10,AI10,"m"))&lt;12,6,IF(IF(AI10&lt;$C10,0,DATEDIF($C10,AI10,"m"))&lt;24,7,IF(IF(AI10&lt;$C10,0,DATEDIF($C10,AI10,"m"))&lt;36,10,IF(IF(AI10&lt;$C10,0,DATEDIF($C10,AI10,"m"))&lt;60,14,IF(IF(AI10&lt;$C10,0,DATEDIF($C10,AI10,"m"))&lt;120,15,MIN(30,15+INT(IF(AI10&lt;$C10,0,DATEDIF($C10,AI10,"m"))/12)-9))))))))</f>
        <v/>
      </c>
      <c r="AM10" s="34" t="str">
        <f aca="false">IF(C10="","",IF(IF(AJ10&lt;$C10,0,DATEDIF($C10,AJ10,"m"))&lt;6,0,IF(IF(AJ10&lt;$C10,0,DATEDIF($C10,AJ10,"m"))&lt;12,6,IF(IF(AJ10&lt;$C10,0,DATEDIF($C10,AJ10,"m"))&lt;24,7,IF(IF(AJ10&lt;$C10,0,DATEDIF($C10,AJ10,"m"))&lt;36,10,IF(IF(AJ10&lt;$C10,0,DATEDIF($C10,AJ10,"m"))&lt;60,14,IF(IF(AJ10&lt;$C10,0,DATEDIF($C10,AJ10,"m"))&lt;120,15,MIN(30,15+INT(IF(AJ10&lt;$C10,0,DATEDIF($C10,AJ10,"m"))/12)-9))))))))</f>
        <v/>
      </c>
      <c r="AN10" s="33" t="str">
        <f aca="false">IF(C10="","",((AI10-DATE(YEAR($B$3),1,1))*AK10+(AJ10-AI10)*AL10+(AH10-AJ10)*AM10)/(DATE(YEAR($B$3)+1,1,1)-DATE(YEAR($B$3),1,1)))</f>
        <v/>
      </c>
    </row>
    <row r="11" customFormat="false" ht="15" hidden="false" customHeight="false" outlineLevel="0" collapsed="false">
      <c r="A11" s="34" t="str">
        <f aca="false">IF(流程1_請假申請!U11="","",流程1_請假申請!T11)</f>
        <v/>
      </c>
      <c r="B11" s="34" t="str">
        <f aca="false">IF(流程1_請假申請!U11="","",流程1_請假申請!U11)</f>
        <v/>
      </c>
      <c r="C11" s="40" t="str">
        <f aca="false">IF(流程1_請假申請!U11="","",流程1_請假申請!W11)</f>
        <v/>
      </c>
      <c r="D11" s="40" t="str">
        <f aca="false">IF(流程1_請假申請!X11="","",流程1_請假申請!X11)</f>
        <v/>
      </c>
      <c r="E11" s="34" t="str">
        <f aca="false">IF(C11="","",IF($B$3&lt;C11,0,DATEDIF(C11,$B$3,"m")))</f>
        <v/>
      </c>
      <c r="F11" s="41" t="str">
        <f aca="false">IF(C11="","",IF(AN11=0,0,CEILING(ROUND(AN11,2),$E$3)))</f>
        <v/>
      </c>
      <c r="G11" s="42"/>
      <c r="H11" s="41" t="str">
        <f aca="false">IF(C11="","",F11+G11)</f>
        <v/>
      </c>
      <c r="I11" s="41" t="str">
        <f aca="false">IF(C11="","",SUMIFS(流程1_請假申請!$I$5:$I$64,流程1_請假申請!$D$5:$D$64,B11,流程1_請假申請!$F$5:$F$64,"特別休假",流程1_請假申請!$M$5:$M$64,"已確認",流程1_請假申請!$G$5:$G$64,"&gt;="&amp;DATE(YEAR($B$3),1,1),流程1_請假申請!$G$5:$G$64,"&lt;="&amp;$B$3))</f>
        <v/>
      </c>
      <c r="J11" s="41" t="str">
        <f aca="false">IF(C11="","",H11-I11)</f>
        <v/>
      </c>
      <c r="K11" s="42"/>
      <c r="L11" s="34" t="str">
        <f aca="false">IF(C11="","",IF(AND(D11&lt;&gt;"",D11&lt;=$B$3),"離職結算",IF(AND(MONTH($B$3)=12,DAY($B$3)=31),"年度結算","")))</f>
        <v/>
      </c>
      <c r="M11" s="41" t="n">
        <f aca="false">IF(OR(C11="",L11=""),0,N(G11)-MIN(N(G11),I11))</f>
        <v>0</v>
      </c>
      <c r="N11" s="41" t="n">
        <f aca="false">IF(OR(C11="",L11=""),0,IF(L11="離職結算",J11-M11,MAX(0,J11-M11-N(K11))))</f>
        <v>0</v>
      </c>
      <c r="O11" s="43" t="str">
        <f aca="false">IF(C11="","",IFERROR(ROUND((INDEX(流程1_月結表!$G$6:$G$8,MATCH(A11,流程1_月結表!$B$6:$B$8,0))+INDEX(流程1_月結表!$H$6:$H$8,MATCH(A11,流程1_月結表!$B$6:$B$8,0))*流程1_參數!$C$7)/流程1_參數!$C$5,2),0))</f>
        <v/>
      </c>
      <c r="P11" s="44"/>
      <c r="Q11" s="43" t="n">
        <f aca="false">IF(OR(C11="",L11=""),0,ROUND(N11*O11+M11*IF(P11="",O11,P11),0))</f>
        <v>0</v>
      </c>
      <c r="R11" s="41" t="str">
        <f aca="false">IF($C11="","",SUMIFS(流程1_請假申請!$I$5:$I$64,流程1_請假申請!$D$5:$D$64,$B11,流程1_請假申請!$F$5:$F$64,"病假（普通傷病假）",流程1_請假申請!$M$5:$M$64,"已確認",流程1_請假申請!$G$5:$G$64,"&gt;="&amp;DATE(YEAR($B$3),1,1),流程1_請假申請!$G$5:$G$64,"&lt;="&amp;$B$3))</f>
        <v/>
      </c>
      <c r="S11" s="41" t="str">
        <f aca="false">IF($C11="","",SUMIFS(流程1_請假申請!$I$5:$I$64,流程1_請假申請!$D$5:$D$64,$B11,流程1_請假申請!$F$5:$F$64,"事假",流程1_請假申請!$M$5:$M$64,"已確認",流程1_請假申請!$G$5:$G$64,"&gt;="&amp;DATE(YEAR($B$3),1,1),流程1_請假申請!$G$5:$G$64,"&lt;="&amp;$B$3))</f>
        <v/>
      </c>
      <c r="T11" s="41" t="str">
        <f aca="false">IF($C11="","",SUMIFS(流程1_請假申請!$I$5:$I$64,流程1_請假申請!$D$5:$D$64,$B11,流程1_請假申請!$F$5:$F$64,"家庭照顧假",流程1_請假申請!$M$5:$M$64,"已確認",流程1_請假申請!$G$5:$G$64,"&gt;="&amp;DATE(YEAR($B$3),1,1),流程1_請假申請!$G$5:$G$64,"&lt;="&amp;$B$3))</f>
        <v/>
      </c>
      <c r="U11" s="41" t="str">
        <f aca="false">IF($C11="","",SUMIFS(流程1_請假申請!$I$5:$I$64,流程1_請假申請!$D$5:$D$64,$B11,流程1_請假申請!$F$5:$F$64,"生理假",流程1_請假申請!$M$5:$M$64,"已確認",流程1_請假申請!$G$5:$G$64,"&gt;="&amp;DATE(YEAR($B$3),1,1),流程1_請假申請!$G$5:$G$64,"&lt;="&amp;$B$3))</f>
        <v/>
      </c>
      <c r="V11" s="41" t="str">
        <f aca="false">IF($C11="","",SUMIFS(流程1_請假申請!$I$5:$I$64,流程1_請假申請!$D$5:$D$64,$B11,流程1_請假申請!$F$5:$F$64,"安胎休養假",流程1_請假申請!$M$5:$M$64,"已確認",流程1_請假申請!$G$5:$G$64,"&gt;="&amp;DATE(YEAR($B$3),1,1),流程1_請假申請!$G$5:$G$64,"&lt;="&amp;$B$3))</f>
        <v/>
      </c>
      <c r="W11" s="41" t="str">
        <f aca="false">IF($C11="","",SUMIFS(流程1_請假申請!$I$5:$I$64,流程1_請假申請!$D$5:$D$64,$B11,流程1_請假申請!$F$5:$F$64,"婚假",流程1_請假申請!$M$5:$M$64,"已確認",流程1_請假申請!$G$5:$G$64,"&gt;="&amp;DATE(YEAR($B$3),1,1),流程1_請假申請!$G$5:$G$64,"&lt;="&amp;$B$3))</f>
        <v/>
      </c>
      <c r="X11" s="41" t="str">
        <f aca="false">IF($C11="","",SUMIFS(流程1_請假申請!$I$5:$I$64,流程1_請假申請!$D$5:$D$64,$B11,流程1_請假申請!$F$5:$F$64,"喪假",流程1_請假申請!$M$5:$M$64,"已確認",流程1_請假申請!$G$5:$G$64,"&gt;="&amp;DATE(YEAR($B$3),1,1),流程1_請假申請!$G$5:$G$64,"&lt;="&amp;$B$3))</f>
        <v/>
      </c>
      <c r="Y11" s="41" t="str">
        <f aca="false">IF($C11="","",SUMIFS(流程1_請假申請!$I$5:$I$64,流程1_請假申請!$D$5:$D$64,$B11,流程1_請假申請!$F$5:$F$64,"產假",流程1_請假申請!$M$5:$M$64,"已確認",流程1_請假申請!$G$5:$G$64,"&gt;="&amp;DATE(YEAR($B$3),1,1),流程1_請假申請!$G$5:$G$64,"&lt;="&amp;$B$3))</f>
        <v/>
      </c>
      <c r="Z11" s="41" t="str">
        <f aca="false">IF($C11="","",SUMIFS(流程1_請假申請!$I$5:$I$64,流程1_請假申請!$D$5:$D$64,$B11,流程1_請假申請!$F$5:$F$64,"產檢假",流程1_請假申請!$M$5:$M$64,"已確認",流程1_請假申請!$G$5:$G$64,"&gt;="&amp;DATE(YEAR($B$3),1,1),流程1_請假申請!$G$5:$G$64,"&lt;="&amp;$B$3))</f>
        <v/>
      </c>
      <c r="AA11" s="41" t="str">
        <f aca="false">IF($C11="","",SUMIFS(流程1_請假申請!$I$5:$I$64,流程1_請假申請!$D$5:$D$64,$B11,流程1_請假申請!$F$5:$F$64,"陪產檢及陪產假",流程1_請假申請!$M$5:$M$64,"已確認",流程1_請假申請!$G$5:$G$64,"&gt;="&amp;DATE(YEAR($B$3),1,1),流程1_請假申請!$G$5:$G$64,"&lt;="&amp;$B$3))</f>
        <v/>
      </c>
      <c r="AB11" s="41" t="str">
        <f aca="false">IF($C11="","",SUMIFS(流程1_請假申請!$I$5:$I$64,流程1_請假申請!$D$5:$D$64,$B11,流程1_請假申請!$F$5:$F$64,"公傷病假",流程1_請假申請!$M$5:$M$64,"已確認",流程1_請假申請!$G$5:$G$64,"&gt;="&amp;DATE(YEAR($B$3),1,1),流程1_請假申請!$G$5:$G$64,"&lt;="&amp;$B$3))</f>
        <v/>
      </c>
      <c r="AC11" s="41" t="str">
        <f aca="false">IF($C11="","",SUMIFS(流程1_請假申請!$I$5:$I$64,流程1_請假申請!$D$5:$D$64,$B11,流程1_請假申請!$F$5:$F$64,"公假",流程1_請假申請!$M$5:$M$64,"已確認",流程1_請假申請!$G$5:$G$64,"&gt;="&amp;DATE(YEAR($B$3),1,1),流程1_請假申請!$G$5:$G$64,"&lt;="&amp;$B$3))</f>
        <v/>
      </c>
      <c r="AD11" s="41" t="str">
        <f aca="false">IF($C11="","",SUMIFS(流程1_請假申請!$I$5:$I$64,流程1_請假申請!$D$5:$D$64,$B11,流程1_請假申請!$F$5:$F$64,"特別休假",流程1_請假申請!$M$5:$M$64,"已確認",流程1_請假申請!$G$5:$G$64,"&gt;="&amp;DATE(YEAR($B$3),1,1),流程1_請假申請!$G$5:$G$64,"&lt;="&amp;$B$3))</f>
        <v/>
      </c>
      <c r="AE11" s="41" t="str">
        <f aca="false">IF($C11="","",SUMIFS(流程1_請假申請!$I$5:$I$64,流程1_請假申請!$D$5:$D$64,$B11,流程1_請假申請!$F$5:$F$64,"育嬰留職停薪",流程1_請假申請!$M$5:$M$64,"已確認",流程1_請假申請!$G$5:$G$64,"&gt;="&amp;DATE(YEAR($B$3),1,1),流程1_請假申請!$G$5:$G$64,"&lt;="&amp;$B$3))</f>
        <v/>
      </c>
      <c r="AF11" s="41" t="str">
        <f aca="false">IF(C11="","",30-R11)</f>
        <v/>
      </c>
      <c r="AG11" s="41" t="str">
        <f aca="false">IF(C11="","",14-S11)</f>
        <v/>
      </c>
      <c r="AH11" s="40" t="str">
        <f aca="false">IF(C11="","",IF(D11="",DATE(YEAR($B$3)+1,1,1),MIN(DATE(YEAR($B$3)+1,1,1),D11+1)))</f>
        <v/>
      </c>
      <c r="AI11" s="40" t="str">
        <f aca="false">IF(C11="","",MAX(DATE(YEAR($B$3),1,1),MIN(AH11,EDATE(C11,6))))</f>
        <v/>
      </c>
      <c r="AJ11" s="40" t="str">
        <f aca="false">IF(C11="","",MAX(AI11,MIN(AH11,EDATE(C11,12*MAX(1,YEAR($B$3)-YEAR(C11))))))</f>
        <v/>
      </c>
      <c r="AK11" s="34" t="str">
        <f aca="false">IF(C11="","",IF(IF(DATE(YEAR($B$3),1,1)&lt;$C11,0,DATEDIF($C11,DATE(YEAR($B$3),1,1),"m"))&lt;6,0,IF(IF(DATE(YEAR($B$3),1,1)&lt;$C11,0,DATEDIF($C11,DATE(YEAR($B$3),1,1),"m"))&lt;12,6,IF(IF(DATE(YEAR($B$3),1,1)&lt;$C11,0,DATEDIF($C11,DATE(YEAR($B$3),1,1),"m"))&lt;24,7,IF(IF(DATE(YEAR($B$3),1,1)&lt;$C11,0,DATEDIF($C11,DATE(YEAR($B$3),1,1),"m"))&lt;36,10,IF(IF(DATE(YEAR($B$3),1,1)&lt;$C11,0,DATEDIF($C11,DATE(YEAR($B$3),1,1),"m"))&lt;60,14,IF(IF(DATE(YEAR($B$3),1,1)&lt;$C11,0,DATEDIF($C11,DATE(YEAR($B$3),1,1),"m"))&lt;120,15,MIN(30,15+INT(IF(DATE(YEAR($B$3),1,1)&lt;$C11,0,DATEDIF($C11,DATE(YEAR($B$3),1,1),"m"))/12)-9))))))))</f>
        <v/>
      </c>
      <c r="AL11" s="34" t="str">
        <f aca="false">IF(C11="","",IF(IF(AI11&lt;$C11,0,DATEDIF($C11,AI11,"m"))&lt;6,0,IF(IF(AI11&lt;$C11,0,DATEDIF($C11,AI11,"m"))&lt;12,6,IF(IF(AI11&lt;$C11,0,DATEDIF($C11,AI11,"m"))&lt;24,7,IF(IF(AI11&lt;$C11,0,DATEDIF($C11,AI11,"m"))&lt;36,10,IF(IF(AI11&lt;$C11,0,DATEDIF($C11,AI11,"m"))&lt;60,14,IF(IF(AI11&lt;$C11,0,DATEDIF($C11,AI11,"m"))&lt;120,15,MIN(30,15+INT(IF(AI11&lt;$C11,0,DATEDIF($C11,AI11,"m"))/12)-9))))))))</f>
        <v/>
      </c>
      <c r="AM11" s="34" t="str">
        <f aca="false">IF(C11="","",IF(IF(AJ11&lt;$C11,0,DATEDIF($C11,AJ11,"m"))&lt;6,0,IF(IF(AJ11&lt;$C11,0,DATEDIF($C11,AJ11,"m"))&lt;12,6,IF(IF(AJ11&lt;$C11,0,DATEDIF($C11,AJ11,"m"))&lt;24,7,IF(IF(AJ11&lt;$C11,0,DATEDIF($C11,AJ11,"m"))&lt;36,10,IF(IF(AJ11&lt;$C11,0,DATEDIF($C11,AJ11,"m"))&lt;60,14,IF(IF(AJ11&lt;$C11,0,DATEDIF($C11,AJ11,"m"))&lt;120,15,MIN(30,15+INT(IF(AJ11&lt;$C11,0,DATEDIF($C11,AJ11,"m"))/12)-9))))))))</f>
        <v/>
      </c>
      <c r="AN11" s="33" t="str">
        <f aca="false">IF(C11="","",((AI11-DATE(YEAR($B$3),1,1))*AK11+(AJ11-AI11)*AL11+(AH11-AJ11)*AM11)/(DATE(YEAR($B$3)+1,1,1)-DATE(YEAR($B$3),1,1)))</f>
        <v/>
      </c>
    </row>
    <row r="12" customFormat="false" ht="15" hidden="false" customHeight="false" outlineLevel="0" collapsed="false">
      <c r="A12" s="34" t="str">
        <f aca="false">IF(流程1_請假申請!U12="","",流程1_請假申請!T12)</f>
        <v/>
      </c>
      <c r="B12" s="34" t="str">
        <f aca="false">IF(流程1_請假申請!U12="","",流程1_請假申請!U12)</f>
        <v/>
      </c>
      <c r="C12" s="40" t="str">
        <f aca="false">IF(流程1_請假申請!U12="","",流程1_請假申請!W12)</f>
        <v/>
      </c>
      <c r="D12" s="40" t="str">
        <f aca="false">IF(流程1_請假申請!X12="","",流程1_請假申請!X12)</f>
        <v/>
      </c>
      <c r="E12" s="34" t="str">
        <f aca="false">IF(C12="","",IF($B$3&lt;C12,0,DATEDIF(C12,$B$3,"m")))</f>
        <v/>
      </c>
      <c r="F12" s="41" t="str">
        <f aca="false">IF(C12="","",IF(AN12=0,0,CEILING(ROUND(AN12,2),$E$3)))</f>
        <v/>
      </c>
      <c r="G12" s="42"/>
      <c r="H12" s="41" t="str">
        <f aca="false">IF(C12="","",F12+G12)</f>
        <v/>
      </c>
      <c r="I12" s="41" t="str">
        <f aca="false">IF(C12="","",SUMIFS(流程1_請假申請!$I$5:$I$64,流程1_請假申請!$D$5:$D$64,B12,流程1_請假申請!$F$5:$F$64,"特別休假",流程1_請假申請!$M$5:$M$64,"已確認",流程1_請假申請!$G$5:$G$64,"&gt;="&amp;DATE(YEAR($B$3),1,1),流程1_請假申請!$G$5:$G$64,"&lt;="&amp;$B$3))</f>
        <v/>
      </c>
      <c r="J12" s="41" t="str">
        <f aca="false">IF(C12="","",H12-I12)</f>
        <v/>
      </c>
      <c r="K12" s="42"/>
      <c r="L12" s="34" t="str">
        <f aca="false">IF(C12="","",IF(AND(D12&lt;&gt;"",D12&lt;=$B$3),"離職結算",IF(AND(MONTH($B$3)=12,DAY($B$3)=31),"年度結算","")))</f>
        <v/>
      </c>
      <c r="M12" s="41" t="n">
        <f aca="false">IF(OR(C12="",L12=""),0,N(G12)-MIN(N(G12),I12))</f>
        <v>0</v>
      </c>
      <c r="N12" s="41" t="n">
        <f aca="false">IF(OR(C12="",L12=""),0,IF(L12="離職結算",J12-M12,MAX(0,J12-M12-N(K12))))</f>
        <v>0</v>
      </c>
      <c r="O12" s="43" t="str">
        <f aca="false">IF(C12="","",IFERROR(ROUND((INDEX(流程1_月結表!$G$6:$G$8,MATCH(A12,流程1_月結表!$B$6:$B$8,0))+INDEX(流程1_月結表!$H$6:$H$8,MATCH(A12,流程1_月結表!$B$6:$B$8,0))*流程1_參數!$C$7)/流程1_參數!$C$5,2),0))</f>
        <v/>
      </c>
      <c r="P12" s="44"/>
      <c r="Q12" s="43" t="n">
        <f aca="false">IF(OR(C12="",L12=""),0,ROUND(N12*O12+M12*IF(P12="",O12,P12),0))</f>
        <v>0</v>
      </c>
      <c r="R12" s="41" t="str">
        <f aca="false">IF($C12="","",SUMIFS(流程1_請假申請!$I$5:$I$64,流程1_請假申請!$D$5:$D$64,$B12,流程1_請假申請!$F$5:$F$64,"病假（普通傷病假）",流程1_請假申請!$M$5:$M$64,"已確認",流程1_請假申請!$G$5:$G$64,"&gt;="&amp;DATE(YEAR($B$3),1,1),流程1_請假申請!$G$5:$G$64,"&lt;="&amp;$B$3))</f>
        <v/>
      </c>
      <c r="S12" s="41" t="str">
        <f aca="false">IF($C12="","",SUMIFS(流程1_請假申請!$I$5:$I$64,流程1_請假申請!$D$5:$D$64,$B12,流程1_請假申請!$F$5:$F$64,"事假",流程1_請假申請!$M$5:$M$64,"已確認",流程1_請假申請!$G$5:$G$64,"&gt;="&amp;DATE(YEAR($B$3),1,1),流程1_請假申請!$G$5:$G$64,"&lt;="&amp;$B$3))</f>
        <v/>
      </c>
      <c r="T12" s="41" t="str">
        <f aca="false">IF($C12="","",SUMIFS(流程1_請假申請!$I$5:$I$64,流程1_請假申請!$D$5:$D$64,$B12,流程1_請假申請!$F$5:$F$64,"家庭照顧假",流程1_請假申請!$M$5:$M$64,"已確認",流程1_請假申請!$G$5:$G$64,"&gt;="&amp;DATE(YEAR($B$3),1,1),流程1_請假申請!$G$5:$G$64,"&lt;="&amp;$B$3))</f>
        <v/>
      </c>
      <c r="U12" s="41" t="str">
        <f aca="false">IF($C12="","",SUMIFS(流程1_請假申請!$I$5:$I$64,流程1_請假申請!$D$5:$D$64,$B12,流程1_請假申請!$F$5:$F$64,"生理假",流程1_請假申請!$M$5:$M$64,"已確認",流程1_請假申請!$G$5:$G$64,"&gt;="&amp;DATE(YEAR($B$3),1,1),流程1_請假申請!$G$5:$G$64,"&lt;="&amp;$B$3))</f>
        <v/>
      </c>
      <c r="V12" s="41" t="str">
        <f aca="false">IF($C12="","",SUMIFS(流程1_請假申請!$I$5:$I$64,流程1_請假申請!$D$5:$D$64,$B12,流程1_請假申請!$F$5:$F$64,"安胎休養假",流程1_請假申請!$M$5:$M$64,"已確認",流程1_請假申請!$G$5:$G$64,"&gt;="&amp;DATE(YEAR($B$3),1,1),流程1_請假申請!$G$5:$G$64,"&lt;="&amp;$B$3))</f>
        <v/>
      </c>
      <c r="W12" s="41" t="str">
        <f aca="false">IF($C12="","",SUMIFS(流程1_請假申請!$I$5:$I$64,流程1_請假申請!$D$5:$D$64,$B12,流程1_請假申請!$F$5:$F$64,"婚假",流程1_請假申請!$M$5:$M$64,"已確認",流程1_請假申請!$G$5:$G$64,"&gt;="&amp;DATE(YEAR($B$3),1,1),流程1_請假申請!$G$5:$G$64,"&lt;="&amp;$B$3))</f>
        <v/>
      </c>
      <c r="X12" s="41" t="str">
        <f aca="false">IF($C12="","",SUMIFS(流程1_請假申請!$I$5:$I$64,流程1_請假申請!$D$5:$D$64,$B12,流程1_請假申請!$F$5:$F$64,"喪假",流程1_請假申請!$M$5:$M$64,"已確認",流程1_請假申請!$G$5:$G$64,"&gt;="&amp;DATE(YEAR($B$3),1,1),流程1_請假申請!$G$5:$G$64,"&lt;="&amp;$B$3))</f>
        <v/>
      </c>
      <c r="Y12" s="41" t="str">
        <f aca="false">IF($C12="","",SUMIFS(流程1_請假申請!$I$5:$I$64,流程1_請假申請!$D$5:$D$64,$B12,流程1_請假申請!$F$5:$F$64,"產假",流程1_請假申請!$M$5:$M$64,"已確認",流程1_請假申請!$G$5:$G$64,"&gt;="&amp;DATE(YEAR($B$3),1,1),流程1_請假申請!$G$5:$G$64,"&lt;="&amp;$B$3))</f>
        <v/>
      </c>
      <c r="Z12" s="41" t="str">
        <f aca="false">IF($C12="","",SUMIFS(流程1_請假申請!$I$5:$I$64,流程1_請假申請!$D$5:$D$64,$B12,流程1_請假申請!$F$5:$F$64,"產檢假",流程1_請假申請!$M$5:$M$64,"已確認",流程1_請假申請!$G$5:$G$64,"&gt;="&amp;DATE(YEAR($B$3),1,1),流程1_請假申請!$G$5:$G$64,"&lt;="&amp;$B$3))</f>
        <v/>
      </c>
      <c r="AA12" s="41" t="str">
        <f aca="false">IF($C12="","",SUMIFS(流程1_請假申請!$I$5:$I$64,流程1_請假申請!$D$5:$D$64,$B12,流程1_請假申請!$F$5:$F$64,"陪產檢及陪產假",流程1_請假申請!$M$5:$M$64,"已確認",流程1_請假申請!$G$5:$G$64,"&gt;="&amp;DATE(YEAR($B$3),1,1),流程1_請假申請!$G$5:$G$64,"&lt;="&amp;$B$3))</f>
        <v/>
      </c>
      <c r="AB12" s="41" t="str">
        <f aca="false">IF($C12="","",SUMIFS(流程1_請假申請!$I$5:$I$64,流程1_請假申請!$D$5:$D$64,$B12,流程1_請假申請!$F$5:$F$64,"公傷病假",流程1_請假申請!$M$5:$M$64,"已確認",流程1_請假申請!$G$5:$G$64,"&gt;="&amp;DATE(YEAR($B$3),1,1),流程1_請假申請!$G$5:$G$64,"&lt;="&amp;$B$3))</f>
        <v/>
      </c>
      <c r="AC12" s="41" t="str">
        <f aca="false">IF($C12="","",SUMIFS(流程1_請假申請!$I$5:$I$64,流程1_請假申請!$D$5:$D$64,$B12,流程1_請假申請!$F$5:$F$64,"公假",流程1_請假申請!$M$5:$M$64,"已確認",流程1_請假申請!$G$5:$G$64,"&gt;="&amp;DATE(YEAR($B$3),1,1),流程1_請假申請!$G$5:$G$64,"&lt;="&amp;$B$3))</f>
        <v/>
      </c>
      <c r="AD12" s="41" t="str">
        <f aca="false">IF($C12="","",SUMIFS(流程1_請假申請!$I$5:$I$64,流程1_請假申請!$D$5:$D$64,$B12,流程1_請假申請!$F$5:$F$64,"特別休假",流程1_請假申請!$M$5:$M$64,"已確認",流程1_請假申請!$G$5:$G$64,"&gt;="&amp;DATE(YEAR($B$3),1,1),流程1_請假申請!$G$5:$G$64,"&lt;="&amp;$B$3))</f>
        <v/>
      </c>
      <c r="AE12" s="41" t="str">
        <f aca="false">IF($C12="","",SUMIFS(流程1_請假申請!$I$5:$I$64,流程1_請假申請!$D$5:$D$64,$B12,流程1_請假申請!$F$5:$F$64,"育嬰留職停薪",流程1_請假申請!$M$5:$M$64,"已確認",流程1_請假申請!$G$5:$G$64,"&gt;="&amp;DATE(YEAR($B$3),1,1),流程1_請假申請!$G$5:$G$64,"&lt;="&amp;$B$3))</f>
        <v/>
      </c>
      <c r="AF12" s="41" t="str">
        <f aca="false">IF(C12="","",30-R12)</f>
        <v/>
      </c>
      <c r="AG12" s="41" t="str">
        <f aca="false">IF(C12="","",14-S12)</f>
        <v/>
      </c>
      <c r="AH12" s="40" t="str">
        <f aca="false">IF(C12="","",IF(D12="",DATE(YEAR($B$3)+1,1,1),MIN(DATE(YEAR($B$3)+1,1,1),D12+1)))</f>
        <v/>
      </c>
      <c r="AI12" s="40" t="str">
        <f aca="false">IF(C12="","",MAX(DATE(YEAR($B$3),1,1),MIN(AH12,EDATE(C12,6))))</f>
        <v/>
      </c>
      <c r="AJ12" s="40" t="str">
        <f aca="false">IF(C12="","",MAX(AI12,MIN(AH12,EDATE(C12,12*MAX(1,YEAR($B$3)-YEAR(C12))))))</f>
        <v/>
      </c>
      <c r="AK12" s="34" t="str">
        <f aca="false">IF(C12="","",IF(IF(DATE(YEAR($B$3),1,1)&lt;$C12,0,DATEDIF($C12,DATE(YEAR($B$3),1,1),"m"))&lt;6,0,IF(IF(DATE(YEAR($B$3),1,1)&lt;$C12,0,DATEDIF($C12,DATE(YEAR($B$3),1,1),"m"))&lt;12,6,IF(IF(DATE(YEAR($B$3),1,1)&lt;$C12,0,DATEDIF($C12,DATE(YEAR($B$3),1,1),"m"))&lt;24,7,IF(IF(DATE(YEAR($B$3),1,1)&lt;$C12,0,DATEDIF($C12,DATE(YEAR($B$3),1,1),"m"))&lt;36,10,IF(IF(DATE(YEAR($B$3),1,1)&lt;$C12,0,DATEDIF($C12,DATE(YEAR($B$3),1,1),"m"))&lt;60,14,IF(IF(DATE(YEAR($B$3),1,1)&lt;$C12,0,DATEDIF($C12,DATE(YEAR($B$3),1,1),"m"))&lt;120,15,MIN(30,15+INT(IF(DATE(YEAR($B$3),1,1)&lt;$C12,0,DATEDIF($C12,DATE(YEAR($B$3),1,1),"m"))/12)-9))))))))</f>
        <v/>
      </c>
      <c r="AL12" s="34" t="str">
        <f aca="false">IF(C12="","",IF(IF(AI12&lt;$C12,0,DATEDIF($C12,AI12,"m"))&lt;6,0,IF(IF(AI12&lt;$C12,0,DATEDIF($C12,AI12,"m"))&lt;12,6,IF(IF(AI12&lt;$C12,0,DATEDIF($C12,AI12,"m"))&lt;24,7,IF(IF(AI12&lt;$C12,0,DATEDIF($C12,AI12,"m"))&lt;36,10,IF(IF(AI12&lt;$C12,0,DATEDIF($C12,AI12,"m"))&lt;60,14,IF(IF(AI12&lt;$C12,0,DATEDIF($C12,AI12,"m"))&lt;120,15,MIN(30,15+INT(IF(AI12&lt;$C12,0,DATEDIF($C12,AI12,"m"))/12)-9))))))))</f>
        <v/>
      </c>
      <c r="AM12" s="34" t="str">
        <f aca="false">IF(C12="","",IF(IF(AJ12&lt;$C12,0,DATEDIF($C12,AJ12,"m"))&lt;6,0,IF(IF(AJ12&lt;$C12,0,DATEDIF($C12,AJ12,"m"))&lt;12,6,IF(IF(AJ12&lt;$C12,0,DATEDIF($C12,AJ12,"m"))&lt;24,7,IF(IF(AJ12&lt;$C12,0,DATEDIF($C12,AJ12,"m"))&lt;36,10,IF(IF(AJ12&lt;$C12,0,DATEDIF($C12,AJ12,"m"))&lt;60,14,IF(IF(AJ12&lt;$C12,0,DATEDIF($C12,AJ12,"m"))&lt;120,15,MIN(30,15+INT(IF(AJ12&lt;$C12,0,DATEDIF($C12,AJ12,"m"))/12)-9))))))))</f>
        <v/>
      </c>
      <c r="AN12" s="33" t="str">
        <f aca="false">IF(C12="","",((AI12-DATE(YEAR($B$3),1,1))*AK12+(AJ12-AI12)*AL12+(AH12-AJ12)*AM12)/(DATE(YEAR($B$3)+1,1,1)-DATE(YEAR($B$3),1,1)))</f>
        <v/>
      </c>
    </row>
    <row r="13" customFormat="false" ht="15" hidden="false" customHeight="false" outlineLevel="0" collapsed="false">
      <c r="A13" s="34" t="str">
        <f aca="false">IF(流程1_請假申請!U13="","",流程1_請假申請!T13)</f>
        <v/>
      </c>
      <c r="B13" s="34" t="str">
        <f aca="false">IF(流程1_請假申請!U13="","",流程1_請假申請!U13)</f>
        <v/>
      </c>
      <c r="C13" s="40" t="str">
        <f aca="false">IF(流程1_請假申請!U13="","",流程1_請假申請!W13)</f>
        <v/>
      </c>
      <c r="D13" s="40" t="str">
        <f aca="false">IF(流程1_請假申請!X13="","",流程1_請假申請!X13)</f>
        <v/>
      </c>
      <c r="E13" s="34" t="str">
        <f aca="false">IF(C13="","",IF($B$3&lt;C13,0,DATEDIF(C13,$B$3,"m")))</f>
        <v/>
      </c>
      <c r="F13" s="41" t="str">
        <f aca="false">IF(C13="","",IF(AN13=0,0,CEILING(ROUND(AN13,2),$E$3)))</f>
        <v/>
      </c>
      <c r="G13" s="42"/>
      <c r="H13" s="41" t="str">
        <f aca="false">IF(C13="","",F13+G13)</f>
        <v/>
      </c>
      <c r="I13" s="41" t="str">
        <f aca="false">IF(C13="","",SUMIFS(流程1_請假申請!$I$5:$I$64,流程1_請假申請!$D$5:$D$64,B13,流程1_請假申請!$F$5:$F$64,"特別休假",流程1_請假申請!$M$5:$M$64,"已確認",流程1_請假申請!$G$5:$G$64,"&gt;="&amp;DATE(YEAR($B$3),1,1),流程1_請假申請!$G$5:$G$64,"&lt;="&amp;$B$3))</f>
        <v/>
      </c>
      <c r="J13" s="41" t="str">
        <f aca="false">IF(C13="","",H13-I13)</f>
        <v/>
      </c>
      <c r="K13" s="42"/>
      <c r="L13" s="34" t="str">
        <f aca="false">IF(C13="","",IF(AND(D13&lt;&gt;"",D13&lt;=$B$3),"離職結算",IF(AND(MONTH($B$3)=12,DAY($B$3)=31),"年度結算","")))</f>
        <v/>
      </c>
      <c r="M13" s="41" t="n">
        <f aca="false">IF(OR(C13="",L13=""),0,N(G13)-MIN(N(G13),I13))</f>
        <v>0</v>
      </c>
      <c r="N13" s="41" t="n">
        <f aca="false">IF(OR(C13="",L13=""),0,IF(L13="離職結算",J13-M13,MAX(0,J13-M13-N(K13))))</f>
        <v>0</v>
      </c>
      <c r="O13" s="43" t="str">
        <f aca="false">IF(C13="","",IFERROR(ROUND((INDEX(流程1_月結表!$G$6:$G$8,MATCH(A13,流程1_月結表!$B$6:$B$8,0))+INDEX(流程1_月結表!$H$6:$H$8,MATCH(A13,流程1_月結表!$B$6:$B$8,0))*流程1_參數!$C$7)/流程1_參數!$C$5,2),0))</f>
        <v/>
      </c>
      <c r="P13" s="44"/>
      <c r="Q13" s="43" t="n">
        <f aca="false">IF(OR(C13="",L13=""),0,ROUND(N13*O13+M13*IF(P13="",O13,P13),0))</f>
        <v>0</v>
      </c>
      <c r="R13" s="41" t="str">
        <f aca="false">IF($C13="","",SUMIFS(流程1_請假申請!$I$5:$I$64,流程1_請假申請!$D$5:$D$64,$B13,流程1_請假申請!$F$5:$F$64,"病假（普通傷病假）",流程1_請假申請!$M$5:$M$64,"已確認",流程1_請假申請!$G$5:$G$64,"&gt;="&amp;DATE(YEAR($B$3),1,1),流程1_請假申請!$G$5:$G$64,"&lt;="&amp;$B$3))</f>
        <v/>
      </c>
      <c r="S13" s="41" t="str">
        <f aca="false">IF($C13="","",SUMIFS(流程1_請假申請!$I$5:$I$64,流程1_請假申請!$D$5:$D$64,$B13,流程1_請假申請!$F$5:$F$64,"事假",流程1_請假申請!$M$5:$M$64,"已確認",流程1_請假申請!$G$5:$G$64,"&gt;="&amp;DATE(YEAR($B$3),1,1),流程1_請假申請!$G$5:$G$64,"&lt;="&amp;$B$3))</f>
        <v/>
      </c>
      <c r="T13" s="41" t="str">
        <f aca="false">IF($C13="","",SUMIFS(流程1_請假申請!$I$5:$I$64,流程1_請假申請!$D$5:$D$64,$B13,流程1_請假申請!$F$5:$F$64,"家庭照顧假",流程1_請假申請!$M$5:$M$64,"已確認",流程1_請假申請!$G$5:$G$64,"&gt;="&amp;DATE(YEAR($B$3),1,1),流程1_請假申請!$G$5:$G$64,"&lt;="&amp;$B$3))</f>
        <v/>
      </c>
      <c r="U13" s="41" t="str">
        <f aca="false">IF($C13="","",SUMIFS(流程1_請假申請!$I$5:$I$64,流程1_請假申請!$D$5:$D$64,$B13,流程1_請假申請!$F$5:$F$64,"生理假",流程1_請假申請!$M$5:$M$64,"已確認",流程1_請假申請!$G$5:$G$64,"&gt;="&amp;DATE(YEAR($B$3),1,1),流程1_請假申請!$G$5:$G$64,"&lt;="&amp;$B$3))</f>
        <v/>
      </c>
      <c r="V13" s="41" t="str">
        <f aca="false">IF($C13="","",SUMIFS(流程1_請假申請!$I$5:$I$64,流程1_請假申請!$D$5:$D$64,$B13,流程1_請假申請!$F$5:$F$64,"安胎休養假",流程1_請假申請!$M$5:$M$64,"已確認",流程1_請假申請!$G$5:$G$64,"&gt;="&amp;DATE(YEAR($B$3),1,1),流程1_請假申請!$G$5:$G$64,"&lt;="&amp;$B$3))</f>
        <v/>
      </c>
      <c r="W13" s="41" t="str">
        <f aca="false">IF($C13="","",SUMIFS(流程1_請假申請!$I$5:$I$64,流程1_請假申請!$D$5:$D$64,$B13,流程1_請假申請!$F$5:$F$64,"婚假",流程1_請假申請!$M$5:$M$64,"已確認",流程1_請假申請!$G$5:$G$64,"&gt;="&amp;DATE(YEAR($B$3),1,1),流程1_請假申請!$G$5:$G$64,"&lt;="&amp;$B$3))</f>
        <v/>
      </c>
      <c r="X13" s="41" t="str">
        <f aca="false">IF($C13="","",SUMIFS(流程1_請假申請!$I$5:$I$64,流程1_請假申請!$D$5:$D$64,$B13,流程1_請假申請!$F$5:$F$64,"喪假",流程1_請假申請!$M$5:$M$64,"已確認",流程1_請假申請!$G$5:$G$64,"&gt;="&amp;DATE(YEAR($B$3),1,1),流程1_請假申請!$G$5:$G$64,"&lt;="&amp;$B$3))</f>
        <v/>
      </c>
      <c r="Y13" s="41" t="str">
        <f aca="false">IF($C13="","",SUMIFS(流程1_請假申請!$I$5:$I$64,流程1_請假申請!$D$5:$D$64,$B13,流程1_請假申請!$F$5:$F$64,"產假",流程1_請假申請!$M$5:$M$64,"已確認",流程1_請假申請!$G$5:$G$64,"&gt;="&amp;DATE(YEAR($B$3),1,1),流程1_請假申請!$G$5:$G$64,"&lt;="&amp;$B$3))</f>
        <v/>
      </c>
      <c r="Z13" s="41" t="str">
        <f aca="false">IF($C13="","",SUMIFS(流程1_請假申請!$I$5:$I$64,流程1_請假申請!$D$5:$D$64,$B13,流程1_請假申請!$F$5:$F$64,"產檢假",流程1_請假申請!$M$5:$M$64,"已確認",流程1_請假申請!$G$5:$G$64,"&gt;="&amp;DATE(YEAR($B$3),1,1),流程1_請假申請!$G$5:$G$64,"&lt;="&amp;$B$3))</f>
        <v/>
      </c>
      <c r="AA13" s="41" t="str">
        <f aca="false">IF($C13="","",SUMIFS(流程1_請假申請!$I$5:$I$64,流程1_請假申請!$D$5:$D$64,$B13,流程1_請假申請!$F$5:$F$64,"陪產檢及陪產假",流程1_請假申請!$M$5:$M$64,"已確認",流程1_請假申請!$G$5:$G$64,"&gt;="&amp;DATE(YEAR($B$3),1,1),流程1_請假申請!$G$5:$G$64,"&lt;="&amp;$B$3))</f>
        <v/>
      </c>
      <c r="AB13" s="41" t="str">
        <f aca="false">IF($C13="","",SUMIFS(流程1_請假申請!$I$5:$I$64,流程1_請假申請!$D$5:$D$64,$B13,流程1_請假申請!$F$5:$F$64,"公傷病假",流程1_請假申請!$M$5:$M$64,"已確認",流程1_請假申請!$G$5:$G$64,"&gt;="&amp;DATE(YEAR($B$3),1,1),流程1_請假申請!$G$5:$G$64,"&lt;="&amp;$B$3))</f>
        <v/>
      </c>
      <c r="AC13" s="41" t="str">
        <f aca="false">IF($C13="","",SUMIFS(流程1_請假申請!$I$5:$I$64,流程1_請假申請!$D$5:$D$64,$B13,流程1_請假申請!$F$5:$F$64,"公假",流程1_請假申請!$M$5:$M$64,"已確認",流程1_請假申請!$G$5:$G$64,"&gt;="&amp;DATE(YEAR($B$3),1,1),流程1_請假申請!$G$5:$G$64,"&lt;="&amp;$B$3))</f>
        <v/>
      </c>
      <c r="AD13" s="41" t="str">
        <f aca="false">IF($C13="","",SUMIFS(流程1_請假申請!$I$5:$I$64,流程1_請假申請!$D$5:$D$64,$B13,流程1_請假申請!$F$5:$F$64,"特別休假",流程1_請假申請!$M$5:$M$64,"已確認",流程1_請假申請!$G$5:$G$64,"&gt;="&amp;DATE(YEAR($B$3),1,1),流程1_請假申請!$G$5:$G$64,"&lt;="&amp;$B$3))</f>
        <v/>
      </c>
      <c r="AE13" s="41" t="str">
        <f aca="false">IF($C13="","",SUMIFS(流程1_請假申請!$I$5:$I$64,流程1_請假申請!$D$5:$D$64,$B13,流程1_請假申請!$F$5:$F$64,"育嬰留職停薪",流程1_請假申請!$M$5:$M$64,"已確認",流程1_請假申請!$G$5:$G$64,"&gt;="&amp;DATE(YEAR($B$3),1,1),流程1_請假申請!$G$5:$G$64,"&lt;="&amp;$B$3))</f>
        <v/>
      </c>
      <c r="AF13" s="41" t="str">
        <f aca="false">IF(C13="","",30-R13)</f>
        <v/>
      </c>
      <c r="AG13" s="41" t="str">
        <f aca="false">IF(C13="","",14-S13)</f>
        <v/>
      </c>
      <c r="AH13" s="40" t="str">
        <f aca="false">IF(C13="","",IF(D13="",DATE(YEAR($B$3)+1,1,1),MIN(DATE(YEAR($B$3)+1,1,1),D13+1)))</f>
        <v/>
      </c>
      <c r="AI13" s="40" t="str">
        <f aca="false">IF(C13="","",MAX(DATE(YEAR($B$3),1,1),MIN(AH13,EDATE(C13,6))))</f>
        <v/>
      </c>
      <c r="AJ13" s="40" t="str">
        <f aca="false">IF(C13="","",MAX(AI13,MIN(AH13,EDATE(C13,12*MAX(1,YEAR($B$3)-YEAR(C13))))))</f>
        <v/>
      </c>
      <c r="AK13" s="34" t="str">
        <f aca="false">IF(C13="","",IF(IF(DATE(YEAR($B$3),1,1)&lt;$C13,0,DATEDIF($C13,DATE(YEAR($B$3),1,1),"m"))&lt;6,0,IF(IF(DATE(YEAR($B$3),1,1)&lt;$C13,0,DATEDIF($C13,DATE(YEAR($B$3),1,1),"m"))&lt;12,6,IF(IF(DATE(YEAR($B$3),1,1)&lt;$C13,0,DATEDIF($C13,DATE(YEAR($B$3),1,1),"m"))&lt;24,7,IF(IF(DATE(YEAR($B$3),1,1)&lt;$C13,0,DATEDIF($C13,DATE(YEAR($B$3),1,1),"m"))&lt;36,10,IF(IF(DATE(YEAR($B$3),1,1)&lt;$C13,0,DATEDIF($C13,DATE(YEAR($B$3),1,1),"m"))&lt;60,14,IF(IF(DATE(YEAR($B$3),1,1)&lt;$C13,0,DATEDIF($C13,DATE(YEAR($B$3),1,1),"m"))&lt;120,15,MIN(30,15+INT(IF(DATE(YEAR($B$3),1,1)&lt;$C13,0,DATEDIF($C13,DATE(YEAR($B$3),1,1),"m"))/12)-9))))))))</f>
        <v/>
      </c>
      <c r="AL13" s="34" t="str">
        <f aca="false">IF(C13="","",IF(IF(AI13&lt;$C13,0,DATEDIF($C13,AI13,"m"))&lt;6,0,IF(IF(AI13&lt;$C13,0,DATEDIF($C13,AI13,"m"))&lt;12,6,IF(IF(AI13&lt;$C13,0,DATEDIF($C13,AI13,"m"))&lt;24,7,IF(IF(AI13&lt;$C13,0,DATEDIF($C13,AI13,"m"))&lt;36,10,IF(IF(AI13&lt;$C13,0,DATEDIF($C13,AI13,"m"))&lt;60,14,IF(IF(AI13&lt;$C13,0,DATEDIF($C13,AI13,"m"))&lt;120,15,MIN(30,15+INT(IF(AI13&lt;$C13,0,DATEDIF($C13,AI13,"m"))/12)-9))))))))</f>
        <v/>
      </c>
      <c r="AM13" s="34" t="str">
        <f aca="false">IF(C13="","",IF(IF(AJ13&lt;$C13,0,DATEDIF($C13,AJ13,"m"))&lt;6,0,IF(IF(AJ13&lt;$C13,0,DATEDIF($C13,AJ13,"m"))&lt;12,6,IF(IF(AJ13&lt;$C13,0,DATEDIF($C13,AJ13,"m"))&lt;24,7,IF(IF(AJ13&lt;$C13,0,DATEDIF($C13,AJ13,"m"))&lt;36,10,IF(IF(AJ13&lt;$C13,0,DATEDIF($C13,AJ13,"m"))&lt;60,14,IF(IF(AJ13&lt;$C13,0,DATEDIF($C13,AJ13,"m"))&lt;120,15,MIN(30,15+INT(IF(AJ13&lt;$C13,0,DATEDIF($C13,AJ13,"m"))/12)-9))))))))</f>
        <v/>
      </c>
      <c r="AN13" s="33" t="str">
        <f aca="false">IF(C13="","",((AI13-DATE(YEAR($B$3),1,1))*AK13+(AJ13-AI13)*AL13+(AH13-AJ13)*AM13)/(DATE(YEAR($B$3)+1,1,1)-DATE(YEAR($B$3),1,1)))</f>
        <v/>
      </c>
    </row>
    <row r="14" customFormat="false" ht="15" hidden="false" customHeight="false" outlineLevel="0" collapsed="false">
      <c r="A14" s="34" t="str">
        <f aca="false">IF(流程1_請假申請!U14="","",流程1_請假申請!T14)</f>
        <v/>
      </c>
      <c r="B14" s="34" t="str">
        <f aca="false">IF(流程1_請假申請!U14="","",流程1_請假申請!U14)</f>
        <v/>
      </c>
      <c r="C14" s="40" t="str">
        <f aca="false">IF(流程1_請假申請!U14="","",流程1_請假申請!W14)</f>
        <v/>
      </c>
      <c r="D14" s="40" t="str">
        <f aca="false">IF(流程1_請假申請!X14="","",流程1_請假申請!X14)</f>
        <v/>
      </c>
      <c r="E14" s="34" t="str">
        <f aca="false">IF(C14="","",IF($B$3&lt;C14,0,DATEDIF(C14,$B$3,"m")))</f>
        <v/>
      </c>
      <c r="F14" s="41" t="str">
        <f aca="false">IF(C14="","",IF(AN14=0,0,CEILING(ROUND(AN14,2),$E$3)))</f>
        <v/>
      </c>
      <c r="G14" s="42"/>
      <c r="H14" s="41" t="str">
        <f aca="false">IF(C14="","",F14+G14)</f>
        <v/>
      </c>
      <c r="I14" s="41" t="str">
        <f aca="false">IF(C14="","",SUMIFS(流程1_請假申請!$I$5:$I$64,流程1_請假申請!$D$5:$D$64,B14,流程1_請假申請!$F$5:$F$64,"特別休假",流程1_請假申請!$M$5:$M$64,"已確認",流程1_請假申請!$G$5:$G$64,"&gt;="&amp;DATE(YEAR($B$3),1,1),流程1_請假申請!$G$5:$G$64,"&lt;="&amp;$B$3))</f>
        <v/>
      </c>
      <c r="J14" s="41" t="str">
        <f aca="false">IF(C14="","",H14-I14)</f>
        <v/>
      </c>
      <c r="K14" s="42"/>
      <c r="L14" s="34" t="str">
        <f aca="false">IF(C14="","",IF(AND(D14&lt;&gt;"",D14&lt;=$B$3),"離職結算",IF(AND(MONTH($B$3)=12,DAY($B$3)=31),"年度結算","")))</f>
        <v/>
      </c>
      <c r="M14" s="41" t="n">
        <f aca="false">IF(OR(C14="",L14=""),0,N(G14)-MIN(N(G14),I14))</f>
        <v>0</v>
      </c>
      <c r="N14" s="41" t="n">
        <f aca="false">IF(OR(C14="",L14=""),0,IF(L14="離職結算",J14-M14,MAX(0,J14-M14-N(K14))))</f>
        <v>0</v>
      </c>
      <c r="O14" s="43" t="str">
        <f aca="false">IF(C14="","",IFERROR(ROUND((INDEX(流程1_月結表!$G$6:$G$8,MATCH(A14,流程1_月結表!$B$6:$B$8,0))+INDEX(流程1_月結表!$H$6:$H$8,MATCH(A14,流程1_月結表!$B$6:$B$8,0))*流程1_參數!$C$7)/流程1_參數!$C$5,2),0))</f>
        <v/>
      </c>
      <c r="P14" s="44"/>
      <c r="Q14" s="43" t="n">
        <f aca="false">IF(OR(C14="",L14=""),0,ROUND(N14*O14+M14*IF(P14="",O14,P14),0))</f>
        <v>0</v>
      </c>
      <c r="R14" s="41" t="str">
        <f aca="false">IF($C14="","",SUMIFS(流程1_請假申請!$I$5:$I$64,流程1_請假申請!$D$5:$D$64,$B14,流程1_請假申請!$F$5:$F$64,"病假（普通傷病假）",流程1_請假申請!$M$5:$M$64,"已確認",流程1_請假申請!$G$5:$G$64,"&gt;="&amp;DATE(YEAR($B$3),1,1),流程1_請假申請!$G$5:$G$64,"&lt;="&amp;$B$3))</f>
        <v/>
      </c>
      <c r="S14" s="41" t="str">
        <f aca="false">IF($C14="","",SUMIFS(流程1_請假申請!$I$5:$I$64,流程1_請假申請!$D$5:$D$64,$B14,流程1_請假申請!$F$5:$F$64,"事假",流程1_請假申請!$M$5:$M$64,"已確認",流程1_請假申請!$G$5:$G$64,"&gt;="&amp;DATE(YEAR($B$3),1,1),流程1_請假申請!$G$5:$G$64,"&lt;="&amp;$B$3))</f>
        <v/>
      </c>
      <c r="T14" s="41" t="str">
        <f aca="false">IF($C14="","",SUMIFS(流程1_請假申請!$I$5:$I$64,流程1_請假申請!$D$5:$D$64,$B14,流程1_請假申請!$F$5:$F$64,"家庭照顧假",流程1_請假申請!$M$5:$M$64,"已確認",流程1_請假申請!$G$5:$G$64,"&gt;="&amp;DATE(YEAR($B$3),1,1),流程1_請假申請!$G$5:$G$64,"&lt;="&amp;$B$3))</f>
        <v/>
      </c>
      <c r="U14" s="41" t="str">
        <f aca="false">IF($C14="","",SUMIFS(流程1_請假申請!$I$5:$I$64,流程1_請假申請!$D$5:$D$64,$B14,流程1_請假申請!$F$5:$F$64,"生理假",流程1_請假申請!$M$5:$M$64,"已確認",流程1_請假申請!$G$5:$G$64,"&gt;="&amp;DATE(YEAR($B$3),1,1),流程1_請假申請!$G$5:$G$64,"&lt;="&amp;$B$3))</f>
        <v/>
      </c>
      <c r="V14" s="41" t="str">
        <f aca="false">IF($C14="","",SUMIFS(流程1_請假申請!$I$5:$I$64,流程1_請假申請!$D$5:$D$64,$B14,流程1_請假申請!$F$5:$F$64,"安胎休養假",流程1_請假申請!$M$5:$M$64,"已確認",流程1_請假申請!$G$5:$G$64,"&gt;="&amp;DATE(YEAR($B$3),1,1),流程1_請假申請!$G$5:$G$64,"&lt;="&amp;$B$3))</f>
        <v/>
      </c>
      <c r="W14" s="41" t="str">
        <f aca="false">IF($C14="","",SUMIFS(流程1_請假申請!$I$5:$I$64,流程1_請假申請!$D$5:$D$64,$B14,流程1_請假申請!$F$5:$F$64,"婚假",流程1_請假申請!$M$5:$M$64,"已確認",流程1_請假申請!$G$5:$G$64,"&gt;="&amp;DATE(YEAR($B$3),1,1),流程1_請假申請!$G$5:$G$64,"&lt;="&amp;$B$3))</f>
        <v/>
      </c>
      <c r="X14" s="41" t="str">
        <f aca="false">IF($C14="","",SUMIFS(流程1_請假申請!$I$5:$I$64,流程1_請假申請!$D$5:$D$64,$B14,流程1_請假申請!$F$5:$F$64,"喪假",流程1_請假申請!$M$5:$M$64,"已確認",流程1_請假申請!$G$5:$G$64,"&gt;="&amp;DATE(YEAR($B$3),1,1),流程1_請假申請!$G$5:$G$64,"&lt;="&amp;$B$3))</f>
        <v/>
      </c>
      <c r="Y14" s="41" t="str">
        <f aca="false">IF($C14="","",SUMIFS(流程1_請假申請!$I$5:$I$64,流程1_請假申請!$D$5:$D$64,$B14,流程1_請假申請!$F$5:$F$64,"產假",流程1_請假申請!$M$5:$M$64,"已確認",流程1_請假申請!$G$5:$G$64,"&gt;="&amp;DATE(YEAR($B$3),1,1),流程1_請假申請!$G$5:$G$64,"&lt;="&amp;$B$3))</f>
        <v/>
      </c>
      <c r="Z14" s="41" t="str">
        <f aca="false">IF($C14="","",SUMIFS(流程1_請假申請!$I$5:$I$64,流程1_請假申請!$D$5:$D$64,$B14,流程1_請假申請!$F$5:$F$64,"產檢假",流程1_請假申請!$M$5:$M$64,"已確認",流程1_請假申請!$G$5:$G$64,"&gt;="&amp;DATE(YEAR($B$3),1,1),流程1_請假申請!$G$5:$G$64,"&lt;="&amp;$B$3))</f>
        <v/>
      </c>
      <c r="AA14" s="41" t="str">
        <f aca="false">IF($C14="","",SUMIFS(流程1_請假申請!$I$5:$I$64,流程1_請假申請!$D$5:$D$64,$B14,流程1_請假申請!$F$5:$F$64,"陪產檢及陪產假",流程1_請假申請!$M$5:$M$64,"已確認",流程1_請假申請!$G$5:$G$64,"&gt;="&amp;DATE(YEAR($B$3),1,1),流程1_請假申請!$G$5:$G$64,"&lt;="&amp;$B$3))</f>
        <v/>
      </c>
      <c r="AB14" s="41" t="str">
        <f aca="false">IF($C14="","",SUMIFS(流程1_請假申請!$I$5:$I$64,流程1_請假申請!$D$5:$D$64,$B14,流程1_請假申請!$F$5:$F$64,"公傷病假",流程1_請假申請!$M$5:$M$64,"已確認",流程1_請假申請!$G$5:$G$64,"&gt;="&amp;DATE(YEAR($B$3),1,1),流程1_請假申請!$G$5:$G$64,"&lt;="&amp;$B$3))</f>
        <v/>
      </c>
      <c r="AC14" s="41" t="str">
        <f aca="false">IF($C14="","",SUMIFS(流程1_請假申請!$I$5:$I$64,流程1_請假申請!$D$5:$D$64,$B14,流程1_請假申請!$F$5:$F$64,"公假",流程1_請假申請!$M$5:$M$64,"已確認",流程1_請假申請!$G$5:$G$64,"&gt;="&amp;DATE(YEAR($B$3),1,1),流程1_請假申請!$G$5:$G$64,"&lt;="&amp;$B$3))</f>
        <v/>
      </c>
      <c r="AD14" s="41" t="str">
        <f aca="false">IF($C14="","",SUMIFS(流程1_請假申請!$I$5:$I$64,流程1_請假申請!$D$5:$D$64,$B14,流程1_請假申請!$F$5:$F$64,"特別休假",流程1_請假申請!$M$5:$M$64,"已確認",流程1_請假申請!$G$5:$G$64,"&gt;="&amp;DATE(YEAR($B$3),1,1),流程1_請假申請!$G$5:$G$64,"&lt;="&amp;$B$3))</f>
        <v/>
      </c>
      <c r="AE14" s="41" t="str">
        <f aca="false">IF($C14="","",SUMIFS(流程1_請假申請!$I$5:$I$64,流程1_請假申請!$D$5:$D$64,$B14,流程1_請假申請!$F$5:$F$64,"育嬰留職停薪",流程1_請假申請!$M$5:$M$64,"已確認",流程1_請假申請!$G$5:$G$64,"&gt;="&amp;DATE(YEAR($B$3),1,1),流程1_請假申請!$G$5:$G$64,"&lt;="&amp;$B$3))</f>
        <v/>
      </c>
      <c r="AF14" s="41" t="str">
        <f aca="false">IF(C14="","",30-R14)</f>
        <v/>
      </c>
      <c r="AG14" s="41" t="str">
        <f aca="false">IF(C14="","",14-S14)</f>
        <v/>
      </c>
      <c r="AH14" s="40" t="str">
        <f aca="false">IF(C14="","",IF(D14="",DATE(YEAR($B$3)+1,1,1),MIN(DATE(YEAR($B$3)+1,1,1),D14+1)))</f>
        <v/>
      </c>
      <c r="AI14" s="40" t="str">
        <f aca="false">IF(C14="","",MAX(DATE(YEAR($B$3),1,1),MIN(AH14,EDATE(C14,6))))</f>
        <v/>
      </c>
      <c r="AJ14" s="40" t="str">
        <f aca="false">IF(C14="","",MAX(AI14,MIN(AH14,EDATE(C14,12*MAX(1,YEAR($B$3)-YEAR(C14))))))</f>
        <v/>
      </c>
      <c r="AK14" s="34" t="str">
        <f aca="false">IF(C14="","",IF(IF(DATE(YEAR($B$3),1,1)&lt;$C14,0,DATEDIF($C14,DATE(YEAR($B$3),1,1),"m"))&lt;6,0,IF(IF(DATE(YEAR($B$3),1,1)&lt;$C14,0,DATEDIF($C14,DATE(YEAR($B$3),1,1),"m"))&lt;12,6,IF(IF(DATE(YEAR($B$3),1,1)&lt;$C14,0,DATEDIF($C14,DATE(YEAR($B$3),1,1),"m"))&lt;24,7,IF(IF(DATE(YEAR($B$3),1,1)&lt;$C14,0,DATEDIF($C14,DATE(YEAR($B$3),1,1),"m"))&lt;36,10,IF(IF(DATE(YEAR($B$3),1,1)&lt;$C14,0,DATEDIF($C14,DATE(YEAR($B$3),1,1),"m"))&lt;60,14,IF(IF(DATE(YEAR($B$3),1,1)&lt;$C14,0,DATEDIF($C14,DATE(YEAR($B$3),1,1),"m"))&lt;120,15,MIN(30,15+INT(IF(DATE(YEAR($B$3),1,1)&lt;$C14,0,DATEDIF($C14,DATE(YEAR($B$3),1,1),"m"))/12)-9))))))))</f>
        <v/>
      </c>
      <c r="AL14" s="34" t="str">
        <f aca="false">IF(C14="","",IF(IF(AI14&lt;$C14,0,DATEDIF($C14,AI14,"m"))&lt;6,0,IF(IF(AI14&lt;$C14,0,DATEDIF($C14,AI14,"m"))&lt;12,6,IF(IF(AI14&lt;$C14,0,DATEDIF($C14,AI14,"m"))&lt;24,7,IF(IF(AI14&lt;$C14,0,DATEDIF($C14,AI14,"m"))&lt;36,10,IF(IF(AI14&lt;$C14,0,DATEDIF($C14,AI14,"m"))&lt;60,14,IF(IF(AI14&lt;$C14,0,DATEDIF($C14,AI14,"m"))&lt;120,15,MIN(30,15+INT(IF(AI14&lt;$C14,0,DATEDIF($C14,AI14,"m"))/12)-9))))))))</f>
        <v/>
      </c>
      <c r="AM14" s="34" t="str">
        <f aca="false">IF(C14="","",IF(IF(AJ14&lt;$C14,0,DATEDIF($C14,AJ14,"m"))&lt;6,0,IF(IF(AJ14&lt;$C14,0,DATEDIF($C14,AJ14,"m"))&lt;12,6,IF(IF(AJ14&lt;$C14,0,DATEDIF($C14,AJ14,"m"))&lt;24,7,IF(IF(AJ14&lt;$C14,0,DATEDIF($C14,AJ14,"m"))&lt;36,10,IF(IF(AJ14&lt;$C14,0,DATEDIF($C14,AJ14,"m"))&lt;60,14,IF(IF(AJ14&lt;$C14,0,DATEDIF($C14,AJ14,"m"))&lt;120,15,MIN(30,15+INT(IF(AJ14&lt;$C14,0,DATEDIF($C14,AJ14,"m"))/12)-9))))))))</f>
        <v/>
      </c>
      <c r="AN14" s="33" t="str">
        <f aca="false">IF(C14="","",((AI14-DATE(YEAR($B$3),1,1))*AK14+(AJ14-AI14)*AL14+(AH14-AJ14)*AM14)/(DATE(YEAR($B$3)+1,1,1)-DATE(YEAR($B$3),1,1)))</f>
        <v/>
      </c>
    </row>
    <row r="15" customFormat="false" ht="15" hidden="false" customHeight="false" outlineLevel="0" collapsed="false">
      <c r="A15" s="34" t="str">
        <f aca="false">IF(流程1_請假申請!U15="","",流程1_請假申請!T15)</f>
        <v/>
      </c>
      <c r="B15" s="34" t="str">
        <f aca="false">IF(流程1_請假申請!U15="","",流程1_請假申請!U15)</f>
        <v/>
      </c>
      <c r="C15" s="40" t="str">
        <f aca="false">IF(流程1_請假申請!U15="","",流程1_請假申請!W15)</f>
        <v/>
      </c>
      <c r="D15" s="40" t="str">
        <f aca="false">IF(流程1_請假申請!X15="","",流程1_請假申請!X15)</f>
        <v/>
      </c>
      <c r="E15" s="34" t="str">
        <f aca="false">IF(C15="","",IF($B$3&lt;C15,0,DATEDIF(C15,$B$3,"m")))</f>
        <v/>
      </c>
      <c r="F15" s="41" t="str">
        <f aca="false">IF(C15="","",IF(AN15=0,0,CEILING(ROUND(AN15,2),$E$3)))</f>
        <v/>
      </c>
      <c r="G15" s="42"/>
      <c r="H15" s="41" t="str">
        <f aca="false">IF(C15="","",F15+G15)</f>
        <v/>
      </c>
      <c r="I15" s="41" t="str">
        <f aca="false">IF(C15="","",SUMIFS(流程1_請假申請!$I$5:$I$64,流程1_請假申請!$D$5:$D$64,B15,流程1_請假申請!$F$5:$F$64,"特別休假",流程1_請假申請!$M$5:$M$64,"已確認",流程1_請假申請!$G$5:$G$64,"&gt;="&amp;DATE(YEAR($B$3),1,1),流程1_請假申請!$G$5:$G$64,"&lt;="&amp;$B$3))</f>
        <v/>
      </c>
      <c r="J15" s="41" t="str">
        <f aca="false">IF(C15="","",H15-I15)</f>
        <v/>
      </c>
      <c r="K15" s="42"/>
      <c r="L15" s="34" t="str">
        <f aca="false">IF(C15="","",IF(AND(D15&lt;&gt;"",D15&lt;=$B$3),"離職結算",IF(AND(MONTH($B$3)=12,DAY($B$3)=31),"年度結算","")))</f>
        <v/>
      </c>
      <c r="M15" s="41" t="n">
        <f aca="false">IF(OR(C15="",L15=""),0,N(G15)-MIN(N(G15),I15))</f>
        <v>0</v>
      </c>
      <c r="N15" s="41" t="n">
        <f aca="false">IF(OR(C15="",L15=""),0,IF(L15="離職結算",J15-M15,MAX(0,J15-M15-N(K15))))</f>
        <v>0</v>
      </c>
      <c r="O15" s="43" t="str">
        <f aca="false">IF(C15="","",IFERROR(ROUND((INDEX(流程1_月結表!$G$6:$G$8,MATCH(A15,流程1_月結表!$B$6:$B$8,0))+INDEX(流程1_月結表!$H$6:$H$8,MATCH(A15,流程1_月結表!$B$6:$B$8,0))*流程1_參數!$C$7)/流程1_參數!$C$5,2),0))</f>
        <v/>
      </c>
      <c r="P15" s="44"/>
      <c r="Q15" s="43" t="n">
        <f aca="false">IF(OR(C15="",L15=""),0,ROUND(N15*O15+M15*IF(P15="",O15,P15),0))</f>
        <v>0</v>
      </c>
      <c r="R15" s="41" t="str">
        <f aca="false">IF($C15="","",SUMIFS(流程1_請假申請!$I$5:$I$64,流程1_請假申請!$D$5:$D$64,$B15,流程1_請假申請!$F$5:$F$64,"病假（普通傷病假）",流程1_請假申請!$M$5:$M$64,"已確認",流程1_請假申請!$G$5:$G$64,"&gt;="&amp;DATE(YEAR($B$3),1,1),流程1_請假申請!$G$5:$G$64,"&lt;="&amp;$B$3))</f>
        <v/>
      </c>
      <c r="S15" s="41" t="str">
        <f aca="false">IF($C15="","",SUMIFS(流程1_請假申請!$I$5:$I$64,流程1_請假申請!$D$5:$D$64,$B15,流程1_請假申請!$F$5:$F$64,"事假",流程1_請假申請!$M$5:$M$64,"已確認",流程1_請假申請!$G$5:$G$64,"&gt;="&amp;DATE(YEAR($B$3),1,1),流程1_請假申請!$G$5:$G$64,"&lt;="&amp;$B$3))</f>
        <v/>
      </c>
      <c r="T15" s="41" t="str">
        <f aca="false">IF($C15="","",SUMIFS(流程1_請假申請!$I$5:$I$64,流程1_請假申請!$D$5:$D$64,$B15,流程1_請假申請!$F$5:$F$64,"家庭照顧假",流程1_請假申請!$M$5:$M$64,"已確認",流程1_請假申請!$G$5:$G$64,"&gt;="&amp;DATE(YEAR($B$3),1,1),流程1_請假申請!$G$5:$G$64,"&lt;="&amp;$B$3))</f>
        <v/>
      </c>
      <c r="U15" s="41" t="str">
        <f aca="false">IF($C15="","",SUMIFS(流程1_請假申請!$I$5:$I$64,流程1_請假申請!$D$5:$D$64,$B15,流程1_請假申請!$F$5:$F$64,"生理假",流程1_請假申請!$M$5:$M$64,"已確認",流程1_請假申請!$G$5:$G$64,"&gt;="&amp;DATE(YEAR($B$3),1,1),流程1_請假申請!$G$5:$G$64,"&lt;="&amp;$B$3))</f>
        <v/>
      </c>
      <c r="V15" s="41" t="str">
        <f aca="false">IF($C15="","",SUMIFS(流程1_請假申請!$I$5:$I$64,流程1_請假申請!$D$5:$D$64,$B15,流程1_請假申請!$F$5:$F$64,"安胎休養假",流程1_請假申請!$M$5:$M$64,"已確認",流程1_請假申請!$G$5:$G$64,"&gt;="&amp;DATE(YEAR($B$3),1,1),流程1_請假申請!$G$5:$G$64,"&lt;="&amp;$B$3))</f>
        <v/>
      </c>
      <c r="W15" s="41" t="str">
        <f aca="false">IF($C15="","",SUMIFS(流程1_請假申請!$I$5:$I$64,流程1_請假申請!$D$5:$D$64,$B15,流程1_請假申請!$F$5:$F$64,"婚假",流程1_請假申請!$M$5:$M$64,"已確認",流程1_請假申請!$G$5:$G$64,"&gt;="&amp;DATE(YEAR($B$3),1,1),流程1_請假申請!$G$5:$G$64,"&lt;="&amp;$B$3))</f>
        <v/>
      </c>
      <c r="X15" s="41" t="str">
        <f aca="false">IF($C15="","",SUMIFS(流程1_請假申請!$I$5:$I$64,流程1_請假申請!$D$5:$D$64,$B15,流程1_請假申請!$F$5:$F$64,"喪假",流程1_請假申請!$M$5:$M$64,"已確認",流程1_請假申請!$G$5:$G$64,"&gt;="&amp;DATE(YEAR($B$3),1,1),流程1_請假申請!$G$5:$G$64,"&lt;="&amp;$B$3))</f>
        <v/>
      </c>
      <c r="Y15" s="41" t="str">
        <f aca="false">IF($C15="","",SUMIFS(流程1_請假申請!$I$5:$I$64,流程1_請假申請!$D$5:$D$64,$B15,流程1_請假申請!$F$5:$F$64,"產假",流程1_請假申請!$M$5:$M$64,"已確認",流程1_請假申請!$G$5:$G$64,"&gt;="&amp;DATE(YEAR($B$3),1,1),流程1_請假申請!$G$5:$G$64,"&lt;="&amp;$B$3))</f>
        <v/>
      </c>
      <c r="Z15" s="41" t="str">
        <f aca="false">IF($C15="","",SUMIFS(流程1_請假申請!$I$5:$I$64,流程1_請假申請!$D$5:$D$64,$B15,流程1_請假申請!$F$5:$F$64,"產檢假",流程1_請假申請!$M$5:$M$64,"已確認",流程1_請假申請!$G$5:$G$64,"&gt;="&amp;DATE(YEAR($B$3),1,1),流程1_請假申請!$G$5:$G$64,"&lt;="&amp;$B$3))</f>
        <v/>
      </c>
      <c r="AA15" s="41" t="str">
        <f aca="false">IF($C15="","",SUMIFS(流程1_請假申請!$I$5:$I$64,流程1_請假申請!$D$5:$D$64,$B15,流程1_請假申請!$F$5:$F$64,"陪產檢及陪產假",流程1_請假申請!$M$5:$M$64,"已確認",流程1_請假申請!$G$5:$G$64,"&gt;="&amp;DATE(YEAR($B$3),1,1),流程1_請假申請!$G$5:$G$64,"&lt;="&amp;$B$3))</f>
        <v/>
      </c>
      <c r="AB15" s="41" t="str">
        <f aca="false">IF($C15="","",SUMIFS(流程1_請假申請!$I$5:$I$64,流程1_請假申請!$D$5:$D$64,$B15,流程1_請假申請!$F$5:$F$64,"公傷病假",流程1_請假申請!$M$5:$M$64,"已確認",流程1_請假申請!$G$5:$G$64,"&gt;="&amp;DATE(YEAR($B$3),1,1),流程1_請假申請!$G$5:$G$64,"&lt;="&amp;$B$3))</f>
        <v/>
      </c>
      <c r="AC15" s="41" t="str">
        <f aca="false">IF($C15="","",SUMIFS(流程1_請假申請!$I$5:$I$64,流程1_請假申請!$D$5:$D$64,$B15,流程1_請假申請!$F$5:$F$64,"公假",流程1_請假申請!$M$5:$M$64,"已確認",流程1_請假申請!$G$5:$G$64,"&gt;="&amp;DATE(YEAR($B$3),1,1),流程1_請假申請!$G$5:$G$64,"&lt;="&amp;$B$3))</f>
        <v/>
      </c>
      <c r="AD15" s="41" t="str">
        <f aca="false">IF($C15="","",SUMIFS(流程1_請假申請!$I$5:$I$64,流程1_請假申請!$D$5:$D$64,$B15,流程1_請假申請!$F$5:$F$64,"特別休假",流程1_請假申請!$M$5:$M$64,"已確認",流程1_請假申請!$G$5:$G$64,"&gt;="&amp;DATE(YEAR($B$3),1,1),流程1_請假申請!$G$5:$G$64,"&lt;="&amp;$B$3))</f>
        <v/>
      </c>
      <c r="AE15" s="41" t="str">
        <f aca="false">IF($C15="","",SUMIFS(流程1_請假申請!$I$5:$I$64,流程1_請假申請!$D$5:$D$64,$B15,流程1_請假申請!$F$5:$F$64,"育嬰留職停薪",流程1_請假申請!$M$5:$M$64,"已確認",流程1_請假申請!$G$5:$G$64,"&gt;="&amp;DATE(YEAR($B$3),1,1),流程1_請假申請!$G$5:$G$64,"&lt;="&amp;$B$3))</f>
        <v/>
      </c>
      <c r="AF15" s="41" t="str">
        <f aca="false">IF(C15="","",30-R15)</f>
        <v/>
      </c>
      <c r="AG15" s="41" t="str">
        <f aca="false">IF(C15="","",14-S15)</f>
        <v/>
      </c>
      <c r="AH15" s="40" t="str">
        <f aca="false">IF(C15="","",IF(D15="",DATE(YEAR($B$3)+1,1,1),MIN(DATE(YEAR($B$3)+1,1,1),D15+1)))</f>
        <v/>
      </c>
      <c r="AI15" s="40" t="str">
        <f aca="false">IF(C15="","",MAX(DATE(YEAR($B$3),1,1),MIN(AH15,EDATE(C15,6))))</f>
        <v/>
      </c>
      <c r="AJ15" s="40" t="str">
        <f aca="false">IF(C15="","",MAX(AI15,MIN(AH15,EDATE(C15,12*MAX(1,YEAR($B$3)-YEAR(C15))))))</f>
        <v/>
      </c>
      <c r="AK15" s="34" t="str">
        <f aca="false">IF(C15="","",IF(IF(DATE(YEAR($B$3),1,1)&lt;$C15,0,DATEDIF($C15,DATE(YEAR($B$3),1,1),"m"))&lt;6,0,IF(IF(DATE(YEAR($B$3),1,1)&lt;$C15,0,DATEDIF($C15,DATE(YEAR($B$3),1,1),"m"))&lt;12,6,IF(IF(DATE(YEAR($B$3),1,1)&lt;$C15,0,DATEDIF($C15,DATE(YEAR($B$3),1,1),"m"))&lt;24,7,IF(IF(DATE(YEAR($B$3),1,1)&lt;$C15,0,DATEDIF($C15,DATE(YEAR($B$3),1,1),"m"))&lt;36,10,IF(IF(DATE(YEAR($B$3),1,1)&lt;$C15,0,DATEDIF($C15,DATE(YEAR($B$3),1,1),"m"))&lt;60,14,IF(IF(DATE(YEAR($B$3),1,1)&lt;$C15,0,DATEDIF($C15,DATE(YEAR($B$3),1,1),"m"))&lt;120,15,MIN(30,15+INT(IF(DATE(YEAR($B$3),1,1)&lt;$C15,0,DATEDIF($C15,DATE(YEAR($B$3),1,1),"m"))/12)-9))))))))</f>
        <v/>
      </c>
      <c r="AL15" s="34" t="str">
        <f aca="false">IF(C15="","",IF(IF(AI15&lt;$C15,0,DATEDIF($C15,AI15,"m"))&lt;6,0,IF(IF(AI15&lt;$C15,0,DATEDIF($C15,AI15,"m"))&lt;12,6,IF(IF(AI15&lt;$C15,0,DATEDIF($C15,AI15,"m"))&lt;24,7,IF(IF(AI15&lt;$C15,0,DATEDIF($C15,AI15,"m"))&lt;36,10,IF(IF(AI15&lt;$C15,0,DATEDIF($C15,AI15,"m"))&lt;60,14,IF(IF(AI15&lt;$C15,0,DATEDIF($C15,AI15,"m"))&lt;120,15,MIN(30,15+INT(IF(AI15&lt;$C15,0,DATEDIF($C15,AI15,"m"))/12)-9))))))))</f>
        <v/>
      </c>
      <c r="AM15" s="34" t="str">
        <f aca="false">IF(C15="","",IF(IF(AJ15&lt;$C15,0,DATEDIF($C15,AJ15,"m"))&lt;6,0,IF(IF(AJ15&lt;$C15,0,DATEDIF($C15,AJ15,"m"))&lt;12,6,IF(IF(AJ15&lt;$C15,0,DATEDIF($C15,AJ15,"m"))&lt;24,7,IF(IF(AJ15&lt;$C15,0,DATEDIF($C15,AJ15,"m"))&lt;36,10,IF(IF(AJ15&lt;$C15,0,DATEDIF($C15,AJ15,"m"))&lt;60,14,IF(IF(AJ15&lt;$C15,0,DATEDIF($C15,AJ15,"m"))&lt;120,15,MIN(30,15+INT(IF(AJ15&lt;$C15,0,DATEDIF($C15,AJ15,"m"))/12)-9))))))))</f>
        <v/>
      </c>
      <c r="AN15" s="33" t="str">
        <f aca="false">IF(C15="","",((AI15-DATE(YEAR($B$3),1,1))*AK15+(AJ15-AI15)*AL15+(AH15-AJ15)*AM15)/(DATE(YEAR($B$3)+1,1,1)-DATE(YEAR($B$3),1,1)))</f>
        <v/>
      </c>
    </row>
    <row r="16" customFormat="false" ht="15" hidden="false" customHeight="false" outlineLevel="0" collapsed="false">
      <c r="A16" s="34" t="str">
        <f aca="false">IF(流程1_請假申請!U16="","",流程1_請假申請!T16)</f>
        <v/>
      </c>
      <c r="B16" s="34" t="str">
        <f aca="false">IF(流程1_請假申請!U16="","",流程1_請假申請!U16)</f>
        <v/>
      </c>
      <c r="C16" s="40" t="str">
        <f aca="false">IF(流程1_請假申請!U16="","",流程1_請假申請!W16)</f>
        <v/>
      </c>
      <c r="D16" s="40" t="str">
        <f aca="false">IF(流程1_請假申請!X16="","",流程1_請假申請!X16)</f>
        <v/>
      </c>
      <c r="E16" s="34" t="str">
        <f aca="false">IF(C16="","",IF($B$3&lt;C16,0,DATEDIF(C16,$B$3,"m")))</f>
        <v/>
      </c>
      <c r="F16" s="41" t="str">
        <f aca="false">IF(C16="","",IF(AN16=0,0,CEILING(ROUND(AN16,2),$E$3)))</f>
        <v/>
      </c>
      <c r="G16" s="42"/>
      <c r="H16" s="41" t="str">
        <f aca="false">IF(C16="","",F16+G16)</f>
        <v/>
      </c>
      <c r="I16" s="41" t="str">
        <f aca="false">IF(C16="","",SUMIFS(流程1_請假申請!$I$5:$I$64,流程1_請假申請!$D$5:$D$64,B16,流程1_請假申請!$F$5:$F$64,"特別休假",流程1_請假申請!$M$5:$M$64,"已確認",流程1_請假申請!$G$5:$G$64,"&gt;="&amp;DATE(YEAR($B$3),1,1),流程1_請假申請!$G$5:$G$64,"&lt;="&amp;$B$3))</f>
        <v/>
      </c>
      <c r="J16" s="41" t="str">
        <f aca="false">IF(C16="","",H16-I16)</f>
        <v/>
      </c>
      <c r="K16" s="42"/>
      <c r="L16" s="34" t="str">
        <f aca="false">IF(C16="","",IF(AND(D16&lt;&gt;"",D16&lt;=$B$3),"離職結算",IF(AND(MONTH($B$3)=12,DAY($B$3)=31),"年度結算","")))</f>
        <v/>
      </c>
      <c r="M16" s="41" t="n">
        <f aca="false">IF(OR(C16="",L16=""),0,N(G16)-MIN(N(G16),I16))</f>
        <v>0</v>
      </c>
      <c r="N16" s="41" t="n">
        <f aca="false">IF(OR(C16="",L16=""),0,IF(L16="離職結算",J16-M16,MAX(0,J16-M16-N(K16))))</f>
        <v>0</v>
      </c>
      <c r="O16" s="43" t="str">
        <f aca="false">IF(C16="","",IFERROR(ROUND((INDEX(流程1_月結表!$G$6:$G$8,MATCH(A16,流程1_月結表!$B$6:$B$8,0))+INDEX(流程1_月結表!$H$6:$H$8,MATCH(A16,流程1_月結表!$B$6:$B$8,0))*流程1_參數!$C$7)/流程1_參數!$C$5,2),0))</f>
        <v/>
      </c>
      <c r="P16" s="44"/>
      <c r="Q16" s="43" t="n">
        <f aca="false">IF(OR(C16="",L16=""),0,ROUND(N16*O16+M16*IF(P16="",O16,P16),0))</f>
        <v>0</v>
      </c>
      <c r="R16" s="41" t="str">
        <f aca="false">IF($C16="","",SUMIFS(流程1_請假申請!$I$5:$I$64,流程1_請假申請!$D$5:$D$64,$B16,流程1_請假申請!$F$5:$F$64,"病假（普通傷病假）",流程1_請假申請!$M$5:$M$64,"已確認",流程1_請假申請!$G$5:$G$64,"&gt;="&amp;DATE(YEAR($B$3),1,1),流程1_請假申請!$G$5:$G$64,"&lt;="&amp;$B$3))</f>
        <v/>
      </c>
      <c r="S16" s="41" t="str">
        <f aca="false">IF($C16="","",SUMIFS(流程1_請假申請!$I$5:$I$64,流程1_請假申請!$D$5:$D$64,$B16,流程1_請假申請!$F$5:$F$64,"事假",流程1_請假申請!$M$5:$M$64,"已確認",流程1_請假申請!$G$5:$G$64,"&gt;="&amp;DATE(YEAR($B$3),1,1),流程1_請假申請!$G$5:$G$64,"&lt;="&amp;$B$3))</f>
        <v/>
      </c>
      <c r="T16" s="41" t="str">
        <f aca="false">IF($C16="","",SUMIFS(流程1_請假申請!$I$5:$I$64,流程1_請假申請!$D$5:$D$64,$B16,流程1_請假申請!$F$5:$F$64,"家庭照顧假",流程1_請假申請!$M$5:$M$64,"已確認",流程1_請假申請!$G$5:$G$64,"&gt;="&amp;DATE(YEAR($B$3),1,1),流程1_請假申請!$G$5:$G$64,"&lt;="&amp;$B$3))</f>
        <v/>
      </c>
      <c r="U16" s="41" t="str">
        <f aca="false">IF($C16="","",SUMIFS(流程1_請假申請!$I$5:$I$64,流程1_請假申請!$D$5:$D$64,$B16,流程1_請假申請!$F$5:$F$64,"生理假",流程1_請假申請!$M$5:$M$64,"已確認",流程1_請假申請!$G$5:$G$64,"&gt;="&amp;DATE(YEAR($B$3),1,1),流程1_請假申請!$G$5:$G$64,"&lt;="&amp;$B$3))</f>
        <v/>
      </c>
      <c r="V16" s="41" t="str">
        <f aca="false">IF($C16="","",SUMIFS(流程1_請假申請!$I$5:$I$64,流程1_請假申請!$D$5:$D$64,$B16,流程1_請假申請!$F$5:$F$64,"安胎休養假",流程1_請假申請!$M$5:$M$64,"已確認",流程1_請假申請!$G$5:$G$64,"&gt;="&amp;DATE(YEAR($B$3),1,1),流程1_請假申請!$G$5:$G$64,"&lt;="&amp;$B$3))</f>
        <v/>
      </c>
      <c r="W16" s="41" t="str">
        <f aca="false">IF($C16="","",SUMIFS(流程1_請假申請!$I$5:$I$64,流程1_請假申請!$D$5:$D$64,$B16,流程1_請假申請!$F$5:$F$64,"婚假",流程1_請假申請!$M$5:$M$64,"已確認",流程1_請假申請!$G$5:$G$64,"&gt;="&amp;DATE(YEAR($B$3),1,1),流程1_請假申請!$G$5:$G$64,"&lt;="&amp;$B$3))</f>
        <v/>
      </c>
      <c r="X16" s="41" t="str">
        <f aca="false">IF($C16="","",SUMIFS(流程1_請假申請!$I$5:$I$64,流程1_請假申請!$D$5:$D$64,$B16,流程1_請假申請!$F$5:$F$64,"喪假",流程1_請假申請!$M$5:$M$64,"已確認",流程1_請假申請!$G$5:$G$64,"&gt;="&amp;DATE(YEAR($B$3),1,1),流程1_請假申請!$G$5:$G$64,"&lt;="&amp;$B$3))</f>
        <v/>
      </c>
      <c r="Y16" s="41" t="str">
        <f aca="false">IF($C16="","",SUMIFS(流程1_請假申請!$I$5:$I$64,流程1_請假申請!$D$5:$D$64,$B16,流程1_請假申請!$F$5:$F$64,"產假",流程1_請假申請!$M$5:$M$64,"已確認",流程1_請假申請!$G$5:$G$64,"&gt;="&amp;DATE(YEAR($B$3),1,1),流程1_請假申請!$G$5:$G$64,"&lt;="&amp;$B$3))</f>
        <v/>
      </c>
      <c r="Z16" s="41" t="str">
        <f aca="false">IF($C16="","",SUMIFS(流程1_請假申請!$I$5:$I$64,流程1_請假申請!$D$5:$D$64,$B16,流程1_請假申請!$F$5:$F$64,"產檢假",流程1_請假申請!$M$5:$M$64,"已確認",流程1_請假申請!$G$5:$G$64,"&gt;="&amp;DATE(YEAR($B$3),1,1),流程1_請假申請!$G$5:$G$64,"&lt;="&amp;$B$3))</f>
        <v/>
      </c>
      <c r="AA16" s="41" t="str">
        <f aca="false">IF($C16="","",SUMIFS(流程1_請假申請!$I$5:$I$64,流程1_請假申請!$D$5:$D$64,$B16,流程1_請假申請!$F$5:$F$64,"陪產檢及陪產假",流程1_請假申請!$M$5:$M$64,"已確認",流程1_請假申請!$G$5:$G$64,"&gt;="&amp;DATE(YEAR($B$3),1,1),流程1_請假申請!$G$5:$G$64,"&lt;="&amp;$B$3))</f>
        <v/>
      </c>
      <c r="AB16" s="41" t="str">
        <f aca="false">IF($C16="","",SUMIFS(流程1_請假申請!$I$5:$I$64,流程1_請假申請!$D$5:$D$64,$B16,流程1_請假申請!$F$5:$F$64,"公傷病假",流程1_請假申請!$M$5:$M$64,"已確認",流程1_請假申請!$G$5:$G$64,"&gt;="&amp;DATE(YEAR($B$3),1,1),流程1_請假申請!$G$5:$G$64,"&lt;="&amp;$B$3))</f>
        <v/>
      </c>
      <c r="AC16" s="41" t="str">
        <f aca="false">IF($C16="","",SUMIFS(流程1_請假申請!$I$5:$I$64,流程1_請假申請!$D$5:$D$64,$B16,流程1_請假申請!$F$5:$F$64,"公假",流程1_請假申請!$M$5:$M$64,"已確認",流程1_請假申請!$G$5:$G$64,"&gt;="&amp;DATE(YEAR($B$3),1,1),流程1_請假申請!$G$5:$G$64,"&lt;="&amp;$B$3))</f>
        <v/>
      </c>
      <c r="AD16" s="41" t="str">
        <f aca="false">IF($C16="","",SUMIFS(流程1_請假申請!$I$5:$I$64,流程1_請假申請!$D$5:$D$64,$B16,流程1_請假申請!$F$5:$F$64,"特別休假",流程1_請假申請!$M$5:$M$64,"已確認",流程1_請假申請!$G$5:$G$64,"&gt;="&amp;DATE(YEAR($B$3),1,1),流程1_請假申請!$G$5:$G$64,"&lt;="&amp;$B$3))</f>
        <v/>
      </c>
      <c r="AE16" s="41" t="str">
        <f aca="false">IF($C16="","",SUMIFS(流程1_請假申請!$I$5:$I$64,流程1_請假申請!$D$5:$D$64,$B16,流程1_請假申請!$F$5:$F$64,"育嬰留職停薪",流程1_請假申請!$M$5:$M$64,"已確認",流程1_請假申請!$G$5:$G$64,"&gt;="&amp;DATE(YEAR($B$3),1,1),流程1_請假申請!$G$5:$G$64,"&lt;="&amp;$B$3))</f>
        <v/>
      </c>
      <c r="AF16" s="41" t="str">
        <f aca="false">IF(C16="","",30-R16)</f>
        <v/>
      </c>
      <c r="AG16" s="41" t="str">
        <f aca="false">IF(C16="","",14-S16)</f>
        <v/>
      </c>
      <c r="AH16" s="40" t="str">
        <f aca="false">IF(C16="","",IF(D16="",DATE(YEAR($B$3)+1,1,1),MIN(DATE(YEAR($B$3)+1,1,1),D16+1)))</f>
        <v/>
      </c>
      <c r="AI16" s="40" t="str">
        <f aca="false">IF(C16="","",MAX(DATE(YEAR($B$3),1,1),MIN(AH16,EDATE(C16,6))))</f>
        <v/>
      </c>
      <c r="AJ16" s="40" t="str">
        <f aca="false">IF(C16="","",MAX(AI16,MIN(AH16,EDATE(C16,12*MAX(1,YEAR($B$3)-YEAR(C16))))))</f>
        <v/>
      </c>
      <c r="AK16" s="34" t="str">
        <f aca="false">IF(C16="","",IF(IF(DATE(YEAR($B$3),1,1)&lt;$C16,0,DATEDIF($C16,DATE(YEAR($B$3),1,1),"m"))&lt;6,0,IF(IF(DATE(YEAR($B$3),1,1)&lt;$C16,0,DATEDIF($C16,DATE(YEAR($B$3),1,1),"m"))&lt;12,6,IF(IF(DATE(YEAR($B$3),1,1)&lt;$C16,0,DATEDIF($C16,DATE(YEAR($B$3),1,1),"m"))&lt;24,7,IF(IF(DATE(YEAR($B$3),1,1)&lt;$C16,0,DATEDIF($C16,DATE(YEAR($B$3),1,1),"m"))&lt;36,10,IF(IF(DATE(YEAR($B$3),1,1)&lt;$C16,0,DATEDIF($C16,DATE(YEAR($B$3),1,1),"m"))&lt;60,14,IF(IF(DATE(YEAR($B$3),1,1)&lt;$C16,0,DATEDIF($C16,DATE(YEAR($B$3),1,1),"m"))&lt;120,15,MIN(30,15+INT(IF(DATE(YEAR($B$3),1,1)&lt;$C16,0,DATEDIF($C16,DATE(YEAR($B$3),1,1),"m"))/12)-9))))))))</f>
        <v/>
      </c>
      <c r="AL16" s="34" t="str">
        <f aca="false">IF(C16="","",IF(IF(AI16&lt;$C16,0,DATEDIF($C16,AI16,"m"))&lt;6,0,IF(IF(AI16&lt;$C16,0,DATEDIF($C16,AI16,"m"))&lt;12,6,IF(IF(AI16&lt;$C16,0,DATEDIF($C16,AI16,"m"))&lt;24,7,IF(IF(AI16&lt;$C16,0,DATEDIF($C16,AI16,"m"))&lt;36,10,IF(IF(AI16&lt;$C16,0,DATEDIF($C16,AI16,"m"))&lt;60,14,IF(IF(AI16&lt;$C16,0,DATEDIF($C16,AI16,"m"))&lt;120,15,MIN(30,15+INT(IF(AI16&lt;$C16,0,DATEDIF($C16,AI16,"m"))/12)-9))))))))</f>
        <v/>
      </c>
      <c r="AM16" s="34" t="str">
        <f aca="false">IF(C16="","",IF(IF(AJ16&lt;$C16,0,DATEDIF($C16,AJ16,"m"))&lt;6,0,IF(IF(AJ16&lt;$C16,0,DATEDIF($C16,AJ16,"m"))&lt;12,6,IF(IF(AJ16&lt;$C16,0,DATEDIF($C16,AJ16,"m"))&lt;24,7,IF(IF(AJ16&lt;$C16,0,DATEDIF($C16,AJ16,"m"))&lt;36,10,IF(IF(AJ16&lt;$C16,0,DATEDIF($C16,AJ16,"m"))&lt;60,14,IF(IF(AJ16&lt;$C16,0,DATEDIF($C16,AJ16,"m"))&lt;120,15,MIN(30,15+INT(IF(AJ16&lt;$C16,0,DATEDIF($C16,AJ16,"m"))/12)-9))))))))</f>
        <v/>
      </c>
      <c r="AN16" s="33" t="str">
        <f aca="false">IF(C16="","",((AI16-DATE(YEAR($B$3),1,1))*AK16+(AJ16-AI16)*AL16+(AH16-AJ16)*AM16)/(DATE(YEAR($B$3)+1,1,1)-DATE(YEAR($B$3),1,1)))</f>
        <v/>
      </c>
    </row>
    <row r="17" customFormat="false" ht="15" hidden="false" customHeight="false" outlineLevel="0" collapsed="false">
      <c r="A17" s="34" t="str">
        <f aca="false">IF(流程1_請假申請!U17="","",流程1_請假申請!T17)</f>
        <v/>
      </c>
      <c r="B17" s="34" t="str">
        <f aca="false">IF(流程1_請假申請!U17="","",流程1_請假申請!U17)</f>
        <v/>
      </c>
      <c r="C17" s="40" t="str">
        <f aca="false">IF(流程1_請假申請!U17="","",流程1_請假申請!W17)</f>
        <v/>
      </c>
      <c r="D17" s="40" t="str">
        <f aca="false">IF(流程1_請假申請!X17="","",流程1_請假申請!X17)</f>
        <v/>
      </c>
      <c r="E17" s="34" t="str">
        <f aca="false">IF(C17="","",IF($B$3&lt;C17,0,DATEDIF(C17,$B$3,"m")))</f>
        <v/>
      </c>
      <c r="F17" s="41" t="str">
        <f aca="false">IF(C17="","",IF(AN17=0,0,CEILING(ROUND(AN17,2),$E$3)))</f>
        <v/>
      </c>
      <c r="G17" s="42"/>
      <c r="H17" s="41" t="str">
        <f aca="false">IF(C17="","",F17+G17)</f>
        <v/>
      </c>
      <c r="I17" s="41" t="str">
        <f aca="false">IF(C17="","",SUMIFS(流程1_請假申請!$I$5:$I$64,流程1_請假申請!$D$5:$D$64,B17,流程1_請假申請!$F$5:$F$64,"特別休假",流程1_請假申請!$M$5:$M$64,"已確認",流程1_請假申請!$G$5:$G$64,"&gt;="&amp;DATE(YEAR($B$3),1,1),流程1_請假申請!$G$5:$G$64,"&lt;="&amp;$B$3))</f>
        <v/>
      </c>
      <c r="J17" s="41" t="str">
        <f aca="false">IF(C17="","",H17-I17)</f>
        <v/>
      </c>
      <c r="K17" s="42"/>
      <c r="L17" s="34" t="str">
        <f aca="false">IF(C17="","",IF(AND(D17&lt;&gt;"",D17&lt;=$B$3),"離職結算",IF(AND(MONTH($B$3)=12,DAY($B$3)=31),"年度結算","")))</f>
        <v/>
      </c>
      <c r="M17" s="41" t="n">
        <f aca="false">IF(OR(C17="",L17=""),0,N(G17)-MIN(N(G17),I17))</f>
        <v>0</v>
      </c>
      <c r="N17" s="41" t="n">
        <f aca="false">IF(OR(C17="",L17=""),0,IF(L17="離職結算",J17-M17,MAX(0,J17-M17-N(K17))))</f>
        <v>0</v>
      </c>
      <c r="O17" s="43" t="str">
        <f aca="false">IF(C17="","",IFERROR(ROUND((INDEX(流程1_月結表!$G$6:$G$8,MATCH(A17,流程1_月結表!$B$6:$B$8,0))+INDEX(流程1_月結表!$H$6:$H$8,MATCH(A17,流程1_月結表!$B$6:$B$8,0))*流程1_參數!$C$7)/流程1_參數!$C$5,2),0))</f>
        <v/>
      </c>
      <c r="P17" s="44"/>
      <c r="Q17" s="43" t="n">
        <f aca="false">IF(OR(C17="",L17=""),0,ROUND(N17*O17+M17*IF(P17="",O17,P17),0))</f>
        <v>0</v>
      </c>
      <c r="R17" s="41" t="str">
        <f aca="false">IF($C17="","",SUMIFS(流程1_請假申請!$I$5:$I$64,流程1_請假申請!$D$5:$D$64,$B17,流程1_請假申請!$F$5:$F$64,"病假（普通傷病假）",流程1_請假申請!$M$5:$M$64,"已確認",流程1_請假申請!$G$5:$G$64,"&gt;="&amp;DATE(YEAR($B$3),1,1),流程1_請假申請!$G$5:$G$64,"&lt;="&amp;$B$3))</f>
        <v/>
      </c>
      <c r="S17" s="41" t="str">
        <f aca="false">IF($C17="","",SUMIFS(流程1_請假申請!$I$5:$I$64,流程1_請假申請!$D$5:$D$64,$B17,流程1_請假申請!$F$5:$F$64,"事假",流程1_請假申請!$M$5:$M$64,"已確認",流程1_請假申請!$G$5:$G$64,"&gt;="&amp;DATE(YEAR($B$3),1,1),流程1_請假申請!$G$5:$G$64,"&lt;="&amp;$B$3))</f>
        <v/>
      </c>
      <c r="T17" s="41" t="str">
        <f aca="false">IF($C17="","",SUMIFS(流程1_請假申請!$I$5:$I$64,流程1_請假申請!$D$5:$D$64,$B17,流程1_請假申請!$F$5:$F$64,"家庭照顧假",流程1_請假申請!$M$5:$M$64,"已確認",流程1_請假申請!$G$5:$G$64,"&gt;="&amp;DATE(YEAR($B$3),1,1),流程1_請假申請!$G$5:$G$64,"&lt;="&amp;$B$3))</f>
        <v/>
      </c>
      <c r="U17" s="41" t="str">
        <f aca="false">IF($C17="","",SUMIFS(流程1_請假申請!$I$5:$I$64,流程1_請假申請!$D$5:$D$64,$B17,流程1_請假申請!$F$5:$F$64,"生理假",流程1_請假申請!$M$5:$M$64,"已確認",流程1_請假申請!$G$5:$G$64,"&gt;="&amp;DATE(YEAR($B$3),1,1),流程1_請假申請!$G$5:$G$64,"&lt;="&amp;$B$3))</f>
        <v/>
      </c>
      <c r="V17" s="41" t="str">
        <f aca="false">IF($C17="","",SUMIFS(流程1_請假申請!$I$5:$I$64,流程1_請假申請!$D$5:$D$64,$B17,流程1_請假申請!$F$5:$F$64,"安胎休養假",流程1_請假申請!$M$5:$M$64,"已確認",流程1_請假申請!$G$5:$G$64,"&gt;="&amp;DATE(YEAR($B$3),1,1),流程1_請假申請!$G$5:$G$64,"&lt;="&amp;$B$3))</f>
        <v/>
      </c>
      <c r="W17" s="41" t="str">
        <f aca="false">IF($C17="","",SUMIFS(流程1_請假申請!$I$5:$I$64,流程1_請假申請!$D$5:$D$64,$B17,流程1_請假申請!$F$5:$F$64,"婚假",流程1_請假申請!$M$5:$M$64,"已確認",流程1_請假申請!$G$5:$G$64,"&gt;="&amp;DATE(YEAR($B$3),1,1),流程1_請假申請!$G$5:$G$64,"&lt;="&amp;$B$3))</f>
        <v/>
      </c>
      <c r="X17" s="41" t="str">
        <f aca="false">IF($C17="","",SUMIFS(流程1_請假申請!$I$5:$I$64,流程1_請假申請!$D$5:$D$64,$B17,流程1_請假申請!$F$5:$F$64,"喪假",流程1_請假申請!$M$5:$M$64,"已確認",流程1_請假申請!$G$5:$G$64,"&gt;="&amp;DATE(YEAR($B$3),1,1),流程1_請假申請!$G$5:$G$64,"&lt;="&amp;$B$3))</f>
        <v/>
      </c>
      <c r="Y17" s="41" t="str">
        <f aca="false">IF($C17="","",SUMIFS(流程1_請假申請!$I$5:$I$64,流程1_請假申請!$D$5:$D$64,$B17,流程1_請假申請!$F$5:$F$64,"產假",流程1_請假申請!$M$5:$M$64,"已確認",流程1_請假申請!$G$5:$G$64,"&gt;="&amp;DATE(YEAR($B$3),1,1),流程1_請假申請!$G$5:$G$64,"&lt;="&amp;$B$3))</f>
        <v/>
      </c>
      <c r="Z17" s="41" t="str">
        <f aca="false">IF($C17="","",SUMIFS(流程1_請假申請!$I$5:$I$64,流程1_請假申請!$D$5:$D$64,$B17,流程1_請假申請!$F$5:$F$64,"產檢假",流程1_請假申請!$M$5:$M$64,"已確認",流程1_請假申請!$G$5:$G$64,"&gt;="&amp;DATE(YEAR($B$3),1,1),流程1_請假申請!$G$5:$G$64,"&lt;="&amp;$B$3))</f>
        <v/>
      </c>
      <c r="AA17" s="41" t="str">
        <f aca="false">IF($C17="","",SUMIFS(流程1_請假申請!$I$5:$I$64,流程1_請假申請!$D$5:$D$64,$B17,流程1_請假申請!$F$5:$F$64,"陪產檢及陪產假",流程1_請假申請!$M$5:$M$64,"已確認",流程1_請假申請!$G$5:$G$64,"&gt;="&amp;DATE(YEAR($B$3),1,1),流程1_請假申請!$G$5:$G$64,"&lt;="&amp;$B$3))</f>
        <v/>
      </c>
      <c r="AB17" s="41" t="str">
        <f aca="false">IF($C17="","",SUMIFS(流程1_請假申請!$I$5:$I$64,流程1_請假申請!$D$5:$D$64,$B17,流程1_請假申請!$F$5:$F$64,"公傷病假",流程1_請假申請!$M$5:$M$64,"已確認",流程1_請假申請!$G$5:$G$64,"&gt;="&amp;DATE(YEAR($B$3),1,1),流程1_請假申請!$G$5:$G$64,"&lt;="&amp;$B$3))</f>
        <v/>
      </c>
      <c r="AC17" s="41" t="str">
        <f aca="false">IF($C17="","",SUMIFS(流程1_請假申請!$I$5:$I$64,流程1_請假申請!$D$5:$D$64,$B17,流程1_請假申請!$F$5:$F$64,"公假",流程1_請假申請!$M$5:$M$64,"已確認",流程1_請假申請!$G$5:$G$64,"&gt;="&amp;DATE(YEAR($B$3),1,1),流程1_請假申請!$G$5:$G$64,"&lt;="&amp;$B$3))</f>
        <v/>
      </c>
      <c r="AD17" s="41" t="str">
        <f aca="false">IF($C17="","",SUMIFS(流程1_請假申請!$I$5:$I$64,流程1_請假申請!$D$5:$D$64,$B17,流程1_請假申請!$F$5:$F$64,"特別休假",流程1_請假申請!$M$5:$M$64,"已確認",流程1_請假申請!$G$5:$G$64,"&gt;="&amp;DATE(YEAR($B$3),1,1),流程1_請假申請!$G$5:$G$64,"&lt;="&amp;$B$3))</f>
        <v/>
      </c>
      <c r="AE17" s="41" t="str">
        <f aca="false">IF($C17="","",SUMIFS(流程1_請假申請!$I$5:$I$64,流程1_請假申請!$D$5:$D$64,$B17,流程1_請假申請!$F$5:$F$64,"育嬰留職停薪",流程1_請假申請!$M$5:$M$64,"已確認",流程1_請假申請!$G$5:$G$64,"&gt;="&amp;DATE(YEAR($B$3),1,1),流程1_請假申請!$G$5:$G$64,"&lt;="&amp;$B$3))</f>
        <v/>
      </c>
      <c r="AF17" s="41" t="str">
        <f aca="false">IF(C17="","",30-R17)</f>
        <v/>
      </c>
      <c r="AG17" s="41" t="str">
        <f aca="false">IF(C17="","",14-S17)</f>
        <v/>
      </c>
      <c r="AH17" s="40" t="str">
        <f aca="false">IF(C17="","",IF(D17="",DATE(YEAR($B$3)+1,1,1),MIN(DATE(YEAR($B$3)+1,1,1),D17+1)))</f>
        <v/>
      </c>
      <c r="AI17" s="40" t="str">
        <f aca="false">IF(C17="","",MAX(DATE(YEAR($B$3),1,1),MIN(AH17,EDATE(C17,6))))</f>
        <v/>
      </c>
      <c r="AJ17" s="40" t="str">
        <f aca="false">IF(C17="","",MAX(AI17,MIN(AH17,EDATE(C17,12*MAX(1,YEAR($B$3)-YEAR(C17))))))</f>
        <v/>
      </c>
      <c r="AK17" s="34" t="str">
        <f aca="false">IF(C17="","",IF(IF(DATE(YEAR($B$3),1,1)&lt;$C17,0,DATEDIF($C17,DATE(YEAR($B$3),1,1),"m"))&lt;6,0,IF(IF(DATE(YEAR($B$3),1,1)&lt;$C17,0,DATEDIF($C17,DATE(YEAR($B$3),1,1),"m"))&lt;12,6,IF(IF(DATE(YEAR($B$3),1,1)&lt;$C17,0,DATEDIF($C17,DATE(YEAR($B$3),1,1),"m"))&lt;24,7,IF(IF(DATE(YEAR($B$3),1,1)&lt;$C17,0,DATEDIF($C17,DATE(YEAR($B$3),1,1),"m"))&lt;36,10,IF(IF(DATE(YEAR($B$3),1,1)&lt;$C17,0,DATEDIF($C17,DATE(YEAR($B$3),1,1),"m"))&lt;60,14,IF(IF(DATE(YEAR($B$3),1,1)&lt;$C17,0,DATEDIF($C17,DATE(YEAR($B$3),1,1),"m"))&lt;120,15,MIN(30,15+INT(IF(DATE(YEAR($B$3),1,1)&lt;$C17,0,DATEDIF($C17,DATE(YEAR($B$3),1,1),"m"))/12)-9))))))))</f>
        <v/>
      </c>
      <c r="AL17" s="34" t="str">
        <f aca="false">IF(C17="","",IF(IF(AI17&lt;$C17,0,DATEDIF($C17,AI17,"m"))&lt;6,0,IF(IF(AI17&lt;$C17,0,DATEDIF($C17,AI17,"m"))&lt;12,6,IF(IF(AI17&lt;$C17,0,DATEDIF($C17,AI17,"m"))&lt;24,7,IF(IF(AI17&lt;$C17,0,DATEDIF($C17,AI17,"m"))&lt;36,10,IF(IF(AI17&lt;$C17,0,DATEDIF($C17,AI17,"m"))&lt;60,14,IF(IF(AI17&lt;$C17,0,DATEDIF($C17,AI17,"m"))&lt;120,15,MIN(30,15+INT(IF(AI17&lt;$C17,0,DATEDIF($C17,AI17,"m"))/12)-9))))))))</f>
        <v/>
      </c>
      <c r="AM17" s="34" t="str">
        <f aca="false">IF(C17="","",IF(IF(AJ17&lt;$C17,0,DATEDIF($C17,AJ17,"m"))&lt;6,0,IF(IF(AJ17&lt;$C17,0,DATEDIF($C17,AJ17,"m"))&lt;12,6,IF(IF(AJ17&lt;$C17,0,DATEDIF($C17,AJ17,"m"))&lt;24,7,IF(IF(AJ17&lt;$C17,0,DATEDIF($C17,AJ17,"m"))&lt;36,10,IF(IF(AJ17&lt;$C17,0,DATEDIF($C17,AJ17,"m"))&lt;60,14,IF(IF(AJ17&lt;$C17,0,DATEDIF($C17,AJ17,"m"))&lt;120,15,MIN(30,15+INT(IF(AJ17&lt;$C17,0,DATEDIF($C17,AJ17,"m"))/12)-9))))))))</f>
        <v/>
      </c>
      <c r="AN17" s="33" t="str">
        <f aca="false">IF(C17="","",((AI17-DATE(YEAR($B$3),1,1))*AK17+(AJ17-AI17)*AL17+(AH17-AJ17)*AM17)/(DATE(YEAR($B$3)+1,1,1)-DATE(YEAR($B$3),1,1)))</f>
        <v/>
      </c>
    </row>
    <row r="18" customFormat="false" ht="15" hidden="false" customHeight="false" outlineLevel="0" collapsed="false">
      <c r="A18" s="34" t="str">
        <f aca="false">IF(流程1_請假申請!U18="","",流程1_請假申請!T18)</f>
        <v/>
      </c>
      <c r="B18" s="34" t="str">
        <f aca="false">IF(流程1_請假申請!U18="","",流程1_請假申請!U18)</f>
        <v/>
      </c>
      <c r="C18" s="40" t="str">
        <f aca="false">IF(流程1_請假申請!U18="","",流程1_請假申請!W18)</f>
        <v/>
      </c>
      <c r="D18" s="40" t="str">
        <f aca="false">IF(流程1_請假申請!X18="","",流程1_請假申請!X18)</f>
        <v/>
      </c>
      <c r="E18" s="34" t="str">
        <f aca="false">IF(C18="","",IF($B$3&lt;C18,0,DATEDIF(C18,$B$3,"m")))</f>
        <v/>
      </c>
      <c r="F18" s="41" t="str">
        <f aca="false">IF(C18="","",IF(AN18=0,0,CEILING(ROUND(AN18,2),$E$3)))</f>
        <v/>
      </c>
      <c r="G18" s="42"/>
      <c r="H18" s="41" t="str">
        <f aca="false">IF(C18="","",F18+G18)</f>
        <v/>
      </c>
      <c r="I18" s="41" t="str">
        <f aca="false">IF(C18="","",SUMIFS(流程1_請假申請!$I$5:$I$64,流程1_請假申請!$D$5:$D$64,B18,流程1_請假申請!$F$5:$F$64,"特別休假",流程1_請假申請!$M$5:$M$64,"已確認",流程1_請假申請!$G$5:$G$64,"&gt;="&amp;DATE(YEAR($B$3),1,1),流程1_請假申請!$G$5:$G$64,"&lt;="&amp;$B$3))</f>
        <v/>
      </c>
      <c r="J18" s="41" t="str">
        <f aca="false">IF(C18="","",H18-I18)</f>
        <v/>
      </c>
      <c r="K18" s="42"/>
      <c r="L18" s="34" t="str">
        <f aca="false">IF(C18="","",IF(AND(D18&lt;&gt;"",D18&lt;=$B$3),"離職結算",IF(AND(MONTH($B$3)=12,DAY($B$3)=31),"年度結算","")))</f>
        <v/>
      </c>
      <c r="M18" s="41" t="n">
        <f aca="false">IF(OR(C18="",L18=""),0,N(G18)-MIN(N(G18),I18))</f>
        <v>0</v>
      </c>
      <c r="N18" s="41" t="n">
        <f aca="false">IF(OR(C18="",L18=""),0,IF(L18="離職結算",J18-M18,MAX(0,J18-M18-N(K18))))</f>
        <v>0</v>
      </c>
      <c r="O18" s="43" t="str">
        <f aca="false">IF(C18="","",IFERROR(ROUND((INDEX(流程1_月結表!$G$6:$G$8,MATCH(A18,流程1_月結表!$B$6:$B$8,0))+INDEX(流程1_月結表!$H$6:$H$8,MATCH(A18,流程1_月結表!$B$6:$B$8,0))*流程1_參數!$C$7)/流程1_參數!$C$5,2),0))</f>
        <v/>
      </c>
      <c r="P18" s="44"/>
      <c r="Q18" s="43" t="n">
        <f aca="false">IF(OR(C18="",L18=""),0,ROUND(N18*O18+M18*IF(P18="",O18,P18),0))</f>
        <v>0</v>
      </c>
      <c r="R18" s="41" t="str">
        <f aca="false">IF($C18="","",SUMIFS(流程1_請假申請!$I$5:$I$64,流程1_請假申請!$D$5:$D$64,$B18,流程1_請假申請!$F$5:$F$64,"病假（普通傷病假）",流程1_請假申請!$M$5:$M$64,"已確認",流程1_請假申請!$G$5:$G$64,"&gt;="&amp;DATE(YEAR($B$3),1,1),流程1_請假申請!$G$5:$G$64,"&lt;="&amp;$B$3))</f>
        <v/>
      </c>
      <c r="S18" s="41" t="str">
        <f aca="false">IF($C18="","",SUMIFS(流程1_請假申請!$I$5:$I$64,流程1_請假申請!$D$5:$D$64,$B18,流程1_請假申請!$F$5:$F$64,"事假",流程1_請假申請!$M$5:$M$64,"已確認",流程1_請假申請!$G$5:$G$64,"&gt;="&amp;DATE(YEAR($B$3),1,1),流程1_請假申請!$G$5:$G$64,"&lt;="&amp;$B$3))</f>
        <v/>
      </c>
      <c r="T18" s="41" t="str">
        <f aca="false">IF($C18="","",SUMIFS(流程1_請假申請!$I$5:$I$64,流程1_請假申請!$D$5:$D$64,$B18,流程1_請假申請!$F$5:$F$64,"家庭照顧假",流程1_請假申請!$M$5:$M$64,"已確認",流程1_請假申請!$G$5:$G$64,"&gt;="&amp;DATE(YEAR($B$3),1,1),流程1_請假申請!$G$5:$G$64,"&lt;="&amp;$B$3))</f>
        <v/>
      </c>
      <c r="U18" s="41" t="str">
        <f aca="false">IF($C18="","",SUMIFS(流程1_請假申請!$I$5:$I$64,流程1_請假申請!$D$5:$D$64,$B18,流程1_請假申請!$F$5:$F$64,"生理假",流程1_請假申請!$M$5:$M$64,"已確認",流程1_請假申請!$G$5:$G$64,"&gt;="&amp;DATE(YEAR($B$3),1,1),流程1_請假申請!$G$5:$G$64,"&lt;="&amp;$B$3))</f>
        <v/>
      </c>
      <c r="V18" s="41" t="str">
        <f aca="false">IF($C18="","",SUMIFS(流程1_請假申請!$I$5:$I$64,流程1_請假申請!$D$5:$D$64,$B18,流程1_請假申請!$F$5:$F$64,"安胎休養假",流程1_請假申請!$M$5:$M$64,"已確認",流程1_請假申請!$G$5:$G$64,"&gt;="&amp;DATE(YEAR($B$3),1,1),流程1_請假申請!$G$5:$G$64,"&lt;="&amp;$B$3))</f>
        <v/>
      </c>
      <c r="W18" s="41" t="str">
        <f aca="false">IF($C18="","",SUMIFS(流程1_請假申請!$I$5:$I$64,流程1_請假申請!$D$5:$D$64,$B18,流程1_請假申請!$F$5:$F$64,"婚假",流程1_請假申請!$M$5:$M$64,"已確認",流程1_請假申請!$G$5:$G$64,"&gt;="&amp;DATE(YEAR($B$3),1,1),流程1_請假申請!$G$5:$G$64,"&lt;="&amp;$B$3))</f>
        <v/>
      </c>
      <c r="X18" s="41" t="str">
        <f aca="false">IF($C18="","",SUMIFS(流程1_請假申請!$I$5:$I$64,流程1_請假申請!$D$5:$D$64,$B18,流程1_請假申請!$F$5:$F$64,"喪假",流程1_請假申請!$M$5:$M$64,"已確認",流程1_請假申請!$G$5:$G$64,"&gt;="&amp;DATE(YEAR($B$3),1,1),流程1_請假申請!$G$5:$G$64,"&lt;="&amp;$B$3))</f>
        <v/>
      </c>
      <c r="Y18" s="41" t="str">
        <f aca="false">IF($C18="","",SUMIFS(流程1_請假申請!$I$5:$I$64,流程1_請假申請!$D$5:$D$64,$B18,流程1_請假申請!$F$5:$F$64,"產假",流程1_請假申請!$M$5:$M$64,"已確認",流程1_請假申請!$G$5:$G$64,"&gt;="&amp;DATE(YEAR($B$3),1,1),流程1_請假申請!$G$5:$G$64,"&lt;="&amp;$B$3))</f>
        <v/>
      </c>
      <c r="Z18" s="41" t="str">
        <f aca="false">IF($C18="","",SUMIFS(流程1_請假申請!$I$5:$I$64,流程1_請假申請!$D$5:$D$64,$B18,流程1_請假申請!$F$5:$F$64,"產檢假",流程1_請假申請!$M$5:$M$64,"已確認",流程1_請假申請!$G$5:$G$64,"&gt;="&amp;DATE(YEAR($B$3),1,1),流程1_請假申請!$G$5:$G$64,"&lt;="&amp;$B$3))</f>
        <v/>
      </c>
      <c r="AA18" s="41" t="str">
        <f aca="false">IF($C18="","",SUMIFS(流程1_請假申請!$I$5:$I$64,流程1_請假申請!$D$5:$D$64,$B18,流程1_請假申請!$F$5:$F$64,"陪產檢及陪產假",流程1_請假申請!$M$5:$M$64,"已確認",流程1_請假申請!$G$5:$G$64,"&gt;="&amp;DATE(YEAR($B$3),1,1),流程1_請假申請!$G$5:$G$64,"&lt;="&amp;$B$3))</f>
        <v/>
      </c>
      <c r="AB18" s="41" t="str">
        <f aca="false">IF($C18="","",SUMIFS(流程1_請假申請!$I$5:$I$64,流程1_請假申請!$D$5:$D$64,$B18,流程1_請假申請!$F$5:$F$64,"公傷病假",流程1_請假申請!$M$5:$M$64,"已確認",流程1_請假申請!$G$5:$G$64,"&gt;="&amp;DATE(YEAR($B$3),1,1),流程1_請假申請!$G$5:$G$64,"&lt;="&amp;$B$3))</f>
        <v/>
      </c>
      <c r="AC18" s="41" t="str">
        <f aca="false">IF($C18="","",SUMIFS(流程1_請假申請!$I$5:$I$64,流程1_請假申請!$D$5:$D$64,$B18,流程1_請假申請!$F$5:$F$64,"公假",流程1_請假申請!$M$5:$M$64,"已確認",流程1_請假申請!$G$5:$G$64,"&gt;="&amp;DATE(YEAR($B$3),1,1),流程1_請假申請!$G$5:$G$64,"&lt;="&amp;$B$3))</f>
        <v/>
      </c>
      <c r="AD18" s="41" t="str">
        <f aca="false">IF($C18="","",SUMIFS(流程1_請假申請!$I$5:$I$64,流程1_請假申請!$D$5:$D$64,$B18,流程1_請假申請!$F$5:$F$64,"特別休假",流程1_請假申請!$M$5:$M$64,"已確認",流程1_請假申請!$G$5:$G$64,"&gt;="&amp;DATE(YEAR($B$3),1,1),流程1_請假申請!$G$5:$G$64,"&lt;="&amp;$B$3))</f>
        <v/>
      </c>
      <c r="AE18" s="41" t="str">
        <f aca="false">IF($C18="","",SUMIFS(流程1_請假申請!$I$5:$I$64,流程1_請假申請!$D$5:$D$64,$B18,流程1_請假申請!$F$5:$F$64,"育嬰留職停薪",流程1_請假申請!$M$5:$M$64,"已確認",流程1_請假申請!$G$5:$G$64,"&gt;="&amp;DATE(YEAR($B$3),1,1),流程1_請假申請!$G$5:$G$64,"&lt;="&amp;$B$3))</f>
        <v/>
      </c>
      <c r="AF18" s="41" t="str">
        <f aca="false">IF(C18="","",30-R18)</f>
        <v/>
      </c>
      <c r="AG18" s="41" t="str">
        <f aca="false">IF(C18="","",14-S18)</f>
        <v/>
      </c>
      <c r="AH18" s="40" t="str">
        <f aca="false">IF(C18="","",IF(D18="",DATE(YEAR($B$3)+1,1,1),MIN(DATE(YEAR($B$3)+1,1,1),D18+1)))</f>
        <v/>
      </c>
      <c r="AI18" s="40" t="str">
        <f aca="false">IF(C18="","",MAX(DATE(YEAR($B$3),1,1),MIN(AH18,EDATE(C18,6))))</f>
        <v/>
      </c>
      <c r="AJ18" s="40" t="str">
        <f aca="false">IF(C18="","",MAX(AI18,MIN(AH18,EDATE(C18,12*MAX(1,YEAR($B$3)-YEAR(C18))))))</f>
        <v/>
      </c>
      <c r="AK18" s="34" t="str">
        <f aca="false">IF(C18="","",IF(IF(DATE(YEAR($B$3),1,1)&lt;$C18,0,DATEDIF($C18,DATE(YEAR($B$3),1,1),"m"))&lt;6,0,IF(IF(DATE(YEAR($B$3),1,1)&lt;$C18,0,DATEDIF($C18,DATE(YEAR($B$3),1,1),"m"))&lt;12,6,IF(IF(DATE(YEAR($B$3),1,1)&lt;$C18,0,DATEDIF($C18,DATE(YEAR($B$3),1,1),"m"))&lt;24,7,IF(IF(DATE(YEAR($B$3),1,1)&lt;$C18,0,DATEDIF($C18,DATE(YEAR($B$3),1,1),"m"))&lt;36,10,IF(IF(DATE(YEAR($B$3),1,1)&lt;$C18,0,DATEDIF($C18,DATE(YEAR($B$3),1,1),"m"))&lt;60,14,IF(IF(DATE(YEAR($B$3),1,1)&lt;$C18,0,DATEDIF($C18,DATE(YEAR($B$3),1,1),"m"))&lt;120,15,MIN(30,15+INT(IF(DATE(YEAR($B$3),1,1)&lt;$C18,0,DATEDIF($C18,DATE(YEAR($B$3),1,1),"m"))/12)-9))))))))</f>
        <v/>
      </c>
      <c r="AL18" s="34" t="str">
        <f aca="false">IF(C18="","",IF(IF(AI18&lt;$C18,0,DATEDIF($C18,AI18,"m"))&lt;6,0,IF(IF(AI18&lt;$C18,0,DATEDIF($C18,AI18,"m"))&lt;12,6,IF(IF(AI18&lt;$C18,0,DATEDIF($C18,AI18,"m"))&lt;24,7,IF(IF(AI18&lt;$C18,0,DATEDIF($C18,AI18,"m"))&lt;36,10,IF(IF(AI18&lt;$C18,0,DATEDIF($C18,AI18,"m"))&lt;60,14,IF(IF(AI18&lt;$C18,0,DATEDIF($C18,AI18,"m"))&lt;120,15,MIN(30,15+INT(IF(AI18&lt;$C18,0,DATEDIF($C18,AI18,"m"))/12)-9))))))))</f>
        <v/>
      </c>
      <c r="AM18" s="34" t="str">
        <f aca="false">IF(C18="","",IF(IF(AJ18&lt;$C18,0,DATEDIF($C18,AJ18,"m"))&lt;6,0,IF(IF(AJ18&lt;$C18,0,DATEDIF($C18,AJ18,"m"))&lt;12,6,IF(IF(AJ18&lt;$C18,0,DATEDIF($C18,AJ18,"m"))&lt;24,7,IF(IF(AJ18&lt;$C18,0,DATEDIF($C18,AJ18,"m"))&lt;36,10,IF(IF(AJ18&lt;$C18,0,DATEDIF($C18,AJ18,"m"))&lt;60,14,IF(IF(AJ18&lt;$C18,0,DATEDIF($C18,AJ18,"m"))&lt;120,15,MIN(30,15+INT(IF(AJ18&lt;$C18,0,DATEDIF($C18,AJ18,"m"))/12)-9))))))))</f>
        <v/>
      </c>
      <c r="AN18" s="33" t="str">
        <f aca="false">IF(C18="","",((AI18-DATE(YEAR($B$3),1,1))*AK18+(AJ18-AI18)*AL18+(AH18-AJ18)*AM18)/(DATE(YEAR($B$3)+1,1,1)-DATE(YEAR($B$3),1,1)))</f>
        <v/>
      </c>
    </row>
    <row r="19" customFormat="false" ht="15" hidden="false" customHeight="false" outlineLevel="0" collapsed="false">
      <c r="A19" s="34" t="str">
        <f aca="false">IF(流程1_請假申請!U19="","",流程1_請假申請!T19)</f>
        <v/>
      </c>
      <c r="B19" s="34" t="str">
        <f aca="false">IF(流程1_請假申請!U19="","",流程1_請假申請!U19)</f>
        <v/>
      </c>
      <c r="C19" s="40" t="str">
        <f aca="false">IF(流程1_請假申請!U19="","",流程1_請假申請!W19)</f>
        <v/>
      </c>
      <c r="D19" s="40" t="str">
        <f aca="false">IF(流程1_請假申請!X19="","",流程1_請假申請!X19)</f>
        <v/>
      </c>
      <c r="E19" s="34" t="str">
        <f aca="false">IF(C19="","",IF($B$3&lt;C19,0,DATEDIF(C19,$B$3,"m")))</f>
        <v/>
      </c>
      <c r="F19" s="41" t="str">
        <f aca="false">IF(C19="","",IF(AN19=0,0,CEILING(ROUND(AN19,2),$E$3)))</f>
        <v/>
      </c>
      <c r="G19" s="42"/>
      <c r="H19" s="41" t="str">
        <f aca="false">IF(C19="","",F19+G19)</f>
        <v/>
      </c>
      <c r="I19" s="41" t="str">
        <f aca="false">IF(C19="","",SUMIFS(流程1_請假申請!$I$5:$I$64,流程1_請假申請!$D$5:$D$64,B19,流程1_請假申請!$F$5:$F$64,"特別休假",流程1_請假申請!$M$5:$M$64,"已確認",流程1_請假申請!$G$5:$G$64,"&gt;="&amp;DATE(YEAR($B$3),1,1),流程1_請假申請!$G$5:$G$64,"&lt;="&amp;$B$3))</f>
        <v/>
      </c>
      <c r="J19" s="41" t="str">
        <f aca="false">IF(C19="","",H19-I19)</f>
        <v/>
      </c>
      <c r="K19" s="42"/>
      <c r="L19" s="34" t="str">
        <f aca="false">IF(C19="","",IF(AND(D19&lt;&gt;"",D19&lt;=$B$3),"離職結算",IF(AND(MONTH($B$3)=12,DAY($B$3)=31),"年度結算","")))</f>
        <v/>
      </c>
      <c r="M19" s="41" t="n">
        <f aca="false">IF(OR(C19="",L19=""),0,N(G19)-MIN(N(G19),I19))</f>
        <v>0</v>
      </c>
      <c r="N19" s="41" t="n">
        <f aca="false">IF(OR(C19="",L19=""),0,IF(L19="離職結算",J19-M19,MAX(0,J19-M19-N(K19))))</f>
        <v>0</v>
      </c>
      <c r="O19" s="43" t="str">
        <f aca="false">IF(C19="","",IFERROR(ROUND((INDEX(流程1_月結表!$G$6:$G$8,MATCH(A19,流程1_月結表!$B$6:$B$8,0))+INDEX(流程1_月結表!$H$6:$H$8,MATCH(A19,流程1_月結表!$B$6:$B$8,0))*流程1_參數!$C$7)/流程1_參數!$C$5,2),0))</f>
        <v/>
      </c>
      <c r="P19" s="44"/>
      <c r="Q19" s="43" t="n">
        <f aca="false">IF(OR(C19="",L19=""),0,ROUND(N19*O19+M19*IF(P19="",O19,P19),0))</f>
        <v>0</v>
      </c>
      <c r="R19" s="41" t="str">
        <f aca="false">IF($C19="","",SUMIFS(流程1_請假申請!$I$5:$I$64,流程1_請假申請!$D$5:$D$64,$B19,流程1_請假申請!$F$5:$F$64,"病假（普通傷病假）",流程1_請假申請!$M$5:$M$64,"已確認",流程1_請假申請!$G$5:$G$64,"&gt;="&amp;DATE(YEAR($B$3),1,1),流程1_請假申請!$G$5:$G$64,"&lt;="&amp;$B$3))</f>
        <v/>
      </c>
      <c r="S19" s="41" t="str">
        <f aca="false">IF($C19="","",SUMIFS(流程1_請假申請!$I$5:$I$64,流程1_請假申請!$D$5:$D$64,$B19,流程1_請假申請!$F$5:$F$64,"事假",流程1_請假申請!$M$5:$M$64,"已確認",流程1_請假申請!$G$5:$G$64,"&gt;="&amp;DATE(YEAR($B$3),1,1),流程1_請假申請!$G$5:$G$64,"&lt;="&amp;$B$3))</f>
        <v/>
      </c>
      <c r="T19" s="41" t="str">
        <f aca="false">IF($C19="","",SUMIFS(流程1_請假申請!$I$5:$I$64,流程1_請假申請!$D$5:$D$64,$B19,流程1_請假申請!$F$5:$F$64,"家庭照顧假",流程1_請假申請!$M$5:$M$64,"已確認",流程1_請假申請!$G$5:$G$64,"&gt;="&amp;DATE(YEAR($B$3),1,1),流程1_請假申請!$G$5:$G$64,"&lt;="&amp;$B$3))</f>
        <v/>
      </c>
      <c r="U19" s="41" t="str">
        <f aca="false">IF($C19="","",SUMIFS(流程1_請假申請!$I$5:$I$64,流程1_請假申請!$D$5:$D$64,$B19,流程1_請假申請!$F$5:$F$64,"生理假",流程1_請假申請!$M$5:$M$64,"已確認",流程1_請假申請!$G$5:$G$64,"&gt;="&amp;DATE(YEAR($B$3),1,1),流程1_請假申請!$G$5:$G$64,"&lt;="&amp;$B$3))</f>
        <v/>
      </c>
      <c r="V19" s="41" t="str">
        <f aca="false">IF($C19="","",SUMIFS(流程1_請假申請!$I$5:$I$64,流程1_請假申請!$D$5:$D$64,$B19,流程1_請假申請!$F$5:$F$64,"安胎休養假",流程1_請假申請!$M$5:$M$64,"已確認",流程1_請假申請!$G$5:$G$64,"&gt;="&amp;DATE(YEAR($B$3),1,1),流程1_請假申請!$G$5:$G$64,"&lt;="&amp;$B$3))</f>
        <v/>
      </c>
      <c r="W19" s="41" t="str">
        <f aca="false">IF($C19="","",SUMIFS(流程1_請假申請!$I$5:$I$64,流程1_請假申請!$D$5:$D$64,$B19,流程1_請假申請!$F$5:$F$64,"婚假",流程1_請假申請!$M$5:$M$64,"已確認",流程1_請假申請!$G$5:$G$64,"&gt;="&amp;DATE(YEAR($B$3),1,1),流程1_請假申請!$G$5:$G$64,"&lt;="&amp;$B$3))</f>
        <v/>
      </c>
      <c r="X19" s="41" t="str">
        <f aca="false">IF($C19="","",SUMIFS(流程1_請假申請!$I$5:$I$64,流程1_請假申請!$D$5:$D$64,$B19,流程1_請假申請!$F$5:$F$64,"喪假",流程1_請假申請!$M$5:$M$64,"已確認",流程1_請假申請!$G$5:$G$64,"&gt;="&amp;DATE(YEAR($B$3),1,1),流程1_請假申請!$G$5:$G$64,"&lt;="&amp;$B$3))</f>
        <v/>
      </c>
      <c r="Y19" s="41" t="str">
        <f aca="false">IF($C19="","",SUMIFS(流程1_請假申請!$I$5:$I$64,流程1_請假申請!$D$5:$D$64,$B19,流程1_請假申請!$F$5:$F$64,"產假",流程1_請假申請!$M$5:$M$64,"已確認",流程1_請假申請!$G$5:$G$64,"&gt;="&amp;DATE(YEAR($B$3),1,1),流程1_請假申請!$G$5:$G$64,"&lt;="&amp;$B$3))</f>
        <v/>
      </c>
      <c r="Z19" s="41" t="str">
        <f aca="false">IF($C19="","",SUMIFS(流程1_請假申請!$I$5:$I$64,流程1_請假申請!$D$5:$D$64,$B19,流程1_請假申請!$F$5:$F$64,"產檢假",流程1_請假申請!$M$5:$M$64,"已確認",流程1_請假申請!$G$5:$G$64,"&gt;="&amp;DATE(YEAR($B$3),1,1),流程1_請假申請!$G$5:$G$64,"&lt;="&amp;$B$3))</f>
        <v/>
      </c>
      <c r="AA19" s="41" t="str">
        <f aca="false">IF($C19="","",SUMIFS(流程1_請假申請!$I$5:$I$64,流程1_請假申請!$D$5:$D$64,$B19,流程1_請假申請!$F$5:$F$64,"陪產檢及陪產假",流程1_請假申請!$M$5:$M$64,"已確認",流程1_請假申請!$G$5:$G$64,"&gt;="&amp;DATE(YEAR($B$3),1,1),流程1_請假申請!$G$5:$G$64,"&lt;="&amp;$B$3))</f>
        <v/>
      </c>
      <c r="AB19" s="41" t="str">
        <f aca="false">IF($C19="","",SUMIFS(流程1_請假申請!$I$5:$I$64,流程1_請假申請!$D$5:$D$64,$B19,流程1_請假申請!$F$5:$F$64,"公傷病假",流程1_請假申請!$M$5:$M$64,"已確認",流程1_請假申請!$G$5:$G$64,"&gt;="&amp;DATE(YEAR($B$3),1,1),流程1_請假申請!$G$5:$G$64,"&lt;="&amp;$B$3))</f>
        <v/>
      </c>
      <c r="AC19" s="41" t="str">
        <f aca="false">IF($C19="","",SUMIFS(流程1_請假申請!$I$5:$I$64,流程1_請假申請!$D$5:$D$64,$B19,流程1_請假申請!$F$5:$F$64,"公假",流程1_請假申請!$M$5:$M$64,"已確認",流程1_請假申請!$G$5:$G$64,"&gt;="&amp;DATE(YEAR($B$3),1,1),流程1_請假申請!$G$5:$G$64,"&lt;="&amp;$B$3))</f>
        <v/>
      </c>
      <c r="AD19" s="41" t="str">
        <f aca="false">IF($C19="","",SUMIFS(流程1_請假申請!$I$5:$I$64,流程1_請假申請!$D$5:$D$64,$B19,流程1_請假申請!$F$5:$F$64,"特別休假",流程1_請假申請!$M$5:$M$64,"已確認",流程1_請假申請!$G$5:$G$64,"&gt;="&amp;DATE(YEAR($B$3),1,1),流程1_請假申請!$G$5:$G$64,"&lt;="&amp;$B$3))</f>
        <v/>
      </c>
      <c r="AE19" s="41" t="str">
        <f aca="false">IF($C19="","",SUMIFS(流程1_請假申請!$I$5:$I$64,流程1_請假申請!$D$5:$D$64,$B19,流程1_請假申請!$F$5:$F$64,"育嬰留職停薪",流程1_請假申請!$M$5:$M$64,"已確認",流程1_請假申請!$G$5:$G$64,"&gt;="&amp;DATE(YEAR($B$3),1,1),流程1_請假申請!$G$5:$G$64,"&lt;="&amp;$B$3))</f>
        <v/>
      </c>
      <c r="AF19" s="41" t="str">
        <f aca="false">IF(C19="","",30-R19)</f>
        <v/>
      </c>
      <c r="AG19" s="41" t="str">
        <f aca="false">IF(C19="","",14-S19)</f>
        <v/>
      </c>
      <c r="AH19" s="40" t="str">
        <f aca="false">IF(C19="","",IF(D19="",DATE(YEAR($B$3)+1,1,1),MIN(DATE(YEAR($B$3)+1,1,1),D19+1)))</f>
        <v/>
      </c>
      <c r="AI19" s="40" t="str">
        <f aca="false">IF(C19="","",MAX(DATE(YEAR($B$3),1,1),MIN(AH19,EDATE(C19,6))))</f>
        <v/>
      </c>
      <c r="AJ19" s="40" t="str">
        <f aca="false">IF(C19="","",MAX(AI19,MIN(AH19,EDATE(C19,12*MAX(1,YEAR($B$3)-YEAR(C19))))))</f>
        <v/>
      </c>
      <c r="AK19" s="34" t="str">
        <f aca="false">IF(C19="","",IF(IF(DATE(YEAR($B$3),1,1)&lt;$C19,0,DATEDIF($C19,DATE(YEAR($B$3),1,1),"m"))&lt;6,0,IF(IF(DATE(YEAR($B$3),1,1)&lt;$C19,0,DATEDIF($C19,DATE(YEAR($B$3),1,1),"m"))&lt;12,6,IF(IF(DATE(YEAR($B$3),1,1)&lt;$C19,0,DATEDIF($C19,DATE(YEAR($B$3),1,1),"m"))&lt;24,7,IF(IF(DATE(YEAR($B$3),1,1)&lt;$C19,0,DATEDIF($C19,DATE(YEAR($B$3),1,1),"m"))&lt;36,10,IF(IF(DATE(YEAR($B$3),1,1)&lt;$C19,0,DATEDIF($C19,DATE(YEAR($B$3),1,1),"m"))&lt;60,14,IF(IF(DATE(YEAR($B$3),1,1)&lt;$C19,0,DATEDIF($C19,DATE(YEAR($B$3),1,1),"m"))&lt;120,15,MIN(30,15+INT(IF(DATE(YEAR($B$3),1,1)&lt;$C19,0,DATEDIF($C19,DATE(YEAR($B$3),1,1),"m"))/12)-9))))))))</f>
        <v/>
      </c>
      <c r="AL19" s="34" t="str">
        <f aca="false">IF(C19="","",IF(IF(AI19&lt;$C19,0,DATEDIF($C19,AI19,"m"))&lt;6,0,IF(IF(AI19&lt;$C19,0,DATEDIF($C19,AI19,"m"))&lt;12,6,IF(IF(AI19&lt;$C19,0,DATEDIF($C19,AI19,"m"))&lt;24,7,IF(IF(AI19&lt;$C19,0,DATEDIF($C19,AI19,"m"))&lt;36,10,IF(IF(AI19&lt;$C19,0,DATEDIF($C19,AI19,"m"))&lt;60,14,IF(IF(AI19&lt;$C19,0,DATEDIF($C19,AI19,"m"))&lt;120,15,MIN(30,15+INT(IF(AI19&lt;$C19,0,DATEDIF($C19,AI19,"m"))/12)-9))))))))</f>
        <v/>
      </c>
      <c r="AM19" s="34" t="str">
        <f aca="false">IF(C19="","",IF(IF(AJ19&lt;$C19,0,DATEDIF($C19,AJ19,"m"))&lt;6,0,IF(IF(AJ19&lt;$C19,0,DATEDIF($C19,AJ19,"m"))&lt;12,6,IF(IF(AJ19&lt;$C19,0,DATEDIF($C19,AJ19,"m"))&lt;24,7,IF(IF(AJ19&lt;$C19,0,DATEDIF($C19,AJ19,"m"))&lt;36,10,IF(IF(AJ19&lt;$C19,0,DATEDIF($C19,AJ19,"m"))&lt;60,14,IF(IF(AJ19&lt;$C19,0,DATEDIF($C19,AJ19,"m"))&lt;120,15,MIN(30,15+INT(IF(AJ19&lt;$C19,0,DATEDIF($C19,AJ19,"m"))/12)-9))))))))</f>
        <v/>
      </c>
      <c r="AN19" s="33" t="str">
        <f aca="false">IF(C19="","",((AI19-DATE(YEAR($B$3),1,1))*AK19+(AJ19-AI19)*AL19+(AH19-AJ19)*AM19)/(DATE(YEAR($B$3)+1,1,1)-DATE(YEAR($B$3),1,1)))</f>
        <v/>
      </c>
    </row>
    <row r="20" customFormat="false" ht="15" hidden="false" customHeight="false" outlineLevel="0" collapsed="false">
      <c r="A20" s="34" t="str">
        <f aca="false">IF(流程1_請假申請!U20="","",流程1_請假申請!T20)</f>
        <v/>
      </c>
      <c r="B20" s="34" t="str">
        <f aca="false">IF(流程1_請假申請!U20="","",流程1_請假申請!U20)</f>
        <v/>
      </c>
      <c r="C20" s="40" t="str">
        <f aca="false">IF(流程1_請假申請!U20="","",流程1_請假申請!W20)</f>
        <v/>
      </c>
      <c r="D20" s="40" t="str">
        <f aca="false">IF(流程1_請假申請!X20="","",流程1_請假申請!X20)</f>
        <v/>
      </c>
      <c r="E20" s="34" t="str">
        <f aca="false">IF(C20="","",IF($B$3&lt;C20,0,DATEDIF(C20,$B$3,"m")))</f>
        <v/>
      </c>
      <c r="F20" s="41" t="str">
        <f aca="false">IF(C20="","",IF(AN20=0,0,CEILING(ROUND(AN20,2),$E$3)))</f>
        <v/>
      </c>
      <c r="G20" s="42"/>
      <c r="H20" s="41" t="str">
        <f aca="false">IF(C20="","",F20+G20)</f>
        <v/>
      </c>
      <c r="I20" s="41" t="str">
        <f aca="false">IF(C20="","",SUMIFS(流程1_請假申請!$I$5:$I$64,流程1_請假申請!$D$5:$D$64,B20,流程1_請假申請!$F$5:$F$64,"特別休假",流程1_請假申請!$M$5:$M$64,"已確認",流程1_請假申請!$G$5:$G$64,"&gt;="&amp;DATE(YEAR($B$3),1,1),流程1_請假申請!$G$5:$G$64,"&lt;="&amp;$B$3))</f>
        <v/>
      </c>
      <c r="J20" s="41" t="str">
        <f aca="false">IF(C20="","",H20-I20)</f>
        <v/>
      </c>
      <c r="K20" s="42"/>
      <c r="L20" s="34" t="str">
        <f aca="false">IF(C20="","",IF(AND(D20&lt;&gt;"",D20&lt;=$B$3),"離職結算",IF(AND(MONTH($B$3)=12,DAY($B$3)=31),"年度結算","")))</f>
        <v/>
      </c>
      <c r="M20" s="41" t="n">
        <f aca="false">IF(OR(C20="",L20=""),0,N(G20)-MIN(N(G20),I20))</f>
        <v>0</v>
      </c>
      <c r="N20" s="41" t="n">
        <f aca="false">IF(OR(C20="",L20=""),0,IF(L20="離職結算",J20-M20,MAX(0,J20-M20-N(K20))))</f>
        <v>0</v>
      </c>
      <c r="O20" s="43" t="str">
        <f aca="false">IF(C20="","",IFERROR(ROUND((INDEX(流程1_月結表!$G$6:$G$8,MATCH(A20,流程1_月結表!$B$6:$B$8,0))+INDEX(流程1_月結表!$H$6:$H$8,MATCH(A20,流程1_月結表!$B$6:$B$8,0))*流程1_參數!$C$7)/流程1_參數!$C$5,2),0))</f>
        <v/>
      </c>
      <c r="P20" s="44"/>
      <c r="Q20" s="43" t="n">
        <f aca="false">IF(OR(C20="",L20=""),0,ROUND(N20*O20+M20*IF(P20="",O20,P20),0))</f>
        <v>0</v>
      </c>
      <c r="R20" s="41" t="str">
        <f aca="false">IF($C20="","",SUMIFS(流程1_請假申請!$I$5:$I$64,流程1_請假申請!$D$5:$D$64,$B20,流程1_請假申請!$F$5:$F$64,"病假（普通傷病假）",流程1_請假申請!$M$5:$M$64,"已確認",流程1_請假申請!$G$5:$G$64,"&gt;="&amp;DATE(YEAR($B$3),1,1),流程1_請假申請!$G$5:$G$64,"&lt;="&amp;$B$3))</f>
        <v/>
      </c>
      <c r="S20" s="41" t="str">
        <f aca="false">IF($C20="","",SUMIFS(流程1_請假申請!$I$5:$I$64,流程1_請假申請!$D$5:$D$64,$B20,流程1_請假申請!$F$5:$F$64,"事假",流程1_請假申請!$M$5:$M$64,"已確認",流程1_請假申請!$G$5:$G$64,"&gt;="&amp;DATE(YEAR($B$3),1,1),流程1_請假申請!$G$5:$G$64,"&lt;="&amp;$B$3))</f>
        <v/>
      </c>
      <c r="T20" s="41" t="str">
        <f aca="false">IF($C20="","",SUMIFS(流程1_請假申請!$I$5:$I$64,流程1_請假申請!$D$5:$D$64,$B20,流程1_請假申請!$F$5:$F$64,"家庭照顧假",流程1_請假申請!$M$5:$M$64,"已確認",流程1_請假申請!$G$5:$G$64,"&gt;="&amp;DATE(YEAR($B$3),1,1),流程1_請假申請!$G$5:$G$64,"&lt;="&amp;$B$3))</f>
        <v/>
      </c>
      <c r="U20" s="41" t="str">
        <f aca="false">IF($C20="","",SUMIFS(流程1_請假申請!$I$5:$I$64,流程1_請假申請!$D$5:$D$64,$B20,流程1_請假申請!$F$5:$F$64,"生理假",流程1_請假申請!$M$5:$M$64,"已確認",流程1_請假申請!$G$5:$G$64,"&gt;="&amp;DATE(YEAR($B$3),1,1),流程1_請假申請!$G$5:$G$64,"&lt;="&amp;$B$3))</f>
        <v/>
      </c>
      <c r="V20" s="41" t="str">
        <f aca="false">IF($C20="","",SUMIFS(流程1_請假申請!$I$5:$I$64,流程1_請假申請!$D$5:$D$64,$B20,流程1_請假申請!$F$5:$F$64,"安胎休養假",流程1_請假申請!$M$5:$M$64,"已確認",流程1_請假申請!$G$5:$G$64,"&gt;="&amp;DATE(YEAR($B$3),1,1),流程1_請假申請!$G$5:$G$64,"&lt;="&amp;$B$3))</f>
        <v/>
      </c>
      <c r="W20" s="41" t="str">
        <f aca="false">IF($C20="","",SUMIFS(流程1_請假申請!$I$5:$I$64,流程1_請假申請!$D$5:$D$64,$B20,流程1_請假申請!$F$5:$F$64,"婚假",流程1_請假申請!$M$5:$M$64,"已確認",流程1_請假申請!$G$5:$G$64,"&gt;="&amp;DATE(YEAR($B$3),1,1),流程1_請假申請!$G$5:$G$64,"&lt;="&amp;$B$3))</f>
        <v/>
      </c>
      <c r="X20" s="41" t="str">
        <f aca="false">IF($C20="","",SUMIFS(流程1_請假申請!$I$5:$I$64,流程1_請假申請!$D$5:$D$64,$B20,流程1_請假申請!$F$5:$F$64,"喪假",流程1_請假申請!$M$5:$M$64,"已確認",流程1_請假申請!$G$5:$G$64,"&gt;="&amp;DATE(YEAR($B$3),1,1),流程1_請假申請!$G$5:$G$64,"&lt;="&amp;$B$3))</f>
        <v/>
      </c>
      <c r="Y20" s="41" t="str">
        <f aca="false">IF($C20="","",SUMIFS(流程1_請假申請!$I$5:$I$64,流程1_請假申請!$D$5:$D$64,$B20,流程1_請假申請!$F$5:$F$64,"產假",流程1_請假申請!$M$5:$M$64,"已確認",流程1_請假申請!$G$5:$G$64,"&gt;="&amp;DATE(YEAR($B$3),1,1),流程1_請假申請!$G$5:$G$64,"&lt;="&amp;$B$3))</f>
        <v/>
      </c>
      <c r="Z20" s="41" t="str">
        <f aca="false">IF($C20="","",SUMIFS(流程1_請假申請!$I$5:$I$64,流程1_請假申請!$D$5:$D$64,$B20,流程1_請假申請!$F$5:$F$64,"產檢假",流程1_請假申請!$M$5:$M$64,"已確認",流程1_請假申請!$G$5:$G$64,"&gt;="&amp;DATE(YEAR($B$3),1,1),流程1_請假申請!$G$5:$G$64,"&lt;="&amp;$B$3))</f>
        <v/>
      </c>
      <c r="AA20" s="41" t="str">
        <f aca="false">IF($C20="","",SUMIFS(流程1_請假申請!$I$5:$I$64,流程1_請假申請!$D$5:$D$64,$B20,流程1_請假申請!$F$5:$F$64,"陪產檢及陪產假",流程1_請假申請!$M$5:$M$64,"已確認",流程1_請假申請!$G$5:$G$64,"&gt;="&amp;DATE(YEAR($B$3),1,1),流程1_請假申請!$G$5:$G$64,"&lt;="&amp;$B$3))</f>
        <v/>
      </c>
      <c r="AB20" s="41" t="str">
        <f aca="false">IF($C20="","",SUMIFS(流程1_請假申請!$I$5:$I$64,流程1_請假申請!$D$5:$D$64,$B20,流程1_請假申請!$F$5:$F$64,"公傷病假",流程1_請假申請!$M$5:$M$64,"已確認",流程1_請假申請!$G$5:$G$64,"&gt;="&amp;DATE(YEAR($B$3),1,1),流程1_請假申請!$G$5:$G$64,"&lt;="&amp;$B$3))</f>
        <v/>
      </c>
      <c r="AC20" s="41" t="str">
        <f aca="false">IF($C20="","",SUMIFS(流程1_請假申請!$I$5:$I$64,流程1_請假申請!$D$5:$D$64,$B20,流程1_請假申請!$F$5:$F$64,"公假",流程1_請假申請!$M$5:$M$64,"已確認",流程1_請假申請!$G$5:$G$64,"&gt;="&amp;DATE(YEAR($B$3),1,1),流程1_請假申請!$G$5:$G$64,"&lt;="&amp;$B$3))</f>
        <v/>
      </c>
      <c r="AD20" s="41" t="str">
        <f aca="false">IF($C20="","",SUMIFS(流程1_請假申請!$I$5:$I$64,流程1_請假申請!$D$5:$D$64,$B20,流程1_請假申請!$F$5:$F$64,"特別休假",流程1_請假申請!$M$5:$M$64,"已確認",流程1_請假申請!$G$5:$G$64,"&gt;="&amp;DATE(YEAR($B$3),1,1),流程1_請假申請!$G$5:$G$64,"&lt;="&amp;$B$3))</f>
        <v/>
      </c>
      <c r="AE20" s="41" t="str">
        <f aca="false">IF($C20="","",SUMIFS(流程1_請假申請!$I$5:$I$64,流程1_請假申請!$D$5:$D$64,$B20,流程1_請假申請!$F$5:$F$64,"育嬰留職停薪",流程1_請假申請!$M$5:$M$64,"已確認",流程1_請假申請!$G$5:$G$64,"&gt;="&amp;DATE(YEAR($B$3),1,1),流程1_請假申請!$G$5:$G$64,"&lt;="&amp;$B$3))</f>
        <v/>
      </c>
      <c r="AF20" s="41" t="str">
        <f aca="false">IF(C20="","",30-R20)</f>
        <v/>
      </c>
      <c r="AG20" s="41" t="str">
        <f aca="false">IF(C20="","",14-S20)</f>
        <v/>
      </c>
      <c r="AH20" s="40" t="str">
        <f aca="false">IF(C20="","",IF(D20="",DATE(YEAR($B$3)+1,1,1),MIN(DATE(YEAR($B$3)+1,1,1),D20+1)))</f>
        <v/>
      </c>
      <c r="AI20" s="40" t="str">
        <f aca="false">IF(C20="","",MAX(DATE(YEAR($B$3),1,1),MIN(AH20,EDATE(C20,6))))</f>
        <v/>
      </c>
      <c r="AJ20" s="40" t="str">
        <f aca="false">IF(C20="","",MAX(AI20,MIN(AH20,EDATE(C20,12*MAX(1,YEAR($B$3)-YEAR(C20))))))</f>
        <v/>
      </c>
      <c r="AK20" s="34" t="str">
        <f aca="false">IF(C20="","",IF(IF(DATE(YEAR($B$3),1,1)&lt;$C20,0,DATEDIF($C20,DATE(YEAR($B$3),1,1),"m"))&lt;6,0,IF(IF(DATE(YEAR($B$3),1,1)&lt;$C20,0,DATEDIF($C20,DATE(YEAR($B$3),1,1),"m"))&lt;12,6,IF(IF(DATE(YEAR($B$3),1,1)&lt;$C20,0,DATEDIF($C20,DATE(YEAR($B$3),1,1),"m"))&lt;24,7,IF(IF(DATE(YEAR($B$3),1,1)&lt;$C20,0,DATEDIF($C20,DATE(YEAR($B$3),1,1),"m"))&lt;36,10,IF(IF(DATE(YEAR($B$3),1,1)&lt;$C20,0,DATEDIF($C20,DATE(YEAR($B$3),1,1),"m"))&lt;60,14,IF(IF(DATE(YEAR($B$3),1,1)&lt;$C20,0,DATEDIF($C20,DATE(YEAR($B$3),1,1),"m"))&lt;120,15,MIN(30,15+INT(IF(DATE(YEAR($B$3),1,1)&lt;$C20,0,DATEDIF($C20,DATE(YEAR($B$3),1,1),"m"))/12)-9))))))))</f>
        <v/>
      </c>
      <c r="AL20" s="34" t="str">
        <f aca="false">IF(C20="","",IF(IF(AI20&lt;$C20,0,DATEDIF($C20,AI20,"m"))&lt;6,0,IF(IF(AI20&lt;$C20,0,DATEDIF($C20,AI20,"m"))&lt;12,6,IF(IF(AI20&lt;$C20,0,DATEDIF($C20,AI20,"m"))&lt;24,7,IF(IF(AI20&lt;$C20,0,DATEDIF($C20,AI20,"m"))&lt;36,10,IF(IF(AI20&lt;$C20,0,DATEDIF($C20,AI20,"m"))&lt;60,14,IF(IF(AI20&lt;$C20,0,DATEDIF($C20,AI20,"m"))&lt;120,15,MIN(30,15+INT(IF(AI20&lt;$C20,0,DATEDIF($C20,AI20,"m"))/12)-9))))))))</f>
        <v/>
      </c>
      <c r="AM20" s="34" t="str">
        <f aca="false">IF(C20="","",IF(IF(AJ20&lt;$C20,0,DATEDIF($C20,AJ20,"m"))&lt;6,0,IF(IF(AJ20&lt;$C20,0,DATEDIF($C20,AJ20,"m"))&lt;12,6,IF(IF(AJ20&lt;$C20,0,DATEDIF($C20,AJ20,"m"))&lt;24,7,IF(IF(AJ20&lt;$C20,0,DATEDIF($C20,AJ20,"m"))&lt;36,10,IF(IF(AJ20&lt;$C20,0,DATEDIF($C20,AJ20,"m"))&lt;60,14,IF(IF(AJ20&lt;$C20,0,DATEDIF($C20,AJ20,"m"))&lt;120,15,MIN(30,15+INT(IF(AJ20&lt;$C20,0,DATEDIF($C20,AJ20,"m"))/12)-9))))))))</f>
        <v/>
      </c>
      <c r="AN20" s="33" t="str">
        <f aca="false">IF(C20="","",((AI20-DATE(YEAR($B$3),1,1))*AK20+(AJ20-AI20)*AL20+(AH20-AJ20)*AM20)/(DATE(YEAR($B$3)+1,1,1)-DATE(YEAR($B$3),1,1)))</f>
        <v/>
      </c>
    </row>
    <row r="21" customFormat="false" ht="15" hidden="false" customHeight="false" outlineLevel="0" collapsed="false">
      <c r="A21" s="34" t="str">
        <f aca="false">IF(流程1_請假申請!U21="","",流程1_請假申請!T21)</f>
        <v/>
      </c>
      <c r="B21" s="34" t="str">
        <f aca="false">IF(流程1_請假申請!U21="","",流程1_請假申請!U21)</f>
        <v/>
      </c>
      <c r="C21" s="40" t="str">
        <f aca="false">IF(流程1_請假申請!U21="","",流程1_請假申請!W21)</f>
        <v/>
      </c>
      <c r="D21" s="40" t="str">
        <f aca="false">IF(流程1_請假申請!X21="","",流程1_請假申請!X21)</f>
        <v/>
      </c>
      <c r="E21" s="34" t="str">
        <f aca="false">IF(C21="","",IF($B$3&lt;C21,0,DATEDIF(C21,$B$3,"m")))</f>
        <v/>
      </c>
      <c r="F21" s="41" t="str">
        <f aca="false">IF(C21="","",IF(AN21=0,0,CEILING(ROUND(AN21,2),$E$3)))</f>
        <v/>
      </c>
      <c r="G21" s="42"/>
      <c r="H21" s="41" t="str">
        <f aca="false">IF(C21="","",F21+G21)</f>
        <v/>
      </c>
      <c r="I21" s="41" t="str">
        <f aca="false">IF(C21="","",SUMIFS(流程1_請假申請!$I$5:$I$64,流程1_請假申請!$D$5:$D$64,B21,流程1_請假申請!$F$5:$F$64,"特別休假",流程1_請假申請!$M$5:$M$64,"已確認",流程1_請假申請!$G$5:$G$64,"&gt;="&amp;DATE(YEAR($B$3),1,1),流程1_請假申請!$G$5:$G$64,"&lt;="&amp;$B$3))</f>
        <v/>
      </c>
      <c r="J21" s="41" t="str">
        <f aca="false">IF(C21="","",H21-I21)</f>
        <v/>
      </c>
      <c r="K21" s="42"/>
      <c r="L21" s="34" t="str">
        <f aca="false">IF(C21="","",IF(AND(D21&lt;&gt;"",D21&lt;=$B$3),"離職結算",IF(AND(MONTH($B$3)=12,DAY($B$3)=31),"年度結算","")))</f>
        <v/>
      </c>
      <c r="M21" s="41" t="n">
        <f aca="false">IF(OR(C21="",L21=""),0,N(G21)-MIN(N(G21),I21))</f>
        <v>0</v>
      </c>
      <c r="N21" s="41" t="n">
        <f aca="false">IF(OR(C21="",L21=""),0,IF(L21="離職結算",J21-M21,MAX(0,J21-M21-N(K21))))</f>
        <v>0</v>
      </c>
      <c r="O21" s="43" t="str">
        <f aca="false">IF(C21="","",IFERROR(ROUND((INDEX(流程1_月結表!$G$6:$G$8,MATCH(A21,流程1_月結表!$B$6:$B$8,0))+INDEX(流程1_月結表!$H$6:$H$8,MATCH(A21,流程1_月結表!$B$6:$B$8,0))*流程1_參數!$C$7)/流程1_參數!$C$5,2),0))</f>
        <v/>
      </c>
      <c r="P21" s="44"/>
      <c r="Q21" s="43" t="n">
        <f aca="false">IF(OR(C21="",L21=""),0,ROUND(N21*O21+M21*IF(P21="",O21,P21),0))</f>
        <v>0</v>
      </c>
      <c r="R21" s="41" t="str">
        <f aca="false">IF($C21="","",SUMIFS(流程1_請假申請!$I$5:$I$64,流程1_請假申請!$D$5:$D$64,$B21,流程1_請假申請!$F$5:$F$64,"病假（普通傷病假）",流程1_請假申請!$M$5:$M$64,"已確認",流程1_請假申請!$G$5:$G$64,"&gt;="&amp;DATE(YEAR($B$3),1,1),流程1_請假申請!$G$5:$G$64,"&lt;="&amp;$B$3))</f>
        <v/>
      </c>
      <c r="S21" s="41" t="str">
        <f aca="false">IF($C21="","",SUMIFS(流程1_請假申請!$I$5:$I$64,流程1_請假申請!$D$5:$D$64,$B21,流程1_請假申請!$F$5:$F$64,"事假",流程1_請假申請!$M$5:$M$64,"已確認",流程1_請假申請!$G$5:$G$64,"&gt;="&amp;DATE(YEAR($B$3),1,1),流程1_請假申請!$G$5:$G$64,"&lt;="&amp;$B$3))</f>
        <v/>
      </c>
      <c r="T21" s="41" t="str">
        <f aca="false">IF($C21="","",SUMIFS(流程1_請假申請!$I$5:$I$64,流程1_請假申請!$D$5:$D$64,$B21,流程1_請假申請!$F$5:$F$64,"家庭照顧假",流程1_請假申請!$M$5:$M$64,"已確認",流程1_請假申請!$G$5:$G$64,"&gt;="&amp;DATE(YEAR($B$3),1,1),流程1_請假申請!$G$5:$G$64,"&lt;="&amp;$B$3))</f>
        <v/>
      </c>
      <c r="U21" s="41" t="str">
        <f aca="false">IF($C21="","",SUMIFS(流程1_請假申請!$I$5:$I$64,流程1_請假申請!$D$5:$D$64,$B21,流程1_請假申請!$F$5:$F$64,"生理假",流程1_請假申請!$M$5:$M$64,"已確認",流程1_請假申請!$G$5:$G$64,"&gt;="&amp;DATE(YEAR($B$3),1,1),流程1_請假申請!$G$5:$G$64,"&lt;="&amp;$B$3))</f>
        <v/>
      </c>
      <c r="V21" s="41" t="str">
        <f aca="false">IF($C21="","",SUMIFS(流程1_請假申請!$I$5:$I$64,流程1_請假申請!$D$5:$D$64,$B21,流程1_請假申請!$F$5:$F$64,"安胎休養假",流程1_請假申請!$M$5:$M$64,"已確認",流程1_請假申請!$G$5:$G$64,"&gt;="&amp;DATE(YEAR($B$3),1,1),流程1_請假申請!$G$5:$G$64,"&lt;="&amp;$B$3))</f>
        <v/>
      </c>
      <c r="W21" s="41" t="str">
        <f aca="false">IF($C21="","",SUMIFS(流程1_請假申請!$I$5:$I$64,流程1_請假申請!$D$5:$D$64,$B21,流程1_請假申請!$F$5:$F$64,"婚假",流程1_請假申請!$M$5:$M$64,"已確認",流程1_請假申請!$G$5:$G$64,"&gt;="&amp;DATE(YEAR($B$3),1,1),流程1_請假申請!$G$5:$G$64,"&lt;="&amp;$B$3))</f>
        <v/>
      </c>
      <c r="X21" s="41" t="str">
        <f aca="false">IF($C21="","",SUMIFS(流程1_請假申請!$I$5:$I$64,流程1_請假申請!$D$5:$D$64,$B21,流程1_請假申請!$F$5:$F$64,"喪假",流程1_請假申請!$M$5:$M$64,"已確認",流程1_請假申請!$G$5:$G$64,"&gt;="&amp;DATE(YEAR($B$3),1,1),流程1_請假申請!$G$5:$G$64,"&lt;="&amp;$B$3))</f>
        <v/>
      </c>
      <c r="Y21" s="41" t="str">
        <f aca="false">IF($C21="","",SUMIFS(流程1_請假申請!$I$5:$I$64,流程1_請假申請!$D$5:$D$64,$B21,流程1_請假申請!$F$5:$F$64,"產假",流程1_請假申請!$M$5:$M$64,"已確認",流程1_請假申請!$G$5:$G$64,"&gt;="&amp;DATE(YEAR($B$3),1,1),流程1_請假申請!$G$5:$G$64,"&lt;="&amp;$B$3))</f>
        <v/>
      </c>
      <c r="Z21" s="41" t="str">
        <f aca="false">IF($C21="","",SUMIFS(流程1_請假申請!$I$5:$I$64,流程1_請假申請!$D$5:$D$64,$B21,流程1_請假申請!$F$5:$F$64,"產檢假",流程1_請假申請!$M$5:$M$64,"已確認",流程1_請假申請!$G$5:$G$64,"&gt;="&amp;DATE(YEAR($B$3),1,1),流程1_請假申請!$G$5:$G$64,"&lt;="&amp;$B$3))</f>
        <v/>
      </c>
      <c r="AA21" s="41" t="str">
        <f aca="false">IF($C21="","",SUMIFS(流程1_請假申請!$I$5:$I$64,流程1_請假申請!$D$5:$D$64,$B21,流程1_請假申請!$F$5:$F$64,"陪產檢及陪產假",流程1_請假申請!$M$5:$M$64,"已確認",流程1_請假申請!$G$5:$G$64,"&gt;="&amp;DATE(YEAR($B$3),1,1),流程1_請假申請!$G$5:$G$64,"&lt;="&amp;$B$3))</f>
        <v/>
      </c>
      <c r="AB21" s="41" t="str">
        <f aca="false">IF($C21="","",SUMIFS(流程1_請假申請!$I$5:$I$64,流程1_請假申請!$D$5:$D$64,$B21,流程1_請假申請!$F$5:$F$64,"公傷病假",流程1_請假申請!$M$5:$M$64,"已確認",流程1_請假申請!$G$5:$G$64,"&gt;="&amp;DATE(YEAR($B$3),1,1),流程1_請假申請!$G$5:$G$64,"&lt;="&amp;$B$3))</f>
        <v/>
      </c>
      <c r="AC21" s="41" t="str">
        <f aca="false">IF($C21="","",SUMIFS(流程1_請假申請!$I$5:$I$64,流程1_請假申請!$D$5:$D$64,$B21,流程1_請假申請!$F$5:$F$64,"公假",流程1_請假申請!$M$5:$M$64,"已確認",流程1_請假申請!$G$5:$G$64,"&gt;="&amp;DATE(YEAR($B$3),1,1),流程1_請假申請!$G$5:$G$64,"&lt;="&amp;$B$3))</f>
        <v/>
      </c>
      <c r="AD21" s="41" t="str">
        <f aca="false">IF($C21="","",SUMIFS(流程1_請假申請!$I$5:$I$64,流程1_請假申請!$D$5:$D$64,$B21,流程1_請假申請!$F$5:$F$64,"特別休假",流程1_請假申請!$M$5:$M$64,"已確認",流程1_請假申請!$G$5:$G$64,"&gt;="&amp;DATE(YEAR($B$3),1,1),流程1_請假申請!$G$5:$G$64,"&lt;="&amp;$B$3))</f>
        <v/>
      </c>
      <c r="AE21" s="41" t="str">
        <f aca="false">IF($C21="","",SUMIFS(流程1_請假申請!$I$5:$I$64,流程1_請假申請!$D$5:$D$64,$B21,流程1_請假申請!$F$5:$F$64,"育嬰留職停薪",流程1_請假申請!$M$5:$M$64,"已確認",流程1_請假申請!$G$5:$G$64,"&gt;="&amp;DATE(YEAR($B$3),1,1),流程1_請假申請!$G$5:$G$64,"&lt;="&amp;$B$3))</f>
        <v/>
      </c>
      <c r="AF21" s="41" t="str">
        <f aca="false">IF(C21="","",30-R21)</f>
        <v/>
      </c>
      <c r="AG21" s="41" t="str">
        <f aca="false">IF(C21="","",14-S21)</f>
        <v/>
      </c>
      <c r="AH21" s="40" t="str">
        <f aca="false">IF(C21="","",IF(D21="",DATE(YEAR($B$3)+1,1,1),MIN(DATE(YEAR($B$3)+1,1,1),D21+1)))</f>
        <v/>
      </c>
      <c r="AI21" s="40" t="str">
        <f aca="false">IF(C21="","",MAX(DATE(YEAR($B$3),1,1),MIN(AH21,EDATE(C21,6))))</f>
        <v/>
      </c>
      <c r="AJ21" s="40" t="str">
        <f aca="false">IF(C21="","",MAX(AI21,MIN(AH21,EDATE(C21,12*MAX(1,YEAR($B$3)-YEAR(C21))))))</f>
        <v/>
      </c>
      <c r="AK21" s="34" t="str">
        <f aca="false">IF(C21="","",IF(IF(DATE(YEAR($B$3),1,1)&lt;$C21,0,DATEDIF($C21,DATE(YEAR($B$3),1,1),"m"))&lt;6,0,IF(IF(DATE(YEAR($B$3),1,1)&lt;$C21,0,DATEDIF($C21,DATE(YEAR($B$3),1,1),"m"))&lt;12,6,IF(IF(DATE(YEAR($B$3),1,1)&lt;$C21,0,DATEDIF($C21,DATE(YEAR($B$3),1,1),"m"))&lt;24,7,IF(IF(DATE(YEAR($B$3),1,1)&lt;$C21,0,DATEDIF($C21,DATE(YEAR($B$3),1,1),"m"))&lt;36,10,IF(IF(DATE(YEAR($B$3),1,1)&lt;$C21,0,DATEDIF($C21,DATE(YEAR($B$3),1,1),"m"))&lt;60,14,IF(IF(DATE(YEAR($B$3),1,1)&lt;$C21,0,DATEDIF($C21,DATE(YEAR($B$3),1,1),"m"))&lt;120,15,MIN(30,15+INT(IF(DATE(YEAR($B$3),1,1)&lt;$C21,0,DATEDIF($C21,DATE(YEAR($B$3),1,1),"m"))/12)-9))))))))</f>
        <v/>
      </c>
      <c r="AL21" s="34" t="str">
        <f aca="false">IF(C21="","",IF(IF(AI21&lt;$C21,0,DATEDIF($C21,AI21,"m"))&lt;6,0,IF(IF(AI21&lt;$C21,0,DATEDIF($C21,AI21,"m"))&lt;12,6,IF(IF(AI21&lt;$C21,0,DATEDIF($C21,AI21,"m"))&lt;24,7,IF(IF(AI21&lt;$C21,0,DATEDIF($C21,AI21,"m"))&lt;36,10,IF(IF(AI21&lt;$C21,0,DATEDIF($C21,AI21,"m"))&lt;60,14,IF(IF(AI21&lt;$C21,0,DATEDIF($C21,AI21,"m"))&lt;120,15,MIN(30,15+INT(IF(AI21&lt;$C21,0,DATEDIF($C21,AI21,"m"))/12)-9))))))))</f>
        <v/>
      </c>
      <c r="AM21" s="34" t="str">
        <f aca="false">IF(C21="","",IF(IF(AJ21&lt;$C21,0,DATEDIF($C21,AJ21,"m"))&lt;6,0,IF(IF(AJ21&lt;$C21,0,DATEDIF($C21,AJ21,"m"))&lt;12,6,IF(IF(AJ21&lt;$C21,0,DATEDIF($C21,AJ21,"m"))&lt;24,7,IF(IF(AJ21&lt;$C21,0,DATEDIF($C21,AJ21,"m"))&lt;36,10,IF(IF(AJ21&lt;$C21,0,DATEDIF($C21,AJ21,"m"))&lt;60,14,IF(IF(AJ21&lt;$C21,0,DATEDIF($C21,AJ21,"m"))&lt;120,15,MIN(30,15+INT(IF(AJ21&lt;$C21,0,DATEDIF($C21,AJ21,"m"))/12)-9))))))))</f>
        <v/>
      </c>
      <c r="AN21" s="33" t="str">
        <f aca="false">IF(C21="","",((AI21-DATE(YEAR($B$3),1,1))*AK21+(AJ21-AI21)*AL21+(AH21-AJ21)*AM21)/(DATE(YEAR($B$3)+1,1,1)-DATE(YEAR($B$3),1,1)))</f>
        <v/>
      </c>
    </row>
    <row r="22" customFormat="false" ht="15" hidden="false" customHeight="false" outlineLevel="0" collapsed="false">
      <c r="A22" s="34" t="str">
        <f aca="false">IF(流程1_請假申請!U22="","",流程1_請假申請!T22)</f>
        <v/>
      </c>
      <c r="B22" s="34" t="str">
        <f aca="false">IF(流程1_請假申請!U22="","",流程1_請假申請!U22)</f>
        <v/>
      </c>
      <c r="C22" s="40" t="str">
        <f aca="false">IF(流程1_請假申請!U22="","",流程1_請假申請!W22)</f>
        <v/>
      </c>
      <c r="D22" s="40" t="str">
        <f aca="false">IF(流程1_請假申請!X22="","",流程1_請假申請!X22)</f>
        <v/>
      </c>
      <c r="E22" s="34" t="str">
        <f aca="false">IF(C22="","",IF($B$3&lt;C22,0,DATEDIF(C22,$B$3,"m")))</f>
        <v/>
      </c>
      <c r="F22" s="41" t="str">
        <f aca="false">IF(C22="","",IF(AN22=0,0,CEILING(ROUND(AN22,2),$E$3)))</f>
        <v/>
      </c>
      <c r="G22" s="42"/>
      <c r="H22" s="41" t="str">
        <f aca="false">IF(C22="","",F22+G22)</f>
        <v/>
      </c>
      <c r="I22" s="41" t="str">
        <f aca="false">IF(C22="","",SUMIFS(流程1_請假申請!$I$5:$I$64,流程1_請假申請!$D$5:$D$64,B22,流程1_請假申請!$F$5:$F$64,"特別休假",流程1_請假申請!$M$5:$M$64,"已確認",流程1_請假申請!$G$5:$G$64,"&gt;="&amp;DATE(YEAR($B$3),1,1),流程1_請假申請!$G$5:$G$64,"&lt;="&amp;$B$3))</f>
        <v/>
      </c>
      <c r="J22" s="41" t="str">
        <f aca="false">IF(C22="","",H22-I22)</f>
        <v/>
      </c>
      <c r="K22" s="42"/>
      <c r="L22" s="34" t="str">
        <f aca="false">IF(C22="","",IF(AND(D22&lt;&gt;"",D22&lt;=$B$3),"離職結算",IF(AND(MONTH($B$3)=12,DAY($B$3)=31),"年度結算","")))</f>
        <v/>
      </c>
      <c r="M22" s="41" t="n">
        <f aca="false">IF(OR(C22="",L22=""),0,N(G22)-MIN(N(G22),I22))</f>
        <v>0</v>
      </c>
      <c r="N22" s="41" t="n">
        <f aca="false">IF(OR(C22="",L22=""),0,IF(L22="離職結算",J22-M22,MAX(0,J22-M22-N(K22))))</f>
        <v>0</v>
      </c>
      <c r="O22" s="43" t="str">
        <f aca="false">IF(C22="","",IFERROR(ROUND((INDEX(流程1_月結表!$G$6:$G$8,MATCH(A22,流程1_月結表!$B$6:$B$8,0))+INDEX(流程1_月結表!$H$6:$H$8,MATCH(A22,流程1_月結表!$B$6:$B$8,0))*流程1_參數!$C$7)/流程1_參數!$C$5,2),0))</f>
        <v/>
      </c>
      <c r="P22" s="44"/>
      <c r="Q22" s="43" t="n">
        <f aca="false">IF(OR(C22="",L22=""),0,ROUND(N22*O22+M22*IF(P22="",O22,P22),0))</f>
        <v>0</v>
      </c>
      <c r="R22" s="41" t="str">
        <f aca="false">IF($C22="","",SUMIFS(流程1_請假申請!$I$5:$I$64,流程1_請假申請!$D$5:$D$64,$B22,流程1_請假申請!$F$5:$F$64,"病假（普通傷病假）",流程1_請假申請!$M$5:$M$64,"已確認",流程1_請假申請!$G$5:$G$64,"&gt;="&amp;DATE(YEAR($B$3),1,1),流程1_請假申請!$G$5:$G$64,"&lt;="&amp;$B$3))</f>
        <v/>
      </c>
      <c r="S22" s="41" t="str">
        <f aca="false">IF($C22="","",SUMIFS(流程1_請假申請!$I$5:$I$64,流程1_請假申請!$D$5:$D$64,$B22,流程1_請假申請!$F$5:$F$64,"事假",流程1_請假申請!$M$5:$M$64,"已確認",流程1_請假申請!$G$5:$G$64,"&gt;="&amp;DATE(YEAR($B$3),1,1),流程1_請假申請!$G$5:$G$64,"&lt;="&amp;$B$3))</f>
        <v/>
      </c>
      <c r="T22" s="41" t="str">
        <f aca="false">IF($C22="","",SUMIFS(流程1_請假申請!$I$5:$I$64,流程1_請假申請!$D$5:$D$64,$B22,流程1_請假申請!$F$5:$F$64,"家庭照顧假",流程1_請假申請!$M$5:$M$64,"已確認",流程1_請假申請!$G$5:$G$64,"&gt;="&amp;DATE(YEAR($B$3),1,1),流程1_請假申請!$G$5:$G$64,"&lt;="&amp;$B$3))</f>
        <v/>
      </c>
      <c r="U22" s="41" t="str">
        <f aca="false">IF($C22="","",SUMIFS(流程1_請假申請!$I$5:$I$64,流程1_請假申請!$D$5:$D$64,$B22,流程1_請假申請!$F$5:$F$64,"生理假",流程1_請假申請!$M$5:$M$64,"已確認",流程1_請假申請!$G$5:$G$64,"&gt;="&amp;DATE(YEAR($B$3),1,1),流程1_請假申請!$G$5:$G$64,"&lt;="&amp;$B$3))</f>
        <v/>
      </c>
      <c r="V22" s="41" t="str">
        <f aca="false">IF($C22="","",SUMIFS(流程1_請假申請!$I$5:$I$64,流程1_請假申請!$D$5:$D$64,$B22,流程1_請假申請!$F$5:$F$64,"安胎休養假",流程1_請假申請!$M$5:$M$64,"已確認",流程1_請假申請!$G$5:$G$64,"&gt;="&amp;DATE(YEAR($B$3),1,1),流程1_請假申請!$G$5:$G$64,"&lt;="&amp;$B$3))</f>
        <v/>
      </c>
      <c r="W22" s="41" t="str">
        <f aca="false">IF($C22="","",SUMIFS(流程1_請假申請!$I$5:$I$64,流程1_請假申請!$D$5:$D$64,$B22,流程1_請假申請!$F$5:$F$64,"婚假",流程1_請假申請!$M$5:$M$64,"已確認",流程1_請假申請!$G$5:$G$64,"&gt;="&amp;DATE(YEAR($B$3),1,1),流程1_請假申請!$G$5:$G$64,"&lt;="&amp;$B$3))</f>
        <v/>
      </c>
      <c r="X22" s="41" t="str">
        <f aca="false">IF($C22="","",SUMIFS(流程1_請假申請!$I$5:$I$64,流程1_請假申請!$D$5:$D$64,$B22,流程1_請假申請!$F$5:$F$64,"喪假",流程1_請假申請!$M$5:$M$64,"已確認",流程1_請假申請!$G$5:$G$64,"&gt;="&amp;DATE(YEAR($B$3),1,1),流程1_請假申請!$G$5:$G$64,"&lt;="&amp;$B$3))</f>
        <v/>
      </c>
      <c r="Y22" s="41" t="str">
        <f aca="false">IF($C22="","",SUMIFS(流程1_請假申請!$I$5:$I$64,流程1_請假申請!$D$5:$D$64,$B22,流程1_請假申請!$F$5:$F$64,"產假",流程1_請假申請!$M$5:$M$64,"已確認",流程1_請假申請!$G$5:$G$64,"&gt;="&amp;DATE(YEAR($B$3),1,1),流程1_請假申請!$G$5:$G$64,"&lt;="&amp;$B$3))</f>
        <v/>
      </c>
      <c r="Z22" s="41" t="str">
        <f aca="false">IF($C22="","",SUMIFS(流程1_請假申請!$I$5:$I$64,流程1_請假申請!$D$5:$D$64,$B22,流程1_請假申請!$F$5:$F$64,"產檢假",流程1_請假申請!$M$5:$M$64,"已確認",流程1_請假申請!$G$5:$G$64,"&gt;="&amp;DATE(YEAR($B$3),1,1),流程1_請假申請!$G$5:$G$64,"&lt;="&amp;$B$3))</f>
        <v/>
      </c>
      <c r="AA22" s="41" t="str">
        <f aca="false">IF($C22="","",SUMIFS(流程1_請假申請!$I$5:$I$64,流程1_請假申請!$D$5:$D$64,$B22,流程1_請假申請!$F$5:$F$64,"陪產檢及陪產假",流程1_請假申請!$M$5:$M$64,"已確認",流程1_請假申請!$G$5:$G$64,"&gt;="&amp;DATE(YEAR($B$3),1,1),流程1_請假申請!$G$5:$G$64,"&lt;="&amp;$B$3))</f>
        <v/>
      </c>
      <c r="AB22" s="41" t="str">
        <f aca="false">IF($C22="","",SUMIFS(流程1_請假申請!$I$5:$I$64,流程1_請假申請!$D$5:$D$64,$B22,流程1_請假申請!$F$5:$F$64,"公傷病假",流程1_請假申請!$M$5:$M$64,"已確認",流程1_請假申請!$G$5:$G$64,"&gt;="&amp;DATE(YEAR($B$3),1,1),流程1_請假申請!$G$5:$G$64,"&lt;="&amp;$B$3))</f>
        <v/>
      </c>
      <c r="AC22" s="41" t="str">
        <f aca="false">IF($C22="","",SUMIFS(流程1_請假申請!$I$5:$I$64,流程1_請假申請!$D$5:$D$64,$B22,流程1_請假申請!$F$5:$F$64,"公假",流程1_請假申請!$M$5:$M$64,"已確認",流程1_請假申請!$G$5:$G$64,"&gt;="&amp;DATE(YEAR($B$3),1,1),流程1_請假申請!$G$5:$G$64,"&lt;="&amp;$B$3))</f>
        <v/>
      </c>
      <c r="AD22" s="41" t="str">
        <f aca="false">IF($C22="","",SUMIFS(流程1_請假申請!$I$5:$I$64,流程1_請假申請!$D$5:$D$64,$B22,流程1_請假申請!$F$5:$F$64,"特別休假",流程1_請假申請!$M$5:$M$64,"已確認",流程1_請假申請!$G$5:$G$64,"&gt;="&amp;DATE(YEAR($B$3),1,1),流程1_請假申請!$G$5:$G$64,"&lt;="&amp;$B$3))</f>
        <v/>
      </c>
      <c r="AE22" s="41" t="str">
        <f aca="false">IF($C22="","",SUMIFS(流程1_請假申請!$I$5:$I$64,流程1_請假申請!$D$5:$D$64,$B22,流程1_請假申請!$F$5:$F$64,"育嬰留職停薪",流程1_請假申請!$M$5:$M$64,"已確認",流程1_請假申請!$G$5:$G$64,"&gt;="&amp;DATE(YEAR($B$3),1,1),流程1_請假申請!$G$5:$G$64,"&lt;="&amp;$B$3))</f>
        <v/>
      </c>
      <c r="AF22" s="41" t="str">
        <f aca="false">IF(C22="","",30-R22)</f>
        <v/>
      </c>
      <c r="AG22" s="41" t="str">
        <f aca="false">IF(C22="","",14-S22)</f>
        <v/>
      </c>
      <c r="AH22" s="40" t="str">
        <f aca="false">IF(C22="","",IF(D22="",DATE(YEAR($B$3)+1,1,1),MIN(DATE(YEAR($B$3)+1,1,1),D22+1)))</f>
        <v/>
      </c>
      <c r="AI22" s="40" t="str">
        <f aca="false">IF(C22="","",MAX(DATE(YEAR($B$3),1,1),MIN(AH22,EDATE(C22,6))))</f>
        <v/>
      </c>
      <c r="AJ22" s="40" t="str">
        <f aca="false">IF(C22="","",MAX(AI22,MIN(AH22,EDATE(C22,12*MAX(1,YEAR($B$3)-YEAR(C22))))))</f>
        <v/>
      </c>
      <c r="AK22" s="34" t="str">
        <f aca="false">IF(C22="","",IF(IF(DATE(YEAR($B$3),1,1)&lt;$C22,0,DATEDIF($C22,DATE(YEAR($B$3),1,1),"m"))&lt;6,0,IF(IF(DATE(YEAR($B$3),1,1)&lt;$C22,0,DATEDIF($C22,DATE(YEAR($B$3),1,1),"m"))&lt;12,6,IF(IF(DATE(YEAR($B$3),1,1)&lt;$C22,0,DATEDIF($C22,DATE(YEAR($B$3),1,1),"m"))&lt;24,7,IF(IF(DATE(YEAR($B$3),1,1)&lt;$C22,0,DATEDIF($C22,DATE(YEAR($B$3),1,1),"m"))&lt;36,10,IF(IF(DATE(YEAR($B$3),1,1)&lt;$C22,0,DATEDIF($C22,DATE(YEAR($B$3),1,1),"m"))&lt;60,14,IF(IF(DATE(YEAR($B$3),1,1)&lt;$C22,0,DATEDIF($C22,DATE(YEAR($B$3),1,1),"m"))&lt;120,15,MIN(30,15+INT(IF(DATE(YEAR($B$3),1,1)&lt;$C22,0,DATEDIF($C22,DATE(YEAR($B$3),1,1),"m"))/12)-9))))))))</f>
        <v/>
      </c>
      <c r="AL22" s="34" t="str">
        <f aca="false">IF(C22="","",IF(IF(AI22&lt;$C22,0,DATEDIF($C22,AI22,"m"))&lt;6,0,IF(IF(AI22&lt;$C22,0,DATEDIF($C22,AI22,"m"))&lt;12,6,IF(IF(AI22&lt;$C22,0,DATEDIF($C22,AI22,"m"))&lt;24,7,IF(IF(AI22&lt;$C22,0,DATEDIF($C22,AI22,"m"))&lt;36,10,IF(IF(AI22&lt;$C22,0,DATEDIF($C22,AI22,"m"))&lt;60,14,IF(IF(AI22&lt;$C22,0,DATEDIF($C22,AI22,"m"))&lt;120,15,MIN(30,15+INT(IF(AI22&lt;$C22,0,DATEDIF($C22,AI22,"m"))/12)-9))))))))</f>
        <v/>
      </c>
      <c r="AM22" s="34" t="str">
        <f aca="false">IF(C22="","",IF(IF(AJ22&lt;$C22,0,DATEDIF($C22,AJ22,"m"))&lt;6,0,IF(IF(AJ22&lt;$C22,0,DATEDIF($C22,AJ22,"m"))&lt;12,6,IF(IF(AJ22&lt;$C22,0,DATEDIF($C22,AJ22,"m"))&lt;24,7,IF(IF(AJ22&lt;$C22,0,DATEDIF($C22,AJ22,"m"))&lt;36,10,IF(IF(AJ22&lt;$C22,0,DATEDIF($C22,AJ22,"m"))&lt;60,14,IF(IF(AJ22&lt;$C22,0,DATEDIF($C22,AJ22,"m"))&lt;120,15,MIN(30,15+INT(IF(AJ22&lt;$C22,0,DATEDIF($C22,AJ22,"m"))/12)-9))))))))</f>
        <v/>
      </c>
      <c r="AN22" s="33" t="str">
        <f aca="false">IF(C22="","",((AI22-DATE(YEAR($B$3),1,1))*AK22+(AJ22-AI22)*AL22+(AH22-AJ22)*AM22)/(DATE(YEAR($B$3)+1,1,1)-DATE(YEAR($B$3),1,1)))</f>
        <v/>
      </c>
    </row>
    <row r="23" customFormat="false" ht="15" hidden="false" customHeight="false" outlineLevel="0" collapsed="false">
      <c r="A23" s="34" t="str">
        <f aca="false">IF(流程1_請假申請!U23="","",流程1_請假申請!T23)</f>
        <v/>
      </c>
      <c r="B23" s="34" t="str">
        <f aca="false">IF(流程1_請假申請!U23="","",流程1_請假申請!U23)</f>
        <v/>
      </c>
      <c r="C23" s="40" t="str">
        <f aca="false">IF(流程1_請假申請!U23="","",流程1_請假申請!W23)</f>
        <v/>
      </c>
      <c r="D23" s="40" t="str">
        <f aca="false">IF(流程1_請假申請!X23="","",流程1_請假申請!X23)</f>
        <v/>
      </c>
      <c r="E23" s="34" t="str">
        <f aca="false">IF(C23="","",IF($B$3&lt;C23,0,DATEDIF(C23,$B$3,"m")))</f>
        <v/>
      </c>
      <c r="F23" s="41" t="str">
        <f aca="false">IF(C23="","",IF(AN23=0,0,CEILING(ROUND(AN23,2),$E$3)))</f>
        <v/>
      </c>
      <c r="G23" s="42"/>
      <c r="H23" s="41" t="str">
        <f aca="false">IF(C23="","",F23+G23)</f>
        <v/>
      </c>
      <c r="I23" s="41" t="str">
        <f aca="false">IF(C23="","",SUMIFS(流程1_請假申請!$I$5:$I$64,流程1_請假申請!$D$5:$D$64,B23,流程1_請假申請!$F$5:$F$64,"特別休假",流程1_請假申請!$M$5:$M$64,"已確認",流程1_請假申請!$G$5:$G$64,"&gt;="&amp;DATE(YEAR($B$3),1,1),流程1_請假申請!$G$5:$G$64,"&lt;="&amp;$B$3))</f>
        <v/>
      </c>
      <c r="J23" s="41" t="str">
        <f aca="false">IF(C23="","",H23-I23)</f>
        <v/>
      </c>
      <c r="K23" s="42"/>
      <c r="L23" s="34" t="str">
        <f aca="false">IF(C23="","",IF(AND(D23&lt;&gt;"",D23&lt;=$B$3),"離職結算",IF(AND(MONTH($B$3)=12,DAY($B$3)=31),"年度結算","")))</f>
        <v/>
      </c>
      <c r="M23" s="41" t="n">
        <f aca="false">IF(OR(C23="",L23=""),0,N(G23)-MIN(N(G23),I23))</f>
        <v>0</v>
      </c>
      <c r="N23" s="41" t="n">
        <f aca="false">IF(OR(C23="",L23=""),0,IF(L23="離職結算",J23-M23,MAX(0,J23-M23-N(K23))))</f>
        <v>0</v>
      </c>
      <c r="O23" s="43" t="str">
        <f aca="false">IF(C23="","",IFERROR(ROUND((INDEX(流程1_月結表!$G$6:$G$8,MATCH(A23,流程1_月結表!$B$6:$B$8,0))+INDEX(流程1_月結表!$H$6:$H$8,MATCH(A23,流程1_月結表!$B$6:$B$8,0))*流程1_參數!$C$7)/流程1_參數!$C$5,2),0))</f>
        <v/>
      </c>
      <c r="P23" s="44"/>
      <c r="Q23" s="43" t="n">
        <f aca="false">IF(OR(C23="",L23=""),0,ROUND(N23*O23+M23*IF(P23="",O23,P23),0))</f>
        <v>0</v>
      </c>
      <c r="R23" s="41" t="str">
        <f aca="false">IF($C23="","",SUMIFS(流程1_請假申請!$I$5:$I$64,流程1_請假申請!$D$5:$D$64,$B23,流程1_請假申請!$F$5:$F$64,"病假（普通傷病假）",流程1_請假申請!$M$5:$M$64,"已確認",流程1_請假申請!$G$5:$G$64,"&gt;="&amp;DATE(YEAR($B$3),1,1),流程1_請假申請!$G$5:$G$64,"&lt;="&amp;$B$3))</f>
        <v/>
      </c>
      <c r="S23" s="41" t="str">
        <f aca="false">IF($C23="","",SUMIFS(流程1_請假申請!$I$5:$I$64,流程1_請假申請!$D$5:$D$64,$B23,流程1_請假申請!$F$5:$F$64,"事假",流程1_請假申請!$M$5:$M$64,"已確認",流程1_請假申請!$G$5:$G$64,"&gt;="&amp;DATE(YEAR($B$3),1,1),流程1_請假申請!$G$5:$G$64,"&lt;="&amp;$B$3))</f>
        <v/>
      </c>
      <c r="T23" s="41" t="str">
        <f aca="false">IF($C23="","",SUMIFS(流程1_請假申請!$I$5:$I$64,流程1_請假申請!$D$5:$D$64,$B23,流程1_請假申請!$F$5:$F$64,"家庭照顧假",流程1_請假申請!$M$5:$M$64,"已確認",流程1_請假申請!$G$5:$G$64,"&gt;="&amp;DATE(YEAR($B$3),1,1),流程1_請假申請!$G$5:$G$64,"&lt;="&amp;$B$3))</f>
        <v/>
      </c>
      <c r="U23" s="41" t="str">
        <f aca="false">IF($C23="","",SUMIFS(流程1_請假申請!$I$5:$I$64,流程1_請假申請!$D$5:$D$64,$B23,流程1_請假申請!$F$5:$F$64,"生理假",流程1_請假申請!$M$5:$M$64,"已確認",流程1_請假申請!$G$5:$G$64,"&gt;="&amp;DATE(YEAR($B$3),1,1),流程1_請假申請!$G$5:$G$64,"&lt;="&amp;$B$3))</f>
        <v/>
      </c>
      <c r="V23" s="41" t="str">
        <f aca="false">IF($C23="","",SUMIFS(流程1_請假申請!$I$5:$I$64,流程1_請假申請!$D$5:$D$64,$B23,流程1_請假申請!$F$5:$F$64,"安胎休養假",流程1_請假申請!$M$5:$M$64,"已確認",流程1_請假申請!$G$5:$G$64,"&gt;="&amp;DATE(YEAR($B$3),1,1),流程1_請假申請!$G$5:$G$64,"&lt;="&amp;$B$3))</f>
        <v/>
      </c>
      <c r="W23" s="41" t="str">
        <f aca="false">IF($C23="","",SUMIFS(流程1_請假申請!$I$5:$I$64,流程1_請假申請!$D$5:$D$64,$B23,流程1_請假申請!$F$5:$F$64,"婚假",流程1_請假申請!$M$5:$M$64,"已確認",流程1_請假申請!$G$5:$G$64,"&gt;="&amp;DATE(YEAR($B$3),1,1),流程1_請假申請!$G$5:$G$64,"&lt;="&amp;$B$3))</f>
        <v/>
      </c>
      <c r="X23" s="41" t="str">
        <f aca="false">IF($C23="","",SUMIFS(流程1_請假申請!$I$5:$I$64,流程1_請假申請!$D$5:$D$64,$B23,流程1_請假申請!$F$5:$F$64,"喪假",流程1_請假申請!$M$5:$M$64,"已確認",流程1_請假申請!$G$5:$G$64,"&gt;="&amp;DATE(YEAR($B$3),1,1),流程1_請假申請!$G$5:$G$64,"&lt;="&amp;$B$3))</f>
        <v/>
      </c>
      <c r="Y23" s="41" t="str">
        <f aca="false">IF($C23="","",SUMIFS(流程1_請假申請!$I$5:$I$64,流程1_請假申請!$D$5:$D$64,$B23,流程1_請假申請!$F$5:$F$64,"產假",流程1_請假申請!$M$5:$M$64,"已確認",流程1_請假申請!$G$5:$G$64,"&gt;="&amp;DATE(YEAR($B$3),1,1),流程1_請假申請!$G$5:$G$64,"&lt;="&amp;$B$3))</f>
        <v/>
      </c>
      <c r="Z23" s="41" t="str">
        <f aca="false">IF($C23="","",SUMIFS(流程1_請假申請!$I$5:$I$64,流程1_請假申請!$D$5:$D$64,$B23,流程1_請假申請!$F$5:$F$64,"產檢假",流程1_請假申請!$M$5:$M$64,"已確認",流程1_請假申請!$G$5:$G$64,"&gt;="&amp;DATE(YEAR($B$3),1,1),流程1_請假申請!$G$5:$G$64,"&lt;="&amp;$B$3))</f>
        <v/>
      </c>
      <c r="AA23" s="41" t="str">
        <f aca="false">IF($C23="","",SUMIFS(流程1_請假申請!$I$5:$I$64,流程1_請假申請!$D$5:$D$64,$B23,流程1_請假申請!$F$5:$F$64,"陪產檢及陪產假",流程1_請假申請!$M$5:$M$64,"已確認",流程1_請假申請!$G$5:$G$64,"&gt;="&amp;DATE(YEAR($B$3),1,1),流程1_請假申請!$G$5:$G$64,"&lt;="&amp;$B$3))</f>
        <v/>
      </c>
      <c r="AB23" s="41" t="str">
        <f aca="false">IF($C23="","",SUMIFS(流程1_請假申請!$I$5:$I$64,流程1_請假申請!$D$5:$D$64,$B23,流程1_請假申請!$F$5:$F$64,"公傷病假",流程1_請假申請!$M$5:$M$64,"已確認",流程1_請假申請!$G$5:$G$64,"&gt;="&amp;DATE(YEAR($B$3),1,1),流程1_請假申請!$G$5:$G$64,"&lt;="&amp;$B$3))</f>
        <v/>
      </c>
      <c r="AC23" s="41" t="str">
        <f aca="false">IF($C23="","",SUMIFS(流程1_請假申請!$I$5:$I$64,流程1_請假申請!$D$5:$D$64,$B23,流程1_請假申請!$F$5:$F$64,"公假",流程1_請假申請!$M$5:$M$64,"已確認",流程1_請假申請!$G$5:$G$64,"&gt;="&amp;DATE(YEAR($B$3),1,1),流程1_請假申請!$G$5:$G$64,"&lt;="&amp;$B$3))</f>
        <v/>
      </c>
      <c r="AD23" s="41" t="str">
        <f aca="false">IF($C23="","",SUMIFS(流程1_請假申請!$I$5:$I$64,流程1_請假申請!$D$5:$D$64,$B23,流程1_請假申請!$F$5:$F$64,"特別休假",流程1_請假申請!$M$5:$M$64,"已確認",流程1_請假申請!$G$5:$G$64,"&gt;="&amp;DATE(YEAR($B$3),1,1),流程1_請假申請!$G$5:$G$64,"&lt;="&amp;$B$3))</f>
        <v/>
      </c>
      <c r="AE23" s="41" t="str">
        <f aca="false">IF($C23="","",SUMIFS(流程1_請假申請!$I$5:$I$64,流程1_請假申請!$D$5:$D$64,$B23,流程1_請假申請!$F$5:$F$64,"育嬰留職停薪",流程1_請假申請!$M$5:$M$64,"已確認",流程1_請假申請!$G$5:$G$64,"&gt;="&amp;DATE(YEAR($B$3),1,1),流程1_請假申請!$G$5:$G$64,"&lt;="&amp;$B$3))</f>
        <v/>
      </c>
      <c r="AF23" s="41" t="str">
        <f aca="false">IF(C23="","",30-R23)</f>
        <v/>
      </c>
      <c r="AG23" s="41" t="str">
        <f aca="false">IF(C23="","",14-S23)</f>
        <v/>
      </c>
      <c r="AH23" s="40" t="str">
        <f aca="false">IF(C23="","",IF(D23="",DATE(YEAR($B$3)+1,1,1),MIN(DATE(YEAR($B$3)+1,1,1),D23+1)))</f>
        <v/>
      </c>
      <c r="AI23" s="40" t="str">
        <f aca="false">IF(C23="","",MAX(DATE(YEAR($B$3),1,1),MIN(AH23,EDATE(C23,6))))</f>
        <v/>
      </c>
      <c r="AJ23" s="40" t="str">
        <f aca="false">IF(C23="","",MAX(AI23,MIN(AH23,EDATE(C23,12*MAX(1,YEAR($B$3)-YEAR(C23))))))</f>
        <v/>
      </c>
      <c r="AK23" s="34" t="str">
        <f aca="false">IF(C23="","",IF(IF(DATE(YEAR($B$3),1,1)&lt;$C23,0,DATEDIF($C23,DATE(YEAR($B$3),1,1),"m"))&lt;6,0,IF(IF(DATE(YEAR($B$3),1,1)&lt;$C23,0,DATEDIF($C23,DATE(YEAR($B$3),1,1),"m"))&lt;12,6,IF(IF(DATE(YEAR($B$3),1,1)&lt;$C23,0,DATEDIF($C23,DATE(YEAR($B$3),1,1),"m"))&lt;24,7,IF(IF(DATE(YEAR($B$3),1,1)&lt;$C23,0,DATEDIF($C23,DATE(YEAR($B$3),1,1),"m"))&lt;36,10,IF(IF(DATE(YEAR($B$3),1,1)&lt;$C23,0,DATEDIF($C23,DATE(YEAR($B$3),1,1),"m"))&lt;60,14,IF(IF(DATE(YEAR($B$3),1,1)&lt;$C23,0,DATEDIF($C23,DATE(YEAR($B$3),1,1),"m"))&lt;120,15,MIN(30,15+INT(IF(DATE(YEAR($B$3),1,1)&lt;$C23,0,DATEDIF($C23,DATE(YEAR($B$3),1,1),"m"))/12)-9))))))))</f>
        <v/>
      </c>
      <c r="AL23" s="34" t="str">
        <f aca="false">IF(C23="","",IF(IF(AI23&lt;$C23,0,DATEDIF($C23,AI23,"m"))&lt;6,0,IF(IF(AI23&lt;$C23,0,DATEDIF($C23,AI23,"m"))&lt;12,6,IF(IF(AI23&lt;$C23,0,DATEDIF($C23,AI23,"m"))&lt;24,7,IF(IF(AI23&lt;$C23,0,DATEDIF($C23,AI23,"m"))&lt;36,10,IF(IF(AI23&lt;$C23,0,DATEDIF($C23,AI23,"m"))&lt;60,14,IF(IF(AI23&lt;$C23,0,DATEDIF($C23,AI23,"m"))&lt;120,15,MIN(30,15+INT(IF(AI23&lt;$C23,0,DATEDIF($C23,AI23,"m"))/12)-9))))))))</f>
        <v/>
      </c>
      <c r="AM23" s="34" t="str">
        <f aca="false">IF(C23="","",IF(IF(AJ23&lt;$C23,0,DATEDIF($C23,AJ23,"m"))&lt;6,0,IF(IF(AJ23&lt;$C23,0,DATEDIF($C23,AJ23,"m"))&lt;12,6,IF(IF(AJ23&lt;$C23,0,DATEDIF($C23,AJ23,"m"))&lt;24,7,IF(IF(AJ23&lt;$C23,0,DATEDIF($C23,AJ23,"m"))&lt;36,10,IF(IF(AJ23&lt;$C23,0,DATEDIF($C23,AJ23,"m"))&lt;60,14,IF(IF(AJ23&lt;$C23,0,DATEDIF($C23,AJ23,"m"))&lt;120,15,MIN(30,15+INT(IF(AJ23&lt;$C23,0,DATEDIF($C23,AJ23,"m"))/12)-9))))))))</f>
        <v/>
      </c>
      <c r="AN23" s="33" t="str">
        <f aca="false">IF(C23="","",((AI23-DATE(YEAR($B$3),1,1))*AK23+(AJ23-AI23)*AL23+(AH23-AJ23)*AM23)/(DATE(YEAR($B$3)+1,1,1)-DATE(YEAR($B$3),1,1)))</f>
        <v/>
      </c>
    </row>
    <row r="24" customFormat="false" ht="15" hidden="false" customHeight="false" outlineLevel="0" collapsed="false">
      <c r="A24" s="34" t="str">
        <f aca="false">IF(流程1_請假申請!U24="","",流程1_請假申請!T24)</f>
        <v/>
      </c>
      <c r="B24" s="34" t="str">
        <f aca="false">IF(流程1_請假申請!U24="","",流程1_請假申請!U24)</f>
        <v/>
      </c>
      <c r="C24" s="40" t="str">
        <f aca="false">IF(流程1_請假申請!U24="","",流程1_請假申請!W24)</f>
        <v/>
      </c>
      <c r="D24" s="40" t="str">
        <f aca="false">IF(流程1_請假申請!X24="","",流程1_請假申請!X24)</f>
        <v/>
      </c>
      <c r="E24" s="34" t="str">
        <f aca="false">IF(C24="","",IF($B$3&lt;C24,0,DATEDIF(C24,$B$3,"m")))</f>
        <v/>
      </c>
      <c r="F24" s="41" t="str">
        <f aca="false">IF(C24="","",IF(AN24=0,0,CEILING(ROUND(AN24,2),$E$3)))</f>
        <v/>
      </c>
      <c r="G24" s="42"/>
      <c r="H24" s="41" t="str">
        <f aca="false">IF(C24="","",F24+G24)</f>
        <v/>
      </c>
      <c r="I24" s="41" t="str">
        <f aca="false">IF(C24="","",SUMIFS(流程1_請假申請!$I$5:$I$64,流程1_請假申請!$D$5:$D$64,B24,流程1_請假申請!$F$5:$F$64,"特別休假",流程1_請假申請!$M$5:$M$64,"已確認",流程1_請假申請!$G$5:$G$64,"&gt;="&amp;DATE(YEAR($B$3),1,1),流程1_請假申請!$G$5:$G$64,"&lt;="&amp;$B$3))</f>
        <v/>
      </c>
      <c r="J24" s="41" t="str">
        <f aca="false">IF(C24="","",H24-I24)</f>
        <v/>
      </c>
      <c r="K24" s="42"/>
      <c r="L24" s="34" t="str">
        <f aca="false">IF(C24="","",IF(AND(D24&lt;&gt;"",D24&lt;=$B$3),"離職結算",IF(AND(MONTH($B$3)=12,DAY($B$3)=31),"年度結算","")))</f>
        <v/>
      </c>
      <c r="M24" s="41" t="n">
        <f aca="false">IF(OR(C24="",L24=""),0,N(G24)-MIN(N(G24),I24))</f>
        <v>0</v>
      </c>
      <c r="N24" s="41" t="n">
        <f aca="false">IF(OR(C24="",L24=""),0,IF(L24="離職結算",J24-M24,MAX(0,J24-M24-N(K24))))</f>
        <v>0</v>
      </c>
      <c r="O24" s="43" t="str">
        <f aca="false">IF(C24="","",IFERROR(ROUND((INDEX(流程1_月結表!$G$6:$G$8,MATCH(A24,流程1_月結表!$B$6:$B$8,0))+INDEX(流程1_月結表!$H$6:$H$8,MATCH(A24,流程1_月結表!$B$6:$B$8,0))*流程1_參數!$C$7)/流程1_參數!$C$5,2),0))</f>
        <v/>
      </c>
      <c r="P24" s="44"/>
      <c r="Q24" s="43" t="n">
        <f aca="false">IF(OR(C24="",L24=""),0,ROUND(N24*O24+M24*IF(P24="",O24,P24),0))</f>
        <v>0</v>
      </c>
      <c r="R24" s="41" t="str">
        <f aca="false">IF($C24="","",SUMIFS(流程1_請假申請!$I$5:$I$64,流程1_請假申請!$D$5:$D$64,$B24,流程1_請假申請!$F$5:$F$64,"病假（普通傷病假）",流程1_請假申請!$M$5:$M$64,"已確認",流程1_請假申請!$G$5:$G$64,"&gt;="&amp;DATE(YEAR($B$3),1,1),流程1_請假申請!$G$5:$G$64,"&lt;="&amp;$B$3))</f>
        <v/>
      </c>
      <c r="S24" s="41" t="str">
        <f aca="false">IF($C24="","",SUMIFS(流程1_請假申請!$I$5:$I$64,流程1_請假申請!$D$5:$D$64,$B24,流程1_請假申請!$F$5:$F$64,"事假",流程1_請假申請!$M$5:$M$64,"已確認",流程1_請假申請!$G$5:$G$64,"&gt;="&amp;DATE(YEAR($B$3),1,1),流程1_請假申請!$G$5:$G$64,"&lt;="&amp;$B$3))</f>
        <v/>
      </c>
      <c r="T24" s="41" t="str">
        <f aca="false">IF($C24="","",SUMIFS(流程1_請假申請!$I$5:$I$64,流程1_請假申請!$D$5:$D$64,$B24,流程1_請假申請!$F$5:$F$64,"家庭照顧假",流程1_請假申請!$M$5:$M$64,"已確認",流程1_請假申請!$G$5:$G$64,"&gt;="&amp;DATE(YEAR($B$3),1,1),流程1_請假申請!$G$5:$G$64,"&lt;="&amp;$B$3))</f>
        <v/>
      </c>
      <c r="U24" s="41" t="str">
        <f aca="false">IF($C24="","",SUMIFS(流程1_請假申請!$I$5:$I$64,流程1_請假申請!$D$5:$D$64,$B24,流程1_請假申請!$F$5:$F$64,"生理假",流程1_請假申請!$M$5:$M$64,"已確認",流程1_請假申請!$G$5:$G$64,"&gt;="&amp;DATE(YEAR($B$3),1,1),流程1_請假申請!$G$5:$G$64,"&lt;="&amp;$B$3))</f>
        <v/>
      </c>
      <c r="V24" s="41" t="str">
        <f aca="false">IF($C24="","",SUMIFS(流程1_請假申請!$I$5:$I$64,流程1_請假申請!$D$5:$D$64,$B24,流程1_請假申請!$F$5:$F$64,"安胎休養假",流程1_請假申請!$M$5:$M$64,"已確認",流程1_請假申請!$G$5:$G$64,"&gt;="&amp;DATE(YEAR($B$3),1,1),流程1_請假申請!$G$5:$G$64,"&lt;="&amp;$B$3))</f>
        <v/>
      </c>
      <c r="W24" s="41" t="str">
        <f aca="false">IF($C24="","",SUMIFS(流程1_請假申請!$I$5:$I$64,流程1_請假申請!$D$5:$D$64,$B24,流程1_請假申請!$F$5:$F$64,"婚假",流程1_請假申請!$M$5:$M$64,"已確認",流程1_請假申請!$G$5:$G$64,"&gt;="&amp;DATE(YEAR($B$3),1,1),流程1_請假申請!$G$5:$G$64,"&lt;="&amp;$B$3))</f>
        <v/>
      </c>
      <c r="X24" s="41" t="str">
        <f aca="false">IF($C24="","",SUMIFS(流程1_請假申請!$I$5:$I$64,流程1_請假申請!$D$5:$D$64,$B24,流程1_請假申請!$F$5:$F$64,"喪假",流程1_請假申請!$M$5:$M$64,"已確認",流程1_請假申請!$G$5:$G$64,"&gt;="&amp;DATE(YEAR($B$3),1,1),流程1_請假申請!$G$5:$G$64,"&lt;="&amp;$B$3))</f>
        <v/>
      </c>
      <c r="Y24" s="41" t="str">
        <f aca="false">IF($C24="","",SUMIFS(流程1_請假申請!$I$5:$I$64,流程1_請假申請!$D$5:$D$64,$B24,流程1_請假申請!$F$5:$F$64,"產假",流程1_請假申請!$M$5:$M$64,"已確認",流程1_請假申請!$G$5:$G$64,"&gt;="&amp;DATE(YEAR($B$3),1,1),流程1_請假申請!$G$5:$G$64,"&lt;="&amp;$B$3))</f>
        <v/>
      </c>
      <c r="Z24" s="41" t="str">
        <f aca="false">IF($C24="","",SUMIFS(流程1_請假申請!$I$5:$I$64,流程1_請假申請!$D$5:$D$64,$B24,流程1_請假申請!$F$5:$F$64,"產檢假",流程1_請假申請!$M$5:$M$64,"已確認",流程1_請假申請!$G$5:$G$64,"&gt;="&amp;DATE(YEAR($B$3),1,1),流程1_請假申請!$G$5:$G$64,"&lt;="&amp;$B$3))</f>
        <v/>
      </c>
      <c r="AA24" s="41" t="str">
        <f aca="false">IF($C24="","",SUMIFS(流程1_請假申請!$I$5:$I$64,流程1_請假申請!$D$5:$D$64,$B24,流程1_請假申請!$F$5:$F$64,"陪產檢及陪產假",流程1_請假申請!$M$5:$M$64,"已確認",流程1_請假申請!$G$5:$G$64,"&gt;="&amp;DATE(YEAR($B$3),1,1),流程1_請假申請!$G$5:$G$64,"&lt;="&amp;$B$3))</f>
        <v/>
      </c>
      <c r="AB24" s="41" t="str">
        <f aca="false">IF($C24="","",SUMIFS(流程1_請假申請!$I$5:$I$64,流程1_請假申請!$D$5:$D$64,$B24,流程1_請假申請!$F$5:$F$64,"公傷病假",流程1_請假申請!$M$5:$M$64,"已確認",流程1_請假申請!$G$5:$G$64,"&gt;="&amp;DATE(YEAR($B$3),1,1),流程1_請假申請!$G$5:$G$64,"&lt;="&amp;$B$3))</f>
        <v/>
      </c>
      <c r="AC24" s="41" t="str">
        <f aca="false">IF($C24="","",SUMIFS(流程1_請假申請!$I$5:$I$64,流程1_請假申請!$D$5:$D$64,$B24,流程1_請假申請!$F$5:$F$64,"公假",流程1_請假申請!$M$5:$M$64,"已確認",流程1_請假申請!$G$5:$G$64,"&gt;="&amp;DATE(YEAR($B$3),1,1),流程1_請假申請!$G$5:$G$64,"&lt;="&amp;$B$3))</f>
        <v/>
      </c>
      <c r="AD24" s="41" t="str">
        <f aca="false">IF($C24="","",SUMIFS(流程1_請假申請!$I$5:$I$64,流程1_請假申請!$D$5:$D$64,$B24,流程1_請假申請!$F$5:$F$64,"特別休假",流程1_請假申請!$M$5:$M$64,"已確認",流程1_請假申請!$G$5:$G$64,"&gt;="&amp;DATE(YEAR($B$3),1,1),流程1_請假申請!$G$5:$G$64,"&lt;="&amp;$B$3))</f>
        <v/>
      </c>
      <c r="AE24" s="41" t="str">
        <f aca="false">IF($C24="","",SUMIFS(流程1_請假申請!$I$5:$I$64,流程1_請假申請!$D$5:$D$64,$B24,流程1_請假申請!$F$5:$F$64,"育嬰留職停薪",流程1_請假申請!$M$5:$M$64,"已確認",流程1_請假申請!$G$5:$G$64,"&gt;="&amp;DATE(YEAR($B$3),1,1),流程1_請假申請!$G$5:$G$64,"&lt;="&amp;$B$3))</f>
        <v/>
      </c>
      <c r="AF24" s="41" t="str">
        <f aca="false">IF(C24="","",30-R24)</f>
        <v/>
      </c>
      <c r="AG24" s="41" t="str">
        <f aca="false">IF(C24="","",14-S24)</f>
        <v/>
      </c>
      <c r="AH24" s="40" t="str">
        <f aca="false">IF(C24="","",IF(D24="",DATE(YEAR($B$3)+1,1,1),MIN(DATE(YEAR($B$3)+1,1,1),D24+1)))</f>
        <v/>
      </c>
      <c r="AI24" s="40" t="str">
        <f aca="false">IF(C24="","",MAX(DATE(YEAR($B$3),1,1),MIN(AH24,EDATE(C24,6))))</f>
        <v/>
      </c>
      <c r="AJ24" s="40" t="str">
        <f aca="false">IF(C24="","",MAX(AI24,MIN(AH24,EDATE(C24,12*MAX(1,YEAR($B$3)-YEAR(C24))))))</f>
        <v/>
      </c>
      <c r="AK24" s="34" t="str">
        <f aca="false">IF(C24="","",IF(IF(DATE(YEAR($B$3),1,1)&lt;$C24,0,DATEDIF($C24,DATE(YEAR($B$3),1,1),"m"))&lt;6,0,IF(IF(DATE(YEAR($B$3),1,1)&lt;$C24,0,DATEDIF($C24,DATE(YEAR($B$3),1,1),"m"))&lt;12,6,IF(IF(DATE(YEAR($B$3),1,1)&lt;$C24,0,DATEDIF($C24,DATE(YEAR($B$3),1,1),"m"))&lt;24,7,IF(IF(DATE(YEAR($B$3),1,1)&lt;$C24,0,DATEDIF($C24,DATE(YEAR($B$3),1,1),"m"))&lt;36,10,IF(IF(DATE(YEAR($B$3),1,1)&lt;$C24,0,DATEDIF($C24,DATE(YEAR($B$3),1,1),"m"))&lt;60,14,IF(IF(DATE(YEAR($B$3),1,1)&lt;$C24,0,DATEDIF($C24,DATE(YEAR($B$3),1,1),"m"))&lt;120,15,MIN(30,15+INT(IF(DATE(YEAR($B$3),1,1)&lt;$C24,0,DATEDIF($C24,DATE(YEAR($B$3),1,1),"m"))/12)-9))))))))</f>
        <v/>
      </c>
      <c r="AL24" s="34" t="str">
        <f aca="false">IF(C24="","",IF(IF(AI24&lt;$C24,0,DATEDIF($C24,AI24,"m"))&lt;6,0,IF(IF(AI24&lt;$C24,0,DATEDIF($C24,AI24,"m"))&lt;12,6,IF(IF(AI24&lt;$C24,0,DATEDIF($C24,AI24,"m"))&lt;24,7,IF(IF(AI24&lt;$C24,0,DATEDIF($C24,AI24,"m"))&lt;36,10,IF(IF(AI24&lt;$C24,0,DATEDIF($C24,AI24,"m"))&lt;60,14,IF(IF(AI24&lt;$C24,0,DATEDIF($C24,AI24,"m"))&lt;120,15,MIN(30,15+INT(IF(AI24&lt;$C24,0,DATEDIF($C24,AI24,"m"))/12)-9))))))))</f>
        <v/>
      </c>
      <c r="AM24" s="34" t="str">
        <f aca="false">IF(C24="","",IF(IF(AJ24&lt;$C24,0,DATEDIF($C24,AJ24,"m"))&lt;6,0,IF(IF(AJ24&lt;$C24,0,DATEDIF($C24,AJ24,"m"))&lt;12,6,IF(IF(AJ24&lt;$C24,0,DATEDIF($C24,AJ24,"m"))&lt;24,7,IF(IF(AJ24&lt;$C24,0,DATEDIF($C24,AJ24,"m"))&lt;36,10,IF(IF(AJ24&lt;$C24,0,DATEDIF($C24,AJ24,"m"))&lt;60,14,IF(IF(AJ24&lt;$C24,0,DATEDIF($C24,AJ24,"m"))&lt;120,15,MIN(30,15+INT(IF(AJ24&lt;$C24,0,DATEDIF($C24,AJ24,"m"))/12)-9))))))))</f>
        <v/>
      </c>
      <c r="AN24" s="33" t="str">
        <f aca="false">IF(C24="","",((AI24-DATE(YEAR($B$3),1,1))*AK24+(AJ24-AI24)*AL24+(AH24-AJ24)*AM24)/(DATE(YEAR($B$3)+1,1,1)-DATE(YEAR($B$3),1,1)))</f>
        <v/>
      </c>
    </row>
    <row r="25" customFormat="false" ht="15" hidden="false" customHeight="false" outlineLevel="0" collapsed="false">
      <c r="A25" s="34" t="str">
        <f aca="false">IF(流程1_請假申請!U25="","",流程1_請假申請!T25)</f>
        <v/>
      </c>
      <c r="B25" s="34" t="str">
        <f aca="false">IF(流程1_請假申請!U25="","",流程1_請假申請!U25)</f>
        <v/>
      </c>
      <c r="C25" s="40" t="str">
        <f aca="false">IF(流程1_請假申請!U25="","",流程1_請假申請!W25)</f>
        <v/>
      </c>
      <c r="D25" s="40" t="str">
        <f aca="false">IF(流程1_請假申請!X25="","",流程1_請假申請!X25)</f>
        <v/>
      </c>
      <c r="E25" s="34" t="str">
        <f aca="false">IF(C25="","",IF($B$3&lt;C25,0,DATEDIF(C25,$B$3,"m")))</f>
        <v/>
      </c>
      <c r="F25" s="41" t="str">
        <f aca="false">IF(C25="","",IF(AN25=0,0,CEILING(ROUND(AN25,2),$E$3)))</f>
        <v/>
      </c>
      <c r="G25" s="42"/>
      <c r="H25" s="41" t="str">
        <f aca="false">IF(C25="","",F25+G25)</f>
        <v/>
      </c>
      <c r="I25" s="41" t="str">
        <f aca="false">IF(C25="","",SUMIFS(流程1_請假申請!$I$5:$I$64,流程1_請假申請!$D$5:$D$64,B25,流程1_請假申請!$F$5:$F$64,"特別休假",流程1_請假申請!$M$5:$M$64,"已確認",流程1_請假申請!$G$5:$G$64,"&gt;="&amp;DATE(YEAR($B$3),1,1),流程1_請假申請!$G$5:$G$64,"&lt;="&amp;$B$3))</f>
        <v/>
      </c>
      <c r="J25" s="41" t="str">
        <f aca="false">IF(C25="","",H25-I25)</f>
        <v/>
      </c>
      <c r="K25" s="42"/>
      <c r="L25" s="34" t="str">
        <f aca="false">IF(C25="","",IF(AND(D25&lt;&gt;"",D25&lt;=$B$3),"離職結算",IF(AND(MONTH($B$3)=12,DAY($B$3)=31),"年度結算","")))</f>
        <v/>
      </c>
      <c r="M25" s="41" t="n">
        <f aca="false">IF(OR(C25="",L25=""),0,N(G25)-MIN(N(G25),I25))</f>
        <v>0</v>
      </c>
      <c r="N25" s="41" t="n">
        <f aca="false">IF(OR(C25="",L25=""),0,IF(L25="離職結算",J25-M25,MAX(0,J25-M25-N(K25))))</f>
        <v>0</v>
      </c>
      <c r="O25" s="43" t="str">
        <f aca="false">IF(C25="","",IFERROR(ROUND((INDEX(流程1_月結表!$G$6:$G$8,MATCH(A25,流程1_月結表!$B$6:$B$8,0))+INDEX(流程1_月結表!$H$6:$H$8,MATCH(A25,流程1_月結表!$B$6:$B$8,0))*流程1_參數!$C$7)/流程1_參數!$C$5,2),0))</f>
        <v/>
      </c>
      <c r="P25" s="44"/>
      <c r="Q25" s="43" t="n">
        <f aca="false">IF(OR(C25="",L25=""),0,ROUND(N25*O25+M25*IF(P25="",O25,P25),0))</f>
        <v>0</v>
      </c>
      <c r="R25" s="41" t="str">
        <f aca="false">IF($C25="","",SUMIFS(流程1_請假申請!$I$5:$I$64,流程1_請假申請!$D$5:$D$64,$B25,流程1_請假申請!$F$5:$F$64,"病假（普通傷病假）",流程1_請假申請!$M$5:$M$64,"已確認",流程1_請假申請!$G$5:$G$64,"&gt;="&amp;DATE(YEAR($B$3),1,1),流程1_請假申請!$G$5:$G$64,"&lt;="&amp;$B$3))</f>
        <v/>
      </c>
      <c r="S25" s="41" t="str">
        <f aca="false">IF($C25="","",SUMIFS(流程1_請假申請!$I$5:$I$64,流程1_請假申請!$D$5:$D$64,$B25,流程1_請假申請!$F$5:$F$64,"事假",流程1_請假申請!$M$5:$M$64,"已確認",流程1_請假申請!$G$5:$G$64,"&gt;="&amp;DATE(YEAR($B$3),1,1),流程1_請假申請!$G$5:$G$64,"&lt;="&amp;$B$3))</f>
        <v/>
      </c>
      <c r="T25" s="41" t="str">
        <f aca="false">IF($C25="","",SUMIFS(流程1_請假申請!$I$5:$I$64,流程1_請假申請!$D$5:$D$64,$B25,流程1_請假申請!$F$5:$F$64,"家庭照顧假",流程1_請假申請!$M$5:$M$64,"已確認",流程1_請假申請!$G$5:$G$64,"&gt;="&amp;DATE(YEAR($B$3),1,1),流程1_請假申請!$G$5:$G$64,"&lt;="&amp;$B$3))</f>
        <v/>
      </c>
      <c r="U25" s="41" t="str">
        <f aca="false">IF($C25="","",SUMIFS(流程1_請假申請!$I$5:$I$64,流程1_請假申請!$D$5:$D$64,$B25,流程1_請假申請!$F$5:$F$64,"生理假",流程1_請假申請!$M$5:$M$64,"已確認",流程1_請假申請!$G$5:$G$64,"&gt;="&amp;DATE(YEAR($B$3),1,1),流程1_請假申請!$G$5:$G$64,"&lt;="&amp;$B$3))</f>
        <v/>
      </c>
      <c r="V25" s="41" t="str">
        <f aca="false">IF($C25="","",SUMIFS(流程1_請假申請!$I$5:$I$64,流程1_請假申請!$D$5:$D$64,$B25,流程1_請假申請!$F$5:$F$64,"安胎休養假",流程1_請假申請!$M$5:$M$64,"已確認",流程1_請假申請!$G$5:$G$64,"&gt;="&amp;DATE(YEAR($B$3),1,1),流程1_請假申請!$G$5:$G$64,"&lt;="&amp;$B$3))</f>
        <v/>
      </c>
      <c r="W25" s="41" t="str">
        <f aca="false">IF($C25="","",SUMIFS(流程1_請假申請!$I$5:$I$64,流程1_請假申請!$D$5:$D$64,$B25,流程1_請假申請!$F$5:$F$64,"婚假",流程1_請假申請!$M$5:$M$64,"已確認",流程1_請假申請!$G$5:$G$64,"&gt;="&amp;DATE(YEAR($B$3),1,1),流程1_請假申請!$G$5:$G$64,"&lt;="&amp;$B$3))</f>
        <v/>
      </c>
      <c r="X25" s="41" t="str">
        <f aca="false">IF($C25="","",SUMIFS(流程1_請假申請!$I$5:$I$64,流程1_請假申請!$D$5:$D$64,$B25,流程1_請假申請!$F$5:$F$64,"喪假",流程1_請假申請!$M$5:$M$64,"已確認",流程1_請假申請!$G$5:$G$64,"&gt;="&amp;DATE(YEAR($B$3),1,1),流程1_請假申請!$G$5:$G$64,"&lt;="&amp;$B$3))</f>
        <v/>
      </c>
      <c r="Y25" s="41" t="str">
        <f aca="false">IF($C25="","",SUMIFS(流程1_請假申請!$I$5:$I$64,流程1_請假申請!$D$5:$D$64,$B25,流程1_請假申請!$F$5:$F$64,"產假",流程1_請假申請!$M$5:$M$64,"已確認",流程1_請假申請!$G$5:$G$64,"&gt;="&amp;DATE(YEAR($B$3),1,1),流程1_請假申請!$G$5:$G$64,"&lt;="&amp;$B$3))</f>
        <v/>
      </c>
      <c r="Z25" s="41" t="str">
        <f aca="false">IF($C25="","",SUMIFS(流程1_請假申請!$I$5:$I$64,流程1_請假申請!$D$5:$D$64,$B25,流程1_請假申請!$F$5:$F$64,"產檢假",流程1_請假申請!$M$5:$M$64,"已確認",流程1_請假申請!$G$5:$G$64,"&gt;="&amp;DATE(YEAR($B$3),1,1),流程1_請假申請!$G$5:$G$64,"&lt;="&amp;$B$3))</f>
        <v/>
      </c>
      <c r="AA25" s="41" t="str">
        <f aca="false">IF($C25="","",SUMIFS(流程1_請假申請!$I$5:$I$64,流程1_請假申請!$D$5:$D$64,$B25,流程1_請假申請!$F$5:$F$64,"陪產檢及陪產假",流程1_請假申請!$M$5:$M$64,"已確認",流程1_請假申請!$G$5:$G$64,"&gt;="&amp;DATE(YEAR($B$3),1,1),流程1_請假申請!$G$5:$G$64,"&lt;="&amp;$B$3))</f>
        <v/>
      </c>
      <c r="AB25" s="41" t="str">
        <f aca="false">IF($C25="","",SUMIFS(流程1_請假申請!$I$5:$I$64,流程1_請假申請!$D$5:$D$64,$B25,流程1_請假申請!$F$5:$F$64,"公傷病假",流程1_請假申請!$M$5:$M$64,"已確認",流程1_請假申請!$G$5:$G$64,"&gt;="&amp;DATE(YEAR($B$3),1,1),流程1_請假申請!$G$5:$G$64,"&lt;="&amp;$B$3))</f>
        <v/>
      </c>
      <c r="AC25" s="41" t="str">
        <f aca="false">IF($C25="","",SUMIFS(流程1_請假申請!$I$5:$I$64,流程1_請假申請!$D$5:$D$64,$B25,流程1_請假申請!$F$5:$F$64,"公假",流程1_請假申請!$M$5:$M$64,"已確認",流程1_請假申請!$G$5:$G$64,"&gt;="&amp;DATE(YEAR($B$3),1,1),流程1_請假申請!$G$5:$G$64,"&lt;="&amp;$B$3))</f>
        <v/>
      </c>
      <c r="AD25" s="41" t="str">
        <f aca="false">IF($C25="","",SUMIFS(流程1_請假申請!$I$5:$I$64,流程1_請假申請!$D$5:$D$64,$B25,流程1_請假申請!$F$5:$F$64,"特別休假",流程1_請假申請!$M$5:$M$64,"已確認",流程1_請假申請!$G$5:$G$64,"&gt;="&amp;DATE(YEAR($B$3),1,1),流程1_請假申請!$G$5:$G$64,"&lt;="&amp;$B$3))</f>
        <v/>
      </c>
      <c r="AE25" s="41" t="str">
        <f aca="false">IF($C25="","",SUMIFS(流程1_請假申請!$I$5:$I$64,流程1_請假申請!$D$5:$D$64,$B25,流程1_請假申請!$F$5:$F$64,"育嬰留職停薪",流程1_請假申請!$M$5:$M$64,"已確認",流程1_請假申請!$G$5:$G$64,"&gt;="&amp;DATE(YEAR($B$3),1,1),流程1_請假申請!$G$5:$G$64,"&lt;="&amp;$B$3))</f>
        <v/>
      </c>
      <c r="AF25" s="41" t="str">
        <f aca="false">IF(C25="","",30-R25)</f>
        <v/>
      </c>
      <c r="AG25" s="41" t="str">
        <f aca="false">IF(C25="","",14-S25)</f>
        <v/>
      </c>
      <c r="AH25" s="40" t="str">
        <f aca="false">IF(C25="","",IF(D25="",DATE(YEAR($B$3)+1,1,1),MIN(DATE(YEAR($B$3)+1,1,1),D25+1)))</f>
        <v/>
      </c>
      <c r="AI25" s="40" t="str">
        <f aca="false">IF(C25="","",MAX(DATE(YEAR($B$3),1,1),MIN(AH25,EDATE(C25,6))))</f>
        <v/>
      </c>
      <c r="AJ25" s="40" t="str">
        <f aca="false">IF(C25="","",MAX(AI25,MIN(AH25,EDATE(C25,12*MAX(1,YEAR($B$3)-YEAR(C25))))))</f>
        <v/>
      </c>
      <c r="AK25" s="34" t="str">
        <f aca="false">IF(C25="","",IF(IF(DATE(YEAR($B$3),1,1)&lt;$C25,0,DATEDIF($C25,DATE(YEAR($B$3),1,1),"m"))&lt;6,0,IF(IF(DATE(YEAR($B$3),1,1)&lt;$C25,0,DATEDIF($C25,DATE(YEAR($B$3),1,1),"m"))&lt;12,6,IF(IF(DATE(YEAR($B$3),1,1)&lt;$C25,0,DATEDIF($C25,DATE(YEAR($B$3),1,1),"m"))&lt;24,7,IF(IF(DATE(YEAR($B$3),1,1)&lt;$C25,0,DATEDIF($C25,DATE(YEAR($B$3),1,1),"m"))&lt;36,10,IF(IF(DATE(YEAR($B$3),1,1)&lt;$C25,0,DATEDIF($C25,DATE(YEAR($B$3),1,1),"m"))&lt;60,14,IF(IF(DATE(YEAR($B$3),1,1)&lt;$C25,0,DATEDIF($C25,DATE(YEAR($B$3),1,1),"m"))&lt;120,15,MIN(30,15+INT(IF(DATE(YEAR($B$3),1,1)&lt;$C25,0,DATEDIF($C25,DATE(YEAR($B$3),1,1),"m"))/12)-9))))))))</f>
        <v/>
      </c>
      <c r="AL25" s="34" t="str">
        <f aca="false">IF(C25="","",IF(IF(AI25&lt;$C25,0,DATEDIF($C25,AI25,"m"))&lt;6,0,IF(IF(AI25&lt;$C25,0,DATEDIF($C25,AI25,"m"))&lt;12,6,IF(IF(AI25&lt;$C25,0,DATEDIF($C25,AI25,"m"))&lt;24,7,IF(IF(AI25&lt;$C25,0,DATEDIF($C25,AI25,"m"))&lt;36,10,IF(IF(AI25&lt;$C25,0,DATEDIF($C25,AI25,"m"))&lt;60,14,IF(IF(AI25&lt;$C25,0,DATEDIF($C25,AI25,"m"))&lt;120,15,MIN(30,15+INT(IF(AI25&lt;$C25,0,DATEDIF($C25,AI25,"m"))/12)-9))))))))</f>
        <v/>
      </c>
      <c r="AM25" s="34" t="str">
        <f aca="false">IF(C25="","",IF(IF(AJ25&lt;$C25,0,DATEDIF($C25,AJ25,"m"))&lt;6,0,IF(IF(AJ25&lt;$C25,0,DATEDIF($C25,AJ25,"m"))&lt;12,6,IF(IF(AJ25&lt;$C25,0,DATEDIF($C25,AJ25,"m"))&lt;24,7,IF(IF(AJ25&lt;$C25,0,DATEDIF($C25,AJ25,"m"))&lt;36,10,IF(IF(AJ25&lt;$C25,0,DATEDIF($C25,AJ25,"m"))&lt;60,14,IF(IF(AJ25&lt;$C25,0,DATEDIF($C25,AJ25,"m"))&lt;120,15,MIN(30,15+INT(IF(AJ25&lt;$C25,0,DATEDIF($C25,AJ25,"m"))/12)-9))))))))</f>
        <v/>
      </c>
      <c r="AN25" s="33" t="str">
        <f aca="false">IF(C25="","",((AI25-DATE(YEAR($B$3),1,1))*AK25+(AJ25-AI25)*AL25+(AH25-AJ25)*AM25)/(DATE(YEAR($B$3)+1,1,1)-DATE(YEAR($B$3),1,1)))</f>
        <v/>
      </c>
    </row>
    <row r="26" customFormat="false" ht="15" hidden="false" customHeight="false" outlineLevel="0" collapsed="false">
      <c r="A26" s="34" t="str">
        <f aca="false">IF(流程1_請假申請!U26="","",流程1_請假申請!T26)</f>
        <v/>
      </c>
      <c r="B26" s="34" t="str">
        <f aca="false">IF(流程1_請假申請!U26="","",流程1_請假申請!U26)</f>
        <v/>
      </c>
      <c r="C26" s="40" t="str">
        <f aca="false">IF(流程1_請假申請!U26="","",流程1_請假申請!W26)</f>
        <v/>
      </c>
      <c r="D26" s="40" t="str">
        <f aca="false">IF(流程1_請假申請!X26="","",流程1_請假申請!X26)</f>
        <v/>
      </c>
      <c r="E26" s="34" t="str">
        <f aca="false">IF(C26="","",IF($B$3&lt;C26,0,DATEDIF(C26,$B$3,"m")))</f>
        <v/>
      </c>
      <c r="F26" s="41" t="str">
        <f aca="false">IF(C26="","",IF(AN26=0,0,CEILING(ROUND(AN26,2),$E$3)))</f>
        <v/>
      </c>
      <c r="G26" s="42"/>
      <c r="H26" s="41" t="str">
        <f aca="false">IF(C26="","",F26+G26)</f>
        <v/>
      </c>
      <c r="I26" s="41" t="str">
        <f aca="false">IF(C26="","",SUMIFS(流程1_請假申請!$I$5:$I$64,流程1_請假申請!$D$5:$D$64,B26,流程1_請假申請!$F$5:$F$64,"特別休假",流程1_請假申請!$M$5:$M$64,"已確認",流程1_請假申請!$G$5:$G$64,"&gt;="&amp;DATE(YEAR($B$3),1,1),流程1_請假申請!$G$5:$G$64,"&lt;="&amp;$B$3))</f>
        <v/>
      </c>
      <c r="J26" s="41" t="str">
        <f aca="false">IF(C26="","",H26-I26)</f>
        <v/>
      </c>
      <c r="K26" s="42"/>
      <c r="L26" s="34" t="str">
        <f aca="false">IF(C26="","",IF(AND(D26&lt;&gt;"",D26&lt;=$B$3),"離職結算",IF(AND(MONTH($B$3)=12,DAY($B$3)=31),"年度結算","")))</f>
        <v/>
      </c>
      <c r="M26" s="41" t="n">
        <f aca="false">IF(OR(C26="",L26=""),0,N(G26)-MIN(N(G26),I26))</f>
        <v>0</v>
      </c>
      <c r="N26" s="41" t="n">
        <f aca="false">IF(OR(C26="",L26=""),0,IF(L26="離職結算",J26-M26,MAX(0,J26-M26-N(K26))))</f>
        <v>0</v>
      </c>
      <c r="O26" s="43" t="str">
        <f aca="false">IF(C26="","",IFERROR(ROUND((INDEX(流程1_月結表!$G$6:$G$8,MATCH(A26,流程1_月結表!$B$6:$B$8,0))+INDEX(流程1_月結表!$H$6:$H$8,MATCH(A26,流程1_月結表!$B$6:$B$8,0))*流程1_參數!$C$7)/流程1_參數!$C$5,2),0))</f>
        <v/>
      </c>
      <c r="P26" s="44"/>
      <c r="Q26" s="43" t="n">
        <f aca="false">IF(OR(C26="",L26=""),0,ROUND(N26*O26+M26*IF(P26="",O26,P26),0))</f>
        <v>0</v>
      </c>
      <c r="R26" s="41" t="str">
        <f aca="false">IF($C26="","",SUMIFS(流程1_請假申請!$I$5:$I$64,流程1_請假申請!$D$5:$D$64,$B26,流程1_請假申請!$F$5:$F$64,"病假（普通傷病假）",流程1_請假申請!$M$5:$M$64,"已確認",流程1_請假申請!$G$5:$G$64,"&gt;="&amp;DATE(YEAR($B$3),1,1),流程1_請假申請!$G$5:$G$64,"&lt;="&amp;$B$3))</f>
        <v/>
      </c>
      <c r="S26" s="41" t="str">
        <f aca="false">IF($C26="","",SUMIFS(流程1_請假申請!$I$5:$I$64,流程1_請假申請!$D$5:$D$64,$B26,流程1_請假申請!$F$5:$F$64,"事假",流程1_請假申請!$M$5:$M$64,"已確認",流程1_請假申請!$G$5:$G$64,"&gt;="&amp;DATE(YEAR($B$3),1,1),流程1_請假申請!$G$5:$G$64,"&lt;="&amp;$B$3))</f>
        <v/>
      </c>
      <c r="T26" s="41" t="str">
        <f aca="false">IF($C26="","",SUMIFS(流程1_請假申請!$I$5:$I$64,流程1_請假申請!$D$5:$D$64,$B26,流程1_請假申請!$F$5:$F$64,"家庭照顧假",流程1_請假申請!$M$5:$M$64,"已確認",流程1_請假申請!$G$5:$G$64,"&gt;="&amp;DATE(YEAR($B$3),1,1),流程1_請假申請!$G$5:$G$64,"&lt;="&amp;$B$3))</f>
        <v/>
      </c>
      <c r="U26" s="41" t="str">
        <f aca="false">IF($C26="","",SUMIFS(流程1_請假申請!$I$5:$I$64,流程1_請假申請!$D$5:$D$64,$B26,流程1_請假申請!$F$5:$F$64,"生理假",流程1_請假申請!$M$5:$M$64,"已確認",流程1_請假申請!$G$5:$G$64,"&gt;="&amp;DATE(YEAR($B$3),1,1),流程1_請假申請!$G$5:$G$64,"&lt;="&amp;$B$3))</f>
        <v/>
      </c>
      <c r="V26" s="41" t="str">
        <f aca="false">IF($C26="","",SUMIFS(流程1_請假申請!$I$5:$I$64,流程1_請假申請!$D$5:$D$64,$B26,流程1_請假申請!$F$5:$F$64,"安胎休養假",流程1_請假申請!$M$5:$M$64,"已確認",流程1_請假申請!$G$5:$G$64,"&gt;="&amp;DATE(YEAR($B$3),1,1),流程1_請假申請!$G$5:$G$64,"&lt;="&amp;$B$3))</f>
        <v/>
      </c>
      <c r="W26" s="41" t="str">
        <f aca="false">IF($C26="","",SUMIFS(流程1_請假申請!$I$5:$I$64,流程1_請假申請!$D$5:$D$64,$B26,流程1_請假申請!$F$5:$F$64,"婚假",流程1_請假申請!$M$5:$M$64,"已確認",流程1_請假申請!$G$5:$G$64,"&gt;="&amp;DATE(YEAR($B$3),1,1),流程1_請假申請!$G$5:$G$64,"&lt;="&amp;$B$3))</f>
        <v/>
      </c>
      <c r="X26" s="41" t="str">
        <f aca="false">IF($C26="","",SUMIFS(流程1_請假申請!$I$5:$I$64,流程1_請假申請!$D$5:$D$64,$B26,流程1_請假申請!$F$5:$F$64,"喪假",流程1_請假申請!$M$5:$M$64,"已確認",流程1_請假申請!$G$5:$G$64,"&gt;="&amp;DATE(YEAR($B$3),1,1),流程1_請假申請!$G$5:$G$64,"&lt;="&amp;$B$3))</f>
        <v/>
      </c>
      <c r="Y26" s="41" t="str">
        <f aca="false">IF($C26="","",SUMIFS(流程1_請假申請!$I$5:$I$64,流程1_請假申請!$D$5:$D$64,$B26,流程1_請假申請!$F$5:$F$64,"產假",流程1_請假申請!$M$5:$M$64,"已確認",流程1_請假申請!$G$5:$G$64,"&gt;="&amp;DATE(YEAR($B$3),1,1),流程1_請假申請!$G$5:$G$64,"&lt;="&amp;$B$3))</f>
        <v/>
      </c>
      <c r="Z26" s="41" t="str">
        <f aca="false">IF($C26="","",SUMIFS(流程1_請假申請!$I$5:$I$64,流程1_請假申請!$D$5:$D$64,$B26,流程1_請假申請!$F$5:$F$64,"產檢假",流程1_請假申請!$M$5:$M$64,"已確認",流程1_請假申請!$G$5:$G$64,"&gt;="&amp;DATE(YEAR($B$3),1,1),流程1_請假申請!$G$5:$G$64,"&lt;="&amp;$B$3))</f>
        <v/>
      </c>
      <c r="AA26" s="41" t="str">
        <f aca="false">IF($C26="","",SUMIFS(流程1_請假申請!$I$5:$I$64,流程1_請假申請!$D$5:$D$64,$B26,流程1_請假申請!$F$5:$F$64,"陪產檢及陪產假",流程1_請假申請!$M$5:$M$64,"已確認",流程1_請假申請!$G$5:$G$64,"&gt;="&amp;DATE(YEAR($B$3),1,1),流程1_請假申請!$G$5:$G$64,"&lt;="&amp;$B$3))</f>
        <v/>
      </c>
      <c r="AB26" s="41" t="str">
        <f aca="false">IF($C26="","",SUMIFS(流程1_請假申請!$I$5:$I$64,流程1_請假申請!$D$5:$D$64,$B26,流程1_請假申請!$F$5:$F$64,"公傷病假",流程1_請假申請!$M$5:$M$64,"已確認",流程1_請假申請!$G$5:$G$64,"&gt;="&amp;DATE(YEAR($B$3),1,1),流程1_請假申請!$G$5:$G$64,"&lt;="&amp;$B$3))</f>
        <v/>
      </c>
      <c r="AC26" s="41" t="str">
        <f aca="false">IF($C26="","",SUMIFS(流程1_請假申請!$I$5:$I$64,流程1_請假申請!$D$5:$D$64,$B26,流程1_請假申請!$F$5:$F$64,"公假",流程1_請假申請!$M$5:$M$64,"已確認",流程1_請假申請!$G$5:$G$64,"&gt;="&amp;DATE(YEAR($B$3),1,1),流程1_請假申請!$G$5:$G$64,"&lt;="&amp;$B$3))</f>
        <v/>
      </c>
      <c r="AD26" s="41" t="str">
        <f aca="false">IF($C26="","",SUMIFS(流程1_請假申請!$I$5:$I$64,流程1_請假申請!$D$5:$D$64,$B26,流程1_請假申請!$F$5:$F$64,"特別休假",流程1_請假申請!$M$5:$M$64,"已確認",流程1_請假申請!$G$5:$G$64,"&gt;="&amp;DATE(YEAR($B$3),1,1),流程1_請假申請!$G$5:$G$64,"&lt;="&amp;$B$3))</f>
        <v/>
      </c>
      <c r="AE26" s="41" t="str">
        <f aca="false">IF($C26="","",SUMIFS(流程1_請假申請!$I$5:$I$64,流程1_請假申請!$D$5:$D$64,$B26,流程1_請假申請!$F$5:$F$64,"育嬰留職停薪",流程1_請假申請!$M$5:$M$64,"已確認",流程1_請假申請!$G$5:$G$64,"&gt;="&amp;DATE(YEAR($B$3),1,1),流程1_請假申請!$G$5:$G$64,"&lt;="&amp;$B$3))</f>
        <v/>
      </c>
      <c r="AF26" s="41" t="str">
        <f aca="false">IF(C26="","",30-R26)</f>
        <v/>
      </c>
      <c r="AG26" s="41" t="str">
        <f aca="false">IF(C26="","",14-S26)</f>
        <v/>
      </c>
      <c r="AH26" s="40" t="str">
        <f aca="false">IF(C26="","",IF(D26="",DATE(YEAR($B$3)+1,1,1),MIN(DATE(YEAR($B$3)+1,1,1),D26+1)))</f>
        <v/>
      </c>
      <c r="AI26" s="40" t="str">
        <f aca="false">IF(C26="","",MAX(DATE(YEAR($B$3),1,1),MIN(AH26,EDATE(C26,6))))</f>
        <v/>
      </c>
      <c r="AJ26" s="40" t="str">
        <f aca="false">IF(C26="","",MAX(AI26,MIN(AH26,EDATE(C26,12*MAX(1,YEAR($B$3)-YEAR(C26))))))</f>
        <v/>
      </c>
      <c r="AK26" s="34" t="str">
        <f aca="false">IF(C26="","",IF(IF(DATE(YEAR($B$3),1,1)&lt;$C26,0,DATEDIF($C26,DATE(YEAR($B$3),1,1),"m"))&lt;6,0,IF(IF(DATE(YEAR($B$3),1,1)&lt;$C26,0,DATEDIF($C26,DATE(YEAR($B$3),1,1),"m"))&lt;12,6,IF(IF(DATE(YEAR($B$3),1,1)&lt;$C26,0,DATEDIF($C26,DATE(YEAR($B$3),1,1),"m"))&lt;24,7,IF(IF(DATE(YEAR($B$3),1,1)&lt;$C26,0,DATEDIF($C26,DATE(YEAR($B$3),1,1),"m"))&lt;36,10,IF(IF(DATE(YEAR($B$3),1,1)&lt;$C26,0,DATEDIF($C26,DATE(YEAR($B$3),1,1),"m"))&lt;60,14,IF(IF(DATE(YEAR($B$3),1,1)&lt;$C26,0,DATEDIF($C26,DATE(YEAR($B$3),1,1),"m"))&lt;120,15,MIN(30,15+INT(IF(DATE(YEAR($B$3),1,1)&lt;$C26,0,DATEDIF($C26,DATE(YEAR($B$3),1,1),"m"))/12)-9))))))))</f>
        <v/>
      </c>
      <c r="AL26" s="34" t="str">
        <f aca="false">IF(C26="","",IF(IF(AI26&lt;$C26,0,DATEDIF($C26,AI26,"m"))&lt;6,0,IF(IF(AI26&lt;$C26,0,DATEDIF($C26,AI26,"m"))&lt;12,6,IF(IF(AI26&lt;$C26,0,DATEDIF($C26,AI26,"m"))&lt;24,7,IF(IF(AI26&lt;$C26,0,DATEDIF($C26,AI26,"m"))&lt;36,10,IF(IF(AI26&lt;$C26,0,DATEDIF($C26,AI26,"m"))&lt;60,14,IF(IF(AI26&lt;$C26,0,DATEDIF($C26,AI26,"m"))&lt;120,15,MIN(30,15+INT(IF(AI26&lt;$C26,0,DATEDIF($C26,AI26,"m"))/12)-9))))))))</f>
        <v/>
      </c>
      <c r="AM26" s="34" t="str">
        <f aca="false">IF(C26="","",IF(IF(AJ26&lt;$C26,0,DATEDIF($C26,AJ26,"m"))&lt;6,0,IF(IF(AJ26&lt;$C26,0,DATEDIF($C26,AJ26,"m"))&lt;12,6,IF(IF(AJ26&lt;$C26,0,DATEDIF($C26,AJ26,"m"))&lt;24,7,IF(IF(AJ26&lt;$C26,0,DATEDIF($C26,AJ26,"m"))&lt;36,10,IF(IF(AJ26&lt;$C26,0,DATEDIF($C26,AJ26,"m"))&lt;60,14,IF(IF(AJ26&lt;$C26,0,DATEDIF($C26,AJ26,"m"))&lt;120,15,MIN(30,15+INT(IF(AJ26&lt;$C26,0,DATEDIF($C26,AJ26,"m"))/12)-9))))))))</f>
        <v/>
      </c>
      <c r="AN26" s="33" t="str">
        <f aca="false">IF(C26="","",((AI26-DATE(YEAR($B$3),1,1))*AK26+(AJ26-AI26)*AL26+(AH26-AJ26)*AM26)/(DATE(YEAR($B$3)+1,1,1)-DATE(YEAR($B$3),1,1)))</f>
        <v/>
      </c>
    </row>
    <row r="27" customFormat="false" ht="15" hidden="false" customHeight="false" outlineLevel="0" collapsed="false">
      <c r="A27" s="34" t="str">
        <f aca="false">IF(流程1_請假申請!U27="","",流程1_請假申請!T27)</f>
        <v/>
      </c>
      <c r="B27" s="34" t="str">
        <f aca="false">IF(流程1_請假申請!U27="","",流程1_請假申請!U27)</f>
        <v/>
      </c>
      <c r="C27" s="40" t="str">
        <f aca="false">IF(流程1_請假申請!U27="","",流程1_請假申請!W27)</f>
        <v/>
      </c>
      <c r="D27" s="40" t="str">
        <f aca="false">IF(流程1_請假申請!X27="","",流程1_請假申請!X27)</f>
        <v/>
      </c>
      <c r="E27" s="34" t="str">
        <f aca="false">IF(C27="","",IF($B$3&lt;C27,0,DATEDIF(C27,$B$3,"m")))</f>
        <v/>
      </c>
      <c r="F27" s="41" t="str">
        <f aca="false">IF(C27="","",IF(AN27=0,0,CEILING(ROUND(AN27,2),$E$3)))</f>
        <v/>
      </c>
      <c r="G27" s="42"/>
      <c r="H27" s="41" t="str">
        <f aca="false">IF(C27="","",F27+G27)</f>
        <v/>
      </c>
      <c r="I27" s="41" t="str">
        <f aca="false">IF(C27="","",SUMIFS(流程1_請假申請!$I$5:$I$64,流程1_請假申請!$D$5:$D$64,B27,流程1_請假申請!$F$5:$F$64,"特別休假",流程1_請假申請!$M$5:$M$64,"已確認",流程1_請假申請!$G$5:$G$64,"&gt;="&amp;DATE(YEAR($B$3),1,1),流程1_請假申請!$G$5:$G$64,"&lt;="&amp;$B$3))</f>
        <v/>
      </c>
      <c r="J27" s="41" t="str">
        <f aca="false">IF(C27="","",H27-I27)</f>
        <v/>
      </c>
      <c r="K27" s="42"/>
      <c r="L27" s="34" t="str">
        <f aca="false">IF(C27="","",IF(AND(D27&lt;&gt;"",D27&lt;=$B$3),"離職結算",IF(AND(MONTH($B$3)=12,DAY($B$3)=31),"年度結算","")))</f>
        <v/>
      </c>
      <c r="M27" s="41" t="n">
        <f aca="false">IF(OR(C27="",L27=""),0,N(G27)-MIN(N(G27),I27))</f>
        <v>0</v>
      </c>
      <c r="N27" s="41" t="n">
        <f aca="false">IF(OR(C27="",L27=""),0,IF(L27="離職結算",J27-M27,MAX(0,J27-M27-N(K27))))</f>
        <v>0</v>
      </c>
      <c r="O27" s="43" t="str">
        <f aca="false">IF(C27="","",IFERROR(ROUND((INDEX(流程1_月結表!$G$6:$G$8,MATCH(A27,流程1_月結表!$B$6:$B$8,0))+INDEX(流程1_月結表!$H$6:$H$8,MATCH(A27,流程1_月結表!$B$6:$B$8,0))*流程1_參數!$C$7)/流程1_參數!$C$5,2),0))</f>
        <v/>
      </c>
      <c r="P27" s="44"/>
      <c r="Q27" s="43" t="n">
        <f aca="false">IF(OR(C27="",L27=""),0,ROUND(N27*O27+M27*IF(P27="",O27,P27),0))</f>
        <v>0</v>
      </c>
      <c r="R27" s="41" t="str">
        <f aca="false">IF($C27="","",SUMIFS(流程1_請假申請!$I$5:$I$64,流程1_請假申請!$D$5:$D$64,$B27,流程1_請假申請!$F$5:$F$64,"病假（普通傷病假）",流程1_請假申請!$M$5:$M$64,"已確認",流程1_請假申請!$G$5:$G$64,"&gt;="&amp;DATE(YEAR($B$3),1,1),流程1_請假申請!$G$5:$G$64,"&lt;="&amp;$B$3))</f>
        <v/>
      </c>
      <c r="S27" s="41" t="str">
        <f aca="false">IF($C27="","",SUMIFS(流程1_請假申請!$I$5:$I$64,流程1_請假申請!$D$5:$D$64,$B27,流程1_請假申請!$F$5:$F$64,"事假",流程1_請假申請!$M$5:$M$64,"已確認",流程1_請假申請!$G$5:$G$64,"&gt;="&amp;DATE(YEAR($B$3),1,1),流程1_請假申請!$G$5:$G$64,"&lt;="&amp;$B$3))</f>
        <v/>
      </c>
      <c r="T27" s="41" t="str">
        <f aca="false">IF($C27="","",SUMIFS(流程1_請假申請!$I$5:$I$64,流程1_請假申請!$D$5:$D$64,$B27,流程1_請假申請!$F$5:$F$64,"家庭照顧假",流程1_請假申請!$M$5:$M$64,"已確認",流程1_請假申請!$G$5:$G$64,"&gt;="&amp;DATE(YEAR($B$3),1,1),流程1_請假申請!$G$5:$G$64,"&lt;="&amp;$B$3))</f>
        <v/>
      </c>
      <c r="U27" s="41" t="str">
        <f aca="false">IF($C27="","",SUMIFS(流程1_請假申請!$I$5:$I$64,流程1_請假申請!$D$5:$D$64,$B27,流程1_請假申請!$F$5:$F$64,"生理假",流程1_請假申請!$M$5:$M$64,"已確認",流程1_請假申請!$G$5:$G$64,"&gt;="&amp;DATE(YEAR($B$3),1,1),流程1_請假申請!$G$5:$G$64,"&lt;="&amp;$B$3))</f>
        <v/>
      </c>
      <c r="V27" s="41" t="str">
        <f aca="false">IF($C27="","",SUMIFS(流程1_請假申請!$I$5:$I$64,流程1_請假申請!$D$5:$D$64,$B27,流程1_請假申請!$F$5:$F$64,"安胎休養假",流程1_請假申請!$M$5:$M$64,"已確認",流程1_請假申請!$G$5:$G$64,"&gt;="&amp;DATE(YEAR($B$3),1,1),流程1_請假申請!$G$5:$G$64,"&lt;="&amp;$B$3))</f>
        <v/>
      </c>
      <c r="W27" s="41" t="str">
        <f aca="false">IF($C27="","",SUMIFS(流程1_請假申請!$I$5:$I$64,流程1_請假申請!$D$5:$D$64,$B27,流程1_請假申請!$F$5:$F$64,"婚假",流程1_請假申請!$M$5:$M$64,"已確認",流程1_請假申請!$G$5:$G$64,"&gt;="&amp;DATE(YEAR($B$3),1,1),流程1_請假申請!$G$5:$G$64,"&lt;="&amp;$B$3))</f>
        <v/>
      </c>
      <c r="X27" s="41" t="str">
        <f aca="false">IF($C27="","",SUMIFS(流程1_請假申請!$I$5:$I$64,流程1_請假申請!$D$5:$D$64,$B27,流程1_請假申請!$F$5:$F$64,"喪假",流程1_請假申請!$M$5:$M$64,"已確認",流程1_請假申請!$G$5:$G$64,"&gt;="&amp;DATE(YEAR($B$3),1,1),流程1_請假申請!$G$5:$G$64,"&lt;="&amp;$B$3))</f>
        <v/>
      </c>
      <c r="Y27" s="41" t="str">
        <f aca="false">IF($C27="","",SUMIFS(流程1_請假申請!$I$5:$I$64,流程1_請假申請!$D$5:$D$64,$B27,流程1_請假申請!$F$5:$F$64,"產假",流程1_請假申請!$M$5:$M$64,"已確認",流程1_請假申請!$G$5:$G$64,"&gt;="&amp;DATE(YEAR($B$3),1,1),流程1_請假申請!$G$5:$G$64,"&lt;="&amp;$B$3))</f>
        <v/>
      </c>
      <c r="Z27" s="41" t="str">
        <f aca="false">IF($C27="","",SUMIFS(流程1_請假申請!$I$5:$I$64,流程1_請假申請!$D$5:$D$64,$B27,流程1_請假申請!$F$5:$F$64,"產檢假",流程1_請假申請!$M$5:$M$64,"已確認",流程1_請假申請!$G$5:$G$64,"&gt;="&amp;DATE(YEAR($B$3),1,1),流程1_請假申請!$G$5:$G$64,"&lt;="&amp;$B$3))</f>
        <v/>
      </c>
      <c r="AA27" s="41" t="str">
        <f aca="false">IF($C27="","",SUMIFS(流程1_請假申請!$I$5:$I$64,流程1_請假申請!$D$5:$D$64,$B27,流程1_請假申請!$F$5:$F$64,"陪產檢及陪產假",流程1_請假申請!$M$5:$M$64,"已確認",流程1_請假申請!$G$5:$G$64,"&gt;="&amp;DATE(YEAR($B$3),1,1),流程1_請假申請!$G$5:$G$64,"&lt;="&amp;$B$3))</f>
        <v/>
      </c>
      <c r="AB27" s="41" t="str">
        <f aca="false">IF($C27="","",SUMIFS(流程1_請假申請!$I$5:$I$64,流程1_請假申請!$D$5:$D$64,$B27,流程1_請假申請!$F$5:$F$64,"公傷病假",流程1_請假申請!$M$5:$M$64,"已確認",流程1_請假申請!$G$5:$G$64,"&gt;="&amp;DATE(YEAR($B$3),1,1),流程1_請假申請!$G$5:$G$64,"&lt;="&amp;$B$3))</f>
        <v/>
      </c>
      <c r="AC27" s="41" t="str">
        <f aca="false">IF($C27="","",SUMIFS(流程1_請假申請!$I$5:$I$64,流程1_請假申請!$D$5:$D$64,$B27,流程1_請假申請!$F$5:$F$64,"公假",流程1_請假申請!$M$5:$M$64,"已確認",流程1_請假申請!$G$5:$G$64,"&gt;="&amp;DATE(YEAR($B$3),1,1),流程1_請假申請!$G$5:$G$64,"&lt;="&amp;$B$3))</f>
        <v/>
      </c>
      <c r="AD27" s="41" t="str">
        <f aca="false">IF($C27="","",SUMIFS(流程1_請假申請!$I$5:$I$64,流程1_請假申請!$D$5:$D$64,$B27,流程1_請假申請!$F$5:$F$64,"特別休假",流程1_請假申請!$M$5:$M$64,"已確認",流程1_請假申請!$G$5:$G$64,"&gt;="&amp;DATE(YEAR($B$3),1,1),流程1_請假申請!$G$5:$G$64,"&lt;="&amp;$B$3))</f>
        <v/>
      </c>
      <c r="AE27" s="41" t="str">
        <f aca="false">IF($C27="","",SUMIFS(流程1_請假申請!$I$5:$I$64,流程1_請假申請!$D$5:$D$64,$B27,流程1_請假申請!$F$5:$F$64,"育嬰留職停薪",流程1_請假申請!$M$5:$M$64,"已確認",流程1_請假申請!$G$5:$G$64,"&gt;="&amp;DATE(YEAR($B$3),1,1),流程1_請假申請!$G$5:$G$64,"&lt;="&amp;$B$3))</f>
        <v/>
      </c>
      <c r="AF27" s="41" t="str">
        <f aca="false">IF(C27="","",30-R27)</f>
        <v/>
      </c>
      <c r="AG27" s="41" t="str">
        <f aca="false">IF(C27="","",14-S27)</f>
        <v/>
      </c>
      <c r="AH27" s="40" t="str">
        <f aca="false">IF(C27="","",IF(D27="",DATE(YEAR($B$3)+1,1,1),MIN(DATE(YEAR($B$3)+1,1,1),D27+1)))</f>
        <v/>
      </c>
      <c r="AI27" s="40" t="str">
        <f aca="false">IF(C27="","",MAX(DATE(YEAR($B$3),1,1),MIN(AH27,EDATE(C27,6))))</f>
        <v/>
      </c>
      <c r="AJ27" s="40" t="str">
        <f aca="false">IF(C27="","",MAX(AI27,MIN(AH27,EDATE(C27,12*MAX(1,YEAR($B$3)-YEAR(C27))))))</f>
        <v/>
      </c>
      <c r="AK27" s="34" t="str">
        <f aca="false">IF(C27="","",IF(IF(DATE(YEAR($B$3),1,1)&lt;$C27,0,DATEDIF($C27,DATE(YEAR($B$3),1,1),"m"))&lt;6,0,IF(IF(DATE(YEAR($B$3),1,1)&lt;$C27,0,DATEDIF($C27,DATE(YEAR($B$3),1,1),"m"))&lt;12,6,IF(IF(DATE(YEAR($B$3),1,1)&lt;$C27,0,DATEDIF($C27,DATE(YEAR($B$3),1,1),"m"))&lt;24,7,IF(IF(DATE(YEAR($B$3),1,1)&lt;$C27,0,DATEDIF($C27,DATE(YEAR($B$3),1,1),"m"))&lt;36,10,IF(IF(DATE(YEAR($B$3),1,1)&lt;$C27,0,DATEDIF($C27,DATE(YEAR($B$3),1,1),"m"))&lt;60,14,IF(IF(DATE(YEAR($B$3),1,1)&lt;$C27,0,DATEDIF($C27,DATE(YEAR($B$3),1,1),"m"))&lt;120,15,MIN(30,15+INT(IF(DATE(YEAR($B$3),1,1)&lt;$C27,0,DATEDIF($C27,DATE(YEAR($B$3),1,1),"m"))/12)-9))))))))</f>
        <v/>
      </c>
      <c r="AL27" s="34" t="str">
        <f aca="false">IF(C27="","",IF(IF(AI27&lt;$C27,0,DATEDIF($C27,AI27,"m"))&lt;6,0,IF(IF(AI27&lt;$C27,0,DATEDIF($C27,AI27,"m"))&lt;12,6,IF(IF(AI27&lt;$C27,0,DATEDIF($C27,AI27,"m"))&lt;24,7,IF(IF(AI27&lt;$C27,0,DATEDIF($C27,AI27,"m"))&lt;36,10,IF(IF(AI27&lt;$C27,0,DATEDIF($C27,AI27,"m"))&lt;60,14,IF(IF(AI27&lt;$C27,0,DATEDIF($C27,AI27,"m"))&lt;120,15,MIN(30,15+INT(IF(AI27&lt;$C27,0,DATEDIF($C27,AI27,"m"))/12)-9))))))))</f>
        <v/>
      </c>
      <c r="AM27" s="34" t="str">
        <f aca="false">IF(C27="","",IF(IF(AJ27&lt;$C27,0,DATEDIF($C27,AJ27,"m"))&lt;6,0,IF(IF(AJ27&lt;$C27,0,DATEDIF($C27,AJ27,"m"))&lt;12,6,IF(IF(AJ27&lt;$C27,0,DATEDIF($C27,AJ27,"m"))&lt;24,7,IF(IF(AJ27&lt;$C27,0,DATEDIF($C27,AJ27,"m"))&lt;36,10,IF(IF(AJ27&lt;$C27,0,DATEDIF($C27,AJ27,"m"))&lt;60,14,IF(IF(AJ27&lt;$C27,0,DATEDIF($C27,AJ27,"m"))&lt;120,15,MIN(30,15+INT(IF(AJ27&lt;$C27,0,DATEDIF($C27,AJ27,"m"))/12)-9))))))))</f>
        <v/>
      </c>
      <c r="AN27" s="33" t="str">
        <f aca="false">IF(C27="","",((AI27-DATE(YEAR($B$3),1,1))*AK27+(AJ27-AI27)*AL27+(AH27-AJ27)*AM27)/(DATE(YEAR($B$3)+1,1,1)-DATE(YEAR($B$3),1,1)))</f>
        <v/>
      </c>
    </row>
    <row r="28" customFormat="false" ht="15" hidden="false" customHeight="false" outlineLevel="0" collapsed="false">
      <c r="A28" s="34" t="str">
        <f aca="false">IF(流程1_請假申請!U28="","",流程1_請假申請!T28)</f>
        <v/>
      </c>
      <c r="B28" s="34" t="str">
        <f aca="false">IF(流程1_請假申請!U28="","",流程1_請假申請!U28)</f>
        <v/>
      </c>
      <c r="C28" s="40" t="str">
        <f aca="false">IF(流程1_請假申請!U28="","",流程1_請假申請!W28)</f>
        <v/>
      </c>
      <c r="D28" s="40" t="str">
        <f aca="false">IF(流程1_請假申請!X28="","",流程1_請假申請!X28)</f>
        <v/>
      </c>
      <c r="E28" s="34" t="str">
        <f aca="false">IF(C28="","",IF($B$3&lt;C28,0,DATEDIF(C28,$B$3,"m")))</f>
        <v/>
      </c>
      <c r="F28" s="41" t="str">
        <f aca="false">IF(C28="","",IF(AN28=0,0,CEILING(ROUND(AN28,2),$E$3)))</f>
        <v/>
      </c>
      <c r="G28" s="42"/>
      <c r="H28" s="41" t="str">
        <f aca="false">IF(C28="","",F28+G28)</f>
        <v/>
      </c>
      <c r="I28" s="41" t="str">
        <f aca="false">IF(C28="","",SUMIFS(流程1_請假申請!$I$5:$I$64,流程1_請假申請!$D$5:$D$64,B28,流程1_請假申請!$F$5:$F$64,"特別休假",流程1_請假申請!$M$5:$M$64,"已確認",流程1_請假申請!$G$5:$G$64,"&gt;="&amp;DATE(YEAR($B$3),1,1),流程1_請假申請!$G$5:$G$64,"&lt;="&amp;$B$3))</f>
        <v/>
      </c>
      <c r="J28" s="41" t="str">
        <f aca="false">IF(C28="","",H28-I28)</f>
        <v/>
      </c>
      <c r="K28" s="42"/>
      <c r="L28" s="34" t="str">
        <f aca="false">IF(C28="","",IF(AND(D28&lt;&gt;"",D28&lt;=$B$3),"離職結算",IF(AND(MONTH($B$3)=12,DAY($B$3)=31),"年度結算","")))</f>
        <v/>
      </c>
      <c r="M28" s="41" t="n">
        <f aca="false">IF(OR(C28="",L28=""),0,N(G28)-MIN(N(G28),I28))</f>
        <v>0</v>
      </c>
      <c r="N28" s="41" t="n">
        <f aca="false">IF(OR(C28="",L28=""),0,IF(L28="離職結算",J28-M28,MAX(0,J28-M28-N(K28))))</f>
        <v>0</v>
      </c>
      <c r="O28" s="43" t="str">
        <f aca="false">IF(C28="","",IFERROR(ROUND((INDEX(流程1_月結表!$G$6:$G$8,MATCH(A28,流程1_月結表!$B$6:$B$8,0))+INDEX(流程1_月結表!$H$6:$H$8,MATCH(A28,流程1_月結表!$B$6:$B$8,0))*流程1_參數!$C$7)/流程1_參數!$C$5,2),0))</f>
        <v/>
      </c>
      <c r="P28" s="44"/>
      <c r="Q28" s="43" t="n">
        <f aca="false">IF(OR(C28="",L28=""),0,ROUND(N28*O28+M28*IF(P28="",O28,P28),0))</f>
        <v>0</v>
      </c>
      <c r="R28" s="41" t="str">
        <f aca="false">IF($C28="","",SUMIFS(流程1_請假申請!$I$5:$I$64,流程1_請假申請!$D$5:$D$64,$B28,流程1_請假申請!$F$5:$F$64,"病假（普通傷病假）",流程1_請假申請!$M$5:$M$64,"已確認",流程1_請假申請!$G$5:$G$64,"&gt;="&amp;DATE(YEAR($B$3),1,1),流程1_請假申請!$G$5:$G$64,"&lt;="&amp;$B$3))</f>
        <v/>
      </c>
      <c r="S28" s="41" t="str">
        <f aca="false">IF($C28="","",SUMIFS(流程1_請假申請!$I$5:$I$64,流程1_請假申請!$D$5:$D$64,$B28,流程1_請假申請!$F$5:$F$64,"事假",流程1_請假申請!$M$5:$M$64,"已確認",流程1_請假申請!$G$5:$G$64,"&gt;="&amp;DATE(YEAR($B$3),1,1),流程1_請假申請!$G$5:$G$64,"&lt;="&amp;$B$3))</f>
        <v/>
      </c>
      <c r="T28" s="41" t="str">
        <f aca="false">IF($C28="","",SUMIFS(流程1_請假申請!$I$5:$I$64,流程1_請假申請!$D$5:$D$64,$B28,流程1_請假申請!$F$5:$F$64,"家庭照顧假",流程1_請假申請!$M$5:$M$64,"已確認",流程1_請假申請!$G$5:$G$64,"&gt;="&amp;DATE(YEAR($B$3),1,1),流程1_請假申請!$G$5:$G$64,"&lt;="&amp;$B$3))</f>
        <v/>
      </c>
      <c r="U28" s="41" t="str">
        <f aca="false">IF($C28="","",SUMIFS(流程1_請假申請!$I$5:$I$64,流程1_請假申請!$D$5:$D$64,$B28,流程1_請假申請!$F$5:$F$64,"生理假",流程1_請假申請!$M$5:$M$64,"已確認",流程1_請假申請!$G$5:$G$64,"&gt;="&amp;DATE(YEAR($B$3),1,1),流程1_請假申請!$G$5:$G$64,"&lt;="&amp;$B$3))</f>
        <v/>
      </c>
      <c r="V28" s="41" t="str">
        <f aca="false">IF($C28="","",SUMIFS(流程1_請假申請!$I$5:$I$64,流程1_請假申請!$D$5:$D$64,$B28,流程1_請假申請!$F$5:$F$64,"安胎休養假",流程1_請假申請!$M$5:$M$64,"已確認",流程1_請假申請!$G$5:$G$64,"&gt;="&amp;DATE(YEAR($B$3),1,1),流程1_請假申請!$G$5:$G$64,"&lt;="&amp;$B$3))</f>
        <v/>
      </c>
      <c r="W28" s="41" t="str">
        <f aca="false">IF($C28="","",SUMIFS(流程1_請假申請!$I$5:$I$64,流程1_請假申請!$D$5:$D$64,$B28,流程1_請假申請!$F$5:$F$64,"婚假",流程1_請假申請!$M$5:$M$64,"已確認",流程1_請假申請!$G$5:$G$64,"&gt;="&amp;DATE(YEAR($B$3),1,1),流程1_請假申請!$G$5:$G$64,"&lt;="&amp;$B$3))</f>
        <v/>
      </c>
      <c r="X28" s="41" t="str">
        <f aca="false">IF($C28="","",SUMIFS(流程1_請假申請!$I$5:$I$64,流程1_請假申請!$D$5:$D$64,$B28,流程1_請假申請!$F$5:$F$64,"喪假",流程1_請假申請!$M$5:$M$64,"已確認",流程1_請假申請!$G$5:$G$64,"&gt;="&amp;DATE(YEAR($B$3),1,1),流程1_請假申請!$G$5:$G$64,"&lt;="&amp;$B$3))</f>
        <v/>
      </c>
      <c r="Y28" s="41" t="str">
        <f aca="false">IF($C28="","",SUMIFS(流程1_請假申請!$I$5:$I$64,流程1_請假申請!$D$5:$D$64,$B28,流程1_請假申請!$F$5:$F$64,"產假",流程1_請假申請!$M$5:$M$64,"已確認",流程1_請假申請!$G$5:$G$64,"&gt;="&amp;DATE(YEAR($B$3),1,1),流程1_請假申請!$G$5:$G$64,"&lt;="&amp;$B$3))</f>
        <v/>
      </c>
      <c r="Z28" s="41" t="str">
        <f aca="false">IF($C28="","",SUMIFS(流程1_請假申請!$I$5:$I$64,流程1_請假申請!$D$5:$D$64,$B28,流程1_請假申請!$F$5:$F$64,"產檢假",流程1_請假申請!$M$5:$M$64,"已確認",流程1_請假申請!$G$5:$G$64,"&gt;="&amp;DATE(YEAR($B$3),1,1),流程1_請假申請!$G$5:$G$64,"&lt;="&amp;$B$3))</f>
        <v/>
      </c>
      <c r="AA28" s="41" t="str">
        <f aca="false">IF($C28="","",SUMIFS(流程1_請假申請!$I$5:$I$64,流程1_請假申請!$D$5:$D$64,$B28,流程1_請假申請!$F$5:$F$64,"陪產檢及陪產假",流程1_請假申請!$M$5:$M$64,"已確認",流程1_請假申請!$G$5:$G$64,"&gt;="&amp;DATE(YEAR($B$3),1,1),流程1_請假申請!$G$5:$G$64,"&lt;="&amp;$B$3))</f>
        <v/>
      </c>
      <c r="AB28" s="41" t="str">
        <f aca="false">IF($C28="","",SUMIFS(流程1_請假申請!$I$5:$I$64,流程1_請假申請!$D$5:$D$64,$B28,流程1_請假申請!$F$5:$F$64,"公傷病假",流程1_請假申請!$M$5:$M$64,"已確認",流程1_請假申請!$G$5:$G$64,"&gt;="&amp;DATE(YEAR($B$3),1,1),流程1_請假申請!$G$5:$G$64,"&lt;="&amp;$B$3))</f>
        <v/>
      </c>
      <c r="AC28" s="41" t="str">
        <f aca="false">IF($C28="","",SUMIFS(流程1_請假申請!$I$5:$I$64,流程1_請假申請!$D$5:$D$64,$B28,流程1_請假申請!$F$5:$F$64,"公假",流程1_請假申請!$M$5:$M$64,"已確認",流程1_請假申請!$G$5:$G$64,"&gt;="&amp;DATE(YEAR($B$3),1,1),流程1_請假申請!$G$5:$G$64,"&lt;="&amp;$B$3))</f>
        <v/>
      </c>
      <c r="AD28" s="41" t="str">
        <f aca="false">IF($C28="","",SUMIFS(流程1_請假申請!$I$5:$I$64,流程1_請假申請!$D$5:$D$64,$B28,流程1_請假申請!$F$5:$F$64,"特別休假",流程1_請假申請!$M$5:$M$64,"已確認",流程1_請假申請!$G$5:$G$64,"&gt;="&amp;DATE(YEAR($B$3),1,1),流程1_請假申請!$G$5:$G$64,"&lt;="&amp;$B$3))</f>
        <v/>
      </c>
      <c r="AE28" s="41" t="str">
        <f aca="false">IF($C28="","",SUMIFS(流程1_請假申請!$I$5:$I$64,流程1_請假申請!$D$5:$D$64,$B28,流程1_請假申請!$F$5:$F$64,"育嬰留職停薪",流程1_請假申請!$M$5:$M$64,"已確認",流程1_請假申請!$G$5:$G$64,"&gt;="&amp;DATE(YEAR($B$3),1,1),流程1_請假申請!$G$5:$G$64,"&lt;="&amp;$B$3))</f>
        <v/>
      </c>
      <c r="AF28" s="41" t="str">
        <f aca="false">IF(C28="","",30-R28)</f>
        <v/>
      </c>
      <c r="AG28" s="41" t="str">
        <f aca="false">IF(C28="","",14-S28)</f>
        <v/>
      </c>
      <c r="AH28" s="40" t="str">
        <f aca="false">IF(C28="","",IF(D28="",DATE(YEAR($B$3)+1,1,1),MIN(DATE(YEAR($B$3)+1,1,1),D28+1)))</f>
        <v/>
      </c>
      <c r="AI28" s="40" t="str">
        <f aca="false">IF(C28="","",MAX(DATE(YEAR($B$3),1,1),MIN(AH28,EDATE(C28,6))))</f>
        <v/>
      </c>
      <c r="AJ28" s="40" t="str">
        <f aca="false">IF(C28="","",MAX(AI28,MIN(AH28,EDATE(C28,12*MAX(1,YEAR($B$3)-YEAR(C28))))))</f>
        <v/>
      </c>
      <c r="AK28" s="34" t="str">
        <f aca="false">IF(C28="","",IF(IF(DATE(YEAR($B$3),1,1)&lt;$C28,0,DATEDIF($C28,DATE(YEAR($B$3),1,1),"m"))&lt;6,0,IF(IF(DATE(YEAR($B$3),1,1)&lt;$C28,0,DATEDIF($C28,DATE(YEAR($B$3),1,1),"m"))&lt;12,6,IF(IF(DATE(YEAR($B$3),1,1)&lt;$C28,0,DATEDIF($C28,DATE(YEAR($B$3),1,1),"m"))&lt;24,7,IF(IF(DATE(YEAR($B$3),1,1)&lt;$C28,0,DATEDIF($C28,DATE(YEAR($B$3),1,1),"m"))&lt;36,10,IF(IF(DATE(YEAR($B$3),1,1)&lt;$C28,0,DATEDIF($C28,DATE(YEAR($B$3),1,1),"m"))&lt;60,14,IF(IF(DATE(YEAR($B$3),1,1)&lt;$C28,0,DATEDIF($C28,DATE(YEAR($B$3),1,1),"m"))&lt;120,15,MIN(30,15+INT(IF(DATE(YEAR($B$3),1,1)&lt;$C28,0,DATEDIF($C28,DATE(YEAR($B$3),1,1),"m"))/12)-9))))))))</f>
        <v/>
      </c>
      <c r="AL28" s="34" t="str">
        <f aca="false">IF(C28="","",IF(IF(AI28&lt;$C28,0,DATEDIF($C28,AI28,"m"))&lt;6,0,IF(IF(AI28&lt;$C28,0,DATEDIF($C28,AI28,"m"))&lt;12,6,IF(IF(AI28&lt;$C28,0,DATEDIF($C28,AI28,"m"))&lt;24,7,IF(IF(AI28&lt;$C28,0,DATEDIF($C28,AI28,"m"))&lt;36,10,IF(IF(AI28&lt;$C28,0,DATEDIF($C28,AI28,"m"))&lt;60,14,IF(IF(AI28&lt;$C28,0,DATEDIF($C28,AI28,"m"))&lt;120,15,MIN(30,15+INT(IF(AI28&lt;$C28,0,DATEDIF($C28,AI28,"m"))/12)-9))))))))</f>
        <v/>
      </c>
      <c r="AM28" s="34" t="str">
        <f aca="false">IF(C28="","",IF(IF(AJ28&lt;$C28,0,DATEDIF($C28,AJ28,"m"))&lt;6,0,IF(IF(AJ28&lt;$C28,0,DATEDIF($C28,AJ28,"m"))&lt;12,6,IF(IF(AJ28&lt;$C28,0,DATEDIF($C28,AJ28,"m"))&lt;24,7,IF(IF(AJ28&lt;$C28,0,DATEDIF($C28,AJ28,"m"))&lt;36,10,IF(IF(AJ28&lt;$C28,0,DATEDIF($C28,AJ28,"m"))&lt;60,14,IF(IF(AJ28&lt;$C28,0,DATEDIF($C28,AJ28,"m"))&lt;120,15,MIN(30,15+INT(IF(AJ28&lt;$C28,0,DATEDIF($C28,AJ28,"m"))/12)-9))))))))</f>
        <v/>
      </c>
      <c r="AN28" s="33" t="str">
        <f aca="false">IF(C28="","",((AI28-DATE(YEAR($B$3),1,1))*AK28+(AJ28-AI28)*AL28+(AH28-AJ28)*AM28)/(DATE(YEAR($B$3)+1,1,1)-DATE(YEAR($B$3),1,1)))</f>
        <v/>
      </c>
    </row>
    <row r="29" customFormat="false" ht="15" hidden="false" customHeight="false" outlineLevel="0" collapsed="false">
      <c r="A29" s="34" t="str">
        <f aca="false">IF(流程1_請假申請!U29="","",流程1_請假申請!T29)</f>
        <v/>
      </c>
      <c r="B29" s="34" t="str">
        <f aca="false">IF(流程1_請假申請!U29="","",流程1_請假申請!U29)</f>
        <v/>
      </c>
      <c r="C29" s="40" t="str">
        <f aca="false">IF(流程1_請假申請!U29="","",流程1_請假申請!W29)</f>
        <v/>
      </c>
      <c r="D29" s="40" t="str">
        <f aca="false">IF(流程1_請假申請!X29="","",流程1_請假申請!X29)</f>
        <v/>
      </c>
      <c r="E29" s="34" t="str">
        <f aca="false">IF(C29="","",IF($B$3&lt;C29,0,DATEDIF(C29,$B$3,"m")))</f>
        <v/>
      </c>
      <c r="F29" s="41" t="str">
        <f aca="false">IF(C29="","",IF(AN29=0,0,CEILING(ROUND(AN29,2),$E$3)))</f>
        <v/>
      </c>
      <c r="G29" s="42"/>
      <c r="H29" s="41" t="str">
        <f aca="false">IF(C29="","",F29+G29)</f>
        <v/>
      </c>
      <c r="I29" s="41" t="str">
        <f aca="false">IF(C29="","",SUMIFS(流程1_請假申請!$I$5:$I$64,流程1_請假申請!$D$5:$D$64,B29,流程1_請假申請!$F$5:$F$64,"特別休假",流程1_請假申請!$M$5:$M$64,"已確認",流程1_請假申請!$G$5:$G$64,"&gt;="&amp;DATE(YEAR($B$3),1,1),流程1_請假申請!$G$5:$G$64,"&lt;="&amp;$B$3))</f>
        <v/>
      </c>
      <c r="J29" s="41" t="str">
        <f aca="false">IF(C29="","",H29-I29)</f>
        <v/>
      </c>
      <c r="K29" s="42"/>
      <c r="L29" s="34" t="str">
        <f aca="false">IF(C29="","",IF(AND(D29&lt;&gt;"",D29&lt;=$B$3),"離職結算",IF(AND(MONTH($B$3)=12,DAY($B$3)=31),"年度結算","")))</f>
        <v/>
      </c>
      <c r="M29" s="41" t="n">
        <f aca="false">IF(OR(C29="",L29=""),0,N(G29)-MIN(N(G29),I29))</f>
        <v>0</v>
      </c>
      <c r="N29" s="41" t="n">
        <f aca="false">IF(OR(C29="",L29=""),0,IF(L29="離職結算",J29-M29,MAX(0,J29-M29-N(K29))))</f>
        <v>0</v>
      </c>
      <c r="O29" s="43" t="str">
        <f aca="false">IF(C29="","",IFERROR(ROUND((INDEX(流程1_月結表!$G$6:$G$8,MATCH(A29,流程1_月結表!$B$6:$B$8,0))+INDEX(流程1_月結表!$H$6:$H$8,MATCH(A29,流程1_月結表!$B$6:$B$8,0))*流程1_參數!$C$7)/流程1_參數!$C$5,2),0))</f>
        <v/>
      </c>
      <c r="P29" s="44"/>
      <c r="Q29" s="43" t="n">
        <f aca="false">IF(OR(C29="",L29=""),0,ROUND(N29*O29+M29*IF(P29="",O29,P29),0))</f>
        <v>0</v>
      </c>
      <c r="R29" s="41" t="str">
        <f aca="false">IF($C29="","",SUMIFS(流程1_請假申請!$I$5:$I$64,流程1_請假申請!$D$5:$D$64,$B29,流程1_請假申請!$F$5:$F$64,"病假（普通傷病假）",流程1_請假申請!$M$5:$M$64,"已確認",流程1_請假申請!$G$5:$G$64,"&gt;="&amp;DATE(YEAR($B$3),1,1),流程1_請假申請!$G$5:$G$64,"&lt;="&amp;$B$3))</f>
        <v/>
      </c>
      <c r="S29" s="41" t="str">
        <f aca="false">IF($C29="","",SUMIFS(流程1_請假申請!$I$5:$I$64,流程1_請假申請!$D$5:$D$64,$B29,流程1_請假申請!$F$5:$F$64,"事假",流程1_請假申請!$M$5:$M$64,"已確認",流程1_請假申請!$G$5:$G$64,"&gt;="&amp;DATE(YEAR($B$3),1,1),流程1_請假申請!$G$5:$G$64,"&lt;="&amp;$B$3))</f>
        <v/>
      </c>
      <c r="T29" s="41" t="str">
        <f aca="false">IF($C29="","",SUMIFS(流程1_請假申請!$I$5:$I$64,流程1_請假申請!$D$5:$D$64,$B29,流程1_請假申請!$F$5:$F$64,"家庭照顧假",流程1_請假申請!$M$5:$M$64,"已確認",流程1_請假申請!$G$5:$G$64,"&gt;="&amp;DATE(YEAR($B$3),1,1),流程1_請假申請!$G$5:$G$64,"&lt;="&amp;$B$3))</f>
        <v/>
      </c>
      <c r="U29" s="41" t="str">
        <f aca="false">IF($C29="","",SUMIFS(流程1_請假申請!$I$5:$I$64,流程1_請假申請!$D$5:$D$64,$B29,流程1_請假申請!$F$5:$F$64,"生理假",流程1_請假申請!$M$5:$M$64,"已確認",流程1_請假申請!$G$5:$G$64,"&gt;="&amp;DATE(YEAR($B$3),1,1),流程1_請假申請!$G$5:$G$64,"&lt;="&amp;$B$3))</f>
        <v/>
      </c>
      <c r="V29" s="41" t="str">
        <f aca="false">IF($C29="","",SUMIFS(流程1_請假申請!$I$5:$I$64,流程1_請假申請!$D$5:$D$64,$B29,流程1_請假申請!$F$5:$F$64,"安胎休養假",流程1_請假申請!$M$5:$M$64,"已確認",流程1_請假申請!$G$5:$G$64,"&gt;="&amp;DATE(YEAR($B$3),1,1),流程1_請假申請!$G$5:$G$64,"&lt;="&amp;$B$3))</f>
        <v/>
      </c>
      <c r="W29" s="41" t="str">
        <f aca="false">IF($C29="","",SUMIFS(流程1_請假申請!$I$5:$I$64,流程1_請假申請!$D$5:$D$64,$B29,流程1_請假申請!$F$5:$F$64,"婚假",流程1_請假申請!$M$5:$M$64,"已確認",流程1_請假申請!$G$5:$G$64,"&gt;="&amp;DATE(YEAR($B$3),1,1),流程1_請假申請!$G$5:$G$64,"&lt;="&amp;$B$3))</f>
        <v/>
      </c>
      <c r="X29" s="41" t="str">
        <f aca="false">IF($C29="","",SUMIFS(流程1_請假申請!$I$5:$I$64,流程1_請假申請!$D$5:$D$64,$B29,流程1_請假申請!$F$5:$F$64,"喪假",流程1_請假申請!$M$5:$M$64,"已確認",流程1_請假申請!$G$5:$G$64,"&gt;="&amp;DATE(YEAR($B$3),1,1),流程1_請假申請!$G$5:$G$64,"&lt;="&amp;$B$3))</f>
        <v/>
      </c>
      <c r="Y29" s="41" t="str">
        <f aca="false">IF($C29="","",SUMIFS(流程1_請假申請!$I$5:$I$64,流程1_請假申請!$D$5:$D$64,$B29,流程1_請假申請!$F$5:$F$64,"產假",流程1_請假申請!$M$5:$M$64,"已確認",流程1_請假申請!$G$5:$G$64,"&gt;="&amp;DATE(YEAR($B$3),1,1),流程1_請假申請!$G$5:$G$64,"&lt;="&amp;$B$3))</f>
        <v/>
      </c>
      <c r="Z29" s="41" t="str">
        <f aca="false">IF($C29="","",SUMIFS(流程1_請假申請!$I$5:$I$64,流程1_請假申請!$D$5:$D$64,$B29,流程1_請假申請!$F$5:$F$64,"產檢假",流程1_請假申請!$M$5:$M$64,"已確認",流程1_請假申請!$G$5:$G$64,"&gt;="&amp;DATE(YEAR($B$3),1,1),流程1_請假申請!$G$5:$G$64,"&lt;="&amp;$B$3))</f>
        <v/>
      </c>
      <c r="AA29" s="41" t="str">
        <f aca="false">IF($C29="","",SUMIFS(流程1_請假申請!$I$5:$I$64,流程1_請假申請!$D$5:$D$64,$B29,流程1_請假申請!$F$5:$F$64,"陪產檢及陪產假",流程1_請假申請!$M$5:$M$64,"已確認",流程1_請假申請!$G$5:$G$64,"&gt;="&amp;DATE(YEAR($B$3),1,1),流程1_請假申請!$G$5:$G$64,"&lt;="&amp;$B$3))</f>
        <v/>
      </c>
      <c r="AB29" s="41" t="str">
        <f aca="false">IF($C29="","",SUMIFS(流程1_請假申請!$I$5:$I$64,流程1_請假申請!$D$5:$D$64,$B29,流程1_請假申請!$F$5:$F$64,"公傷病假",流程1_請假申請!$M$5:$M$64,"已確認",流程1_請假申請!$G$5:$G$64,"&gt;="&amp;DATE(YEAR($B$3),1,1),流程1_請假申請!$G$5:$G$64,"&lt;="&amp;$B$3))</f>
        <v/>
      </c>
      <c r="AC29" s="41" t="str">
        <f aca="false">IF($C29="","",SUMIFS(流程1_請假申請!$I$5:$I$64,流程1_請假申請!$D$5:$D$64,$B29,流程1_請假申請!$F$5:$F$64,"公假",流程1_請假申請!$M$5:$M$64,"已確認",流程1_請假申請!$G$5:$G$64,"&gt;="&amp;DATE(YEAR($B$3),1,1),流程1_請假申請!$G$5:$G$64,"&lt;="&amp;$B$3))</f>
        <v/>
      </c>
      <c r="AD29" s="41" t="str">
        <f aca="false">IF($C29="","",SUMIFS(流程1_請假申請!$I$5:$I$64,流程1_請假申請!$D$5:$D$64,$B29,流程1_請假申請!$F$5:$F$64,"特別休假",流程1_請假申請!$M$5:$M$64,"已確認",流程1_請假申請!$G$5:$G$64,"&gt;="&amp;DATE(YEAR($B$3),1,1),流程1_請假申請!$G$5:$G$64,"&lt;="&amp;$B$3))</f>
        <v/>
      </c>
      <c r="AE29" s="41" t="str">
        <f aca="false">IF($C29="","",SUMIFS(流程1_請假申請!$I$5:$I$64,流程1_請假申請!$D$5:$D$64,$B29,流程1_請假申請!$F$5:$F$64,"育嬰留職停薪",流程1_請假申請!$M$5:$M$64,"已確認",流程1_請假申請!$G$5:$G$64,"&gt;="&amp;DATE(YEAR($B$3),1,1),流程1_請假申請!$G$5:$G$64,"&lt;="&amp;$B$3))</f>
        <v/>
      </c>
      <c r="AF29" s="41" t="str">
        <f aca="false">IF(C29="","",30-R29)</f>
        <v/>
      </c>
      <c r="AG29" s="41" t="str">
        <f aca="false">IF(C29="","",14-S29)</f>
        <v/>
      </c>
      <c r="AH29" s="40" t="str">
        <f aca="false">IF(C29="","",IF(D29="",DATE(YEAR($B$3)+1,1,1),MIN(DATE(YEAR($B$3)+1,1,1),D29+1)))</f>
        <v/>
      </c>
      <c r="AI29" s="40" t="str">
        <f aca="false">IF(C29="","",MAX(DATE(YEAR($B$3),1,1),MIN(AH29,EDATE(C29,6))))</f>
        <v/>
      </c>
      <c r="AJ29" s="40" t="str">
        <f aca="false">IF(C29="","",MAX(AI29,MIN(AH29,EDATE(C29,12*MAX(1,YEAR($B$3)-YEAR(C29))))))</f>
        <v/>
      </c>
      <c r="AK29" s="34" t="str">
        <f aca="false">IF(C29="","",IF(IF(DATE(YEAR($B$3),1,1)&lt;$C29,0,DATEDIF($C29,DATE(YEAR($B$3),1,1),"m"))&lt;6,0,IF(IF(DATE(YEAR($B$3),1,1)&lt;$C29,0,DATEDIF($C29,DATE(YEAR($B$3),1,1),"m"))&lt;12,6,IF(IF(DATE(YEAR($B$3),1,1)&lt;$C29,0,DATEDIF($C29,DATE(YEAR($B$3),1,1),"m"))&lt;24,7,IF(IF(DATE(YEAR($B$3),1,1)&lt;$C29,0,DATEDIF($C29,DATE(YEAR($B$3),1,1),"m"))&lt;36,10,IF(IF(DATE(YEAR($B$3),1,1)&lt;$C29,0,DATEDIF($C29,DATE(YEAR($B$3),1,1),"m"))&lt;60,14,IF(IF(DATE(YEAR($B$3),1,1)&lt;$C29,0,DATEDIF($C29,DATE(YEAR($B$3),1,1),"m"))&lt;120,15,MIN(30,15+INT(IF(DATE(YEAR($B$3),1,1)&lt;$C29,0,DATEDIF($C29,DATE(YEAR($B$3),1,1),"m"))/12)-9))))))))</f>
        <v/>
      </c>
      <c r="AL29" s="34" t="str">
        <f aca="false">IF(C29="","",IF(IF(AI29&lt;$C29,0,DATEDIF($C29,AI29,"m"))&lt;6,0,IF(IF(AI29&lt;$C29,0,DATEDIF($C29,AI29,"m"))&lt;12,6,IF(IF(AI29&lt;$C29,0,DATEDIF($C29,AI29,"m"))&lt;24,7,IF(IF(AI29&lt;$C29,0,DATEDIF($C29,AI29,"m"))&lt;36,10,IF(IF(AI29&lt;$C29,0,DATEDIF($C29,AI29,"m"))&lt;60,14,IF(IF(AI29&lt;$C29,0,DATEDIF($C29,AI29,"m"))&lt;120,15,MIN(30,15+INT(IF(AI29&lt;$C29,0,DATEDIF($C29,AI29,"m"))/12)-9))))))))</f>
        <v/>
      </c>
      <c r="AM29" s="34" t="str">
        <f aca="false">IF(C29="","",IF(IF(AJ29&lt;$C29,0,DATEDIF($C29,AJ29,"m"))&lt;6,0,IF(IF(AJ29&lt;$C29,0,DATEDIF($C29,AJ29,"m"))&lt;12,6,IF(IF(AJ29&lt;$C29,0,DATEDIF($C29,AJ29,"m"))&lt;24,7,IF(IF(AJ29&lt;$C29,0,DATEDIF($C29,AJ29,"m"))&lt;36,10,IF(IF(AJ29&lt;$C29,0,DATEDIF($C29,AJ29,"m"))&lt;60,14,IF(IF(AJ29&lt;$C29,0,DATEDIF($C29,AJ29,"m"))&lt;120,15,MIN(30,15+INT(IF(AJ29&lt;$C29,0,DATEDIF($C29,AJ29,"m"))/12)-9))))))))</f>
        <v/>
      </c>
      <c r="AN29" s="33" t="str">
        <f aca="false">IF(C29="","",((AI29-DATE(YEAR($B$3),1,1))*AK29+(AJ29-AI29)*AL29+(AH29-AJ29)*AM29)/(DATE(YEAR($B$3)+1,1,1)-DATE(YEAR($B$3),1,1)))</f>
        <v/>
      </c>
    </row>
    <row r="30" customFormat="false" ht="15" hidden="false" customHeight="false" outlineLevel="0" collapsed="false">
      <c r="A30" s="34" t="str">
        <f aca="false">IF(流程1_請假申請!U30="","",流程1_請假申請!T30)</f>
        <v/>
      </c>
      <c r="B30" s="34" t="str">
        <f aca="false">IF(流程1_請假申請!U30="","",流程1_請假申請!U30)</f>
        <v/>
      </c>
      <c r="C30" s="40" t="str">
        <f aca="false">IF(流程1_請假申請!U30="","",流程1_請假申請!W30)</f>
        <v/>
      </c>
      <c r="D30" s="40" t="str">
        <f aca="false">IF(流程1_請假申請!X30="","",流程1_請假申請!X30)</f>
        <v/>
      </c>
      <c r="E30" s="34" t="str">
        <f aca="false">IF(C30="","",IF($B$3&lt;C30,0,DATEDIF(C30,$B$3,"m")))</f>
        <v/>
      </c>
      <c r="F30" s="41" t="str">
        <f aca="false">IF(C30="","",IF(AN30=0,0,CEILING(ROUND(AN30,2),$E$3)))</f>
        <v/>
      </c>
      <c r="G30" s="42"/>
      <c r="H30" s="41" t="str">
        <f aca="false">IF(C30="","",F30+G30)</f>
        <v/>
      </c>
      <c r="I30" s="41" t="str">
        <f aca="false">IF(C30="","",SUMIFS(流程1_請假申請!$I$5:$I$64,流程1_請假申請!$D$5:$D$64,B30,流程1_請假申請!$F$5:$F$64,"特別休假",流程1_請假申請!$M$5:$M$64,"已確認",流程1_請假申請!$G$5:$G$64,"&gt;="&amp;DATE(YEAR($B$3),1,1),流程1_請假申請!$G$5:$G$64,"&lt;="&amp;$B$3))</f>
        <v/>
      </c>
      <c r="J30" s="41" t="str">
        <f aca="false">IF(C30="","",H30-I30)</f>
        <v/>
      </c>
      <c r="K30" s="42"/>
      <c r="L30" s="34" t="str">
        <f aca="false">IF(C30="","",IF(AND(D30&lt;&gt;"",D30&lt;=$B$3),"離職結算",IF(AND(MONTH($B$3)=12,DAY($B$3)=31),"年度結算","")))</f>
        <v/>
      </c>
      <c r="M30" s="41" t="n">
        <f aca="false">IF(OR(C30="",L30=""),0,N(G30)-MIN(N(G30),I30))</f>
        <v>0</v>
      </c>
      <c r="N30" s="41" t="n">
        <f aca="false">IF(OR(C30="",L30=""),0,IF(L30="離職結算",J30-M30,MAX(0,J30-M30-N(K30))))</f>
        <v>0</v>
      </c>
      <c r="O30" s="43" t="str">
        <f aca="false">IF(C30="","",IFERROR(ROUND((INDEX(流程1_月結表!$G$6:$G$8,MATCH(A30,流程1_月結表!$B$6:$B$8,0))+INDEX(流程1_月結表!$H$6:$H$8,MATCH(A30,流程1_月結表!$B$6:$B$8,0))*流程1_參數!$C$7)/流程1_參數!$C$5,2),0))</f>
        <v/>
      </c>
      <c r="P30" s="44"/>
      <c r="Q30" s="43" t="n">
        <f aca="false">IF(OR(C30="",L30=""),0,ROUND(N30*O30+M30*IF(P30="",O30,P30),0))</f>
        <v>0</v>
      </c>
      <c r="R30" s="41" t="str">
        <f aca="false">IF($C30="","",SUMIFS(流程1_請假申請!$I$5:$I$64,流程1_請假申請!$D$5:$D$64,$B30,流程1_請假申請!$F$5:$F$64,"病假（普通傷病假）",流程1_請假申請!$M$5:$M$64,"已確認",流程1_請假申請!$G$5:$G$64,"&gt;="&amp;DATE(YEAR($B$3),1,1),流程1_請假申請!$G$5:$G$64,"&lt;="&amp;$B$3))</f>
        <v/>
      </c>
      <c r="S30" s="41" t="str">
        <f aca="false">IF($C30="","",SUMIFS(流程1_請假申請!$I$5:$I$64,流程1_請假申請!$D$5:$D$64,$B30,流程1_請假申請!$F$5:$F$64,"事假",流程1_請假申請!$M$5:$M$64,"已確認",流程1_請假申請!$G$5:$G$64,"&gt;="&amp;DATE(YEAR($B$3),1,1),流程1_請假申請!$G$5:$G$64,"&lt;="&amp;$B$3))</f>
        <v/>
      </c>
      <c r="T30" s="41" t="str">
        <f aca="false">IF($C30="","",SUMIFS(流程1_請假申請!$I$5:$I$64,流程1_請假申請!$D$5:$D$64,$B30,流程1_請假申請!$F$5:$F$64,"家庭照顧假",流程1_請假申請!$M$5:$M$64,"已確認",流程1_請假申請!$G$5:$G$64,"&gt;="&amp;DATE(YEAR($B$3),1,1),流程1_請假申請!$G$5:$G$64,"&lt;="&amp;$B$3))</f>
        <v/>
      </c>
      <c r="U30" s="41" t="str">
        <f aca="false">IF($C30="","",SUMIFS(流程1_請假申請!$I$5:$I$64,流程1_請假申請!$D$5:$D$64,$B30,流程1_請假申請!$F$5:$F$64,"生理假",流程1_請假申請!$M$5:$M$64,"已確認",流程1_請假申請!$G$5:$G$64,"&gt;="&amp;DATE(YEAR($B$3),1,1),流程1_請假申請!$G$5:$G$64,"&lt;="&amp;$B$3))</f>
        <v/>
      </c>
      <c r="V30" s="41" t="str">
        <f aca="false">IF($C30="","",SUMIFS(流程1_請假申請!$I$5:$I$64,流程1_請假申請!$D$5:$D$64,$B30,流程1_請假申請!$F$5:$F$64,"安胎休養假",流程1_請假申請!$M$5:$M$64,"已確認",流程1_請假申請!$G$5:$G$64,"&gt;="&amp;DATE(YEAR($B$3),1,1),流程1_請假申請!$G$5:$G$64,"&lt;="&amp;$B$3))</f>
        <v/>
      </c>
      <c r="W30" s="41" t="str">
        <f aca="false">IF($C30="","",SUMIFS(流程1_請假申請!$I$5:$I$64,流程1_請假申請!$D$5:$D$64,$B30,流程1_請假申請!$F$5:$F$64,"婚假",流程1_請假申請!$M$5:$M$64,"已確認",流程1_請假申請!$G$5:$G$64,"&gt;="&amp;DATE(YEAR($B$3),1,1),流程1_請假申請!$G$5:$G$64,"&lt;="&amp;$B$3))</f>
        <v/>
      </c>
      <c r="X30" s="41" t="str">
        <f aca="false">IF($C30="","",SUMIFS(流程1_請假申請!$I$5:$I$64,流程1_請假申請!$D$5:$D$64,$B30,流程1_請假申請!$F$5:$F$64,"喪假",流程1_請假申請!$M$5:$M$64,"已確認",流程1_請假申請!$G$5:$G$64,"&gt;="&amp;DATE(YEAR($B$3),1,1),流程1_請假申請!$G$5:$G$64,"&lt;="&amp;$B$3))</f>
        <v/>
      </c>
      <c r="Y30" s="41" t="str">
        <f aca="false">IF($C30="","",SUMIFS(流程1_請假申請!$I$5:$I$64,流程1_請假申請!$D$5:$D$64,$B30,流程1_請假申請!$F$5:$F$64,"產假",流程1_請假申請!$M$5:$M$64,"已確認",流程1_請假申請!$G$5:$G$64,"&gt;="&amp;DATE(YEAR($B$3),1,1),流程1_請假申請!$G$5:$G$64,"&lt;="&amp;$B$3))</f>
        <v/>
      </c>
      <c r="Z30" s="41" t="str">
        <f aca="false">IF($C30="","",SUMIFS(流程1_請假申請!$I$5:$I$64,流程1_請假申請!$D$5:$D$64,$B30,流程1_請假申請!$F$5:$F$64,"產檢假",流程1_請假申請!$M$5:$M$64,"已確認",流程1_請假申請!$G$5:$G$64,"&gt;="&amp;DATE(YEAR($B$3),1,1),流程1_請假申請!$G$5:$G$64,"&lt;="&amp;$B$3))</f>
        <v/>
      </c>
      <c r="AA30" s="41" t="str">
        <f aca="false">IF($C30="","",SUMIFS(流程1_請假申請!$I$5:$I$64,流程1_請假申請!$D$5:$D$64,$B30,流程1_請假申請!$F$5:$F$64,"陪產檢及陪產假",流程1_請假申請!$M$5:$M$64,"已確認",流程1_請假申請!$G$5:$G$64,"&gt;="&amp;DATE(YEAR($B$3),1,1),流程1_請假申請!$G$5:$G$64,"&lt;="&amp;$B$3))</f>
        <v/>
      </c>
      <c r="AB30" s="41" t="str">
        <f aca="false">IF($C30="","",SUMIFS(流程1_請假申請!$I$5:$I$64,流程1_請假申請!$D$5:$D$64,$B30,流程1_請假申請!$F$5:$F$64,"公傷病假",流程1_請假申請!$M$5:$M$64,"已確認",流程1_請假申請!$G$5:$G$64,"&gt;="&amp;DATE(YEAR($B$3),1,1),流程1_請假申請!$G$5:$G$64,"&lt;="&amp;$B$3))</f>
        <v/>
      </c>
      <c r="AC30" s="41" t="str">
        <f aca="false">IF($C30="","",SUMIFS(流程1_請假申請!$I$5:$I$64,流程1_請假申請!$D$5:$D$64,$B30,流程1_請假申請!$F$5:$F$64,"公假",流程1_請假申請!$M$5:$M$64,"已確認",流程1_請假申請!$G$5:$G$64,"&gt;="&amp;DATE(YEAR($B$3),1,1),流程1_請假申請!$G$5:$G$64,"&lt;="&amp;$B$3))</f>
        <v/>
      </c>
      <c r="AD30" s="41" t="str">
        <f aca="false">IF($C30="","",SUMIFS(流程1_請假申請!$I$5:$I$64,流程1_請假申請!$D$5:$D$64,$B30,流程1_請假申請!$F$5:$F$64,"特別休假",流程1_請假申請!$M$5:$M$64,"已確認",流程1_請假申請!$G$5:$G$64,"&gt;="&amp;DATE(YEAR($B$3),1,1),流程1_請假申請!$G$5:$G$64,"&lt;="&amp;$B$3))</f>
        <v/>
      </c>
      <c r="AE30" s="41" t="str">
        <f aca="false">IF($C30="","",SUMIFS(流程1_請假申請!$I$5:$I$64,流程1_請假申請!$D$5:$D$64,$B30,流程1_請假申請!$F$5:$F$64,"育嬰留職停薪",流程1_請假申請!$M$5:$M$64,"已確認",流程1_請假申請!$G$5:$G$64,"&gt;="&amp;DATE(YEAR($B$3),1,1),流程1_請假申請!$G$5:$G$64,"&lt;="&amp;$B$3))</f>
        <v/>
      </c>
      <c r="AF30" s="41" t="str">
        <f aca="false">IF(C30="","",30-R30)</f>
        <v/>
      </c>
      <c r="AG30" s="41" t="str">
        <f aca="false">IF(C30="","",14-S30)</f>
        <v/>
      </c>
      <c r="AH30" s="40" t="str">
        <f aca="false">IF(C30="","",IF(D30="",DATE(YEAR($B$3)+1,1,1),MIN(DATE(YEAR($B$3)+1,1,1),D30+1)))</f>
        <v/>
      </c>
      <c r="AI30" s="40" t="str">
        <f aca="false">IF(C30="","",MAX(DATE(YEAR($B$3),1,1),MIN(AH30,EDATE(C30,6))))</f>
        <v/>
      </c>
      <c r="AJ30" s="40" t="str">
        <f aca="false">IF(C30="","",MAX(AI30,MIN(AH30,EDATE(C30,12*MAX(1,YEAR($B$3)-YEAR(C30))))))</f>
        <v/>
      </c>
      <c r="AK30" s="34" t="str">
        <f aca="false">IF(C30="","",IF(IF(DATE(YEAR($B$3),1,1)&lt;$C30,0,DATEDIF($C30,DATE(YEAR($B$3),1,1),"m"))&lt;6,0,IF(IF(DATE(YEAR($B$3),1,1)&lt;$C30,0,DATEDIF($C30,DATE(YEAR($B$3),1,1),"m"))&lt;12,6,IF(IF(DATE(YEAR($B$3),1,1)&lt;$C30,0,DATEDIF($C30,DATE(YEAR($B$3),1,1),"m"))&lt;24,7,IF(IF(DATE(YEAR($B$3),1,1)&lt;$C30,0,DATEDIF($C30,DATE(YEAR($B$3),1,1),"m"))&lt;36,10,IF(IF(DATE(YEAR($B$3),1,1)&lt;$C30,0,DATEDIF($C30,DATE(YEAR($B$3),1,1),"m"))&lt;60,14,IF(IF(DATE(YEAR($B$3),1,1)&lt;$C30,0,DATEDIF($C30,DATE(YEAR($B$3),1,1),"m"))&lt;120,15,MIN(30,15+INT(IF(DATE(YEAR($B$3),1,1)&lt;$C30,0,DATEDIF($C30,DATE(YEAR($B$3),1,1),"m"))/12)-9))))))))</f>
        <v/>
      </c>
      <c r="AL30" s="34" t="str">
        <f aca="false">IF(C30="","",IF(IF(AI30&lt;$C30,0,DATEDIF($C30,AI30,"m"))&lt;6,0,IF(IF(AI30&lt;$C30,0,DATEDIF($C30,AI30,"m"))&lt;12,6,IF(IF(AI30&lt;$C30,0,DATEDIF($C30,AI30,"m"))&lt;24,7,IF(IF(AI30&lt;$C30,0,DATEDIF($C30,AI30,"m"))&lt;36,10,IF(IF(AI30&lt;$C30,0,DATEDIF($C30,AI30,"m"))&lt;60,14,IF(IF(AI30&lt;$C30,0,DATEDIF($C30,AI30,"m"))&lt;120,15,MIN(30,15+INT(IF(AI30&lt;$C30,0,DATEDIF($C30,AI30,"m"))/12)-9))))))))</f>
        <v/>
      </c>
      <c r="AM30" s="34" t="str">
        <f aca="false">IF(C30="","",IF(IF(AJ30&lt;$C30,0,DATEDIF($C30,AJ30,"m"))&lt;6,0,IF(IF(AJ30&lt;$C30,0,DATEDIF($C30,AJ30,"m"))&lt;12,6,IF(IF(AJ30&lt;$C30,0,DATEDIF($C30,AJ30,"m"))&lt;24,7,IF(IF(AJ30&lt;$C30,0,DATEDIF($C30,AJ30,"m"))&lt;36,10,IF(IF(AJ30&lt;$C30,0,DATEDIF($C30,AJ30,"m"))&lt;60,14,IF(IF(AJ30&lt;$C30,0,DATEDIF($C30,AJ30,"m"))&lt;120,15,MIN(30,15+INT(IF(AJ30&lt;$C30,0,DATEDIF($C30,AJ30,"m"))/12)-9))))))))</f>
        <v/>
      </c>
      <c r="AN30" s="33" t="str">
        <f aca="false">IF(C30="","",((AI30-DATE(YEAR($B$3),1,1))*AK30+(AJ30-AI30)*AL30+(AH30-AJ30)*AM30)/(DATE(YEAR($B$3)+1,1,1)-DATE(YEAR($B$3),1,1)))</f>
        <v/>
      </c>
    </row>
    <row r="31" customFormat="false" ht="15" hidden="false" customHeight="false" outlineLevel="0" collapsed="false">
      <c r="A31" s="34" t="str">
        <f aca="false">IF(流程1_請假申請!U31="","",流程1_請假申請!T31)</f>
        <v/>
      </c>
      <c r="B31" s="34" t="str">
        <f aca="false">IF(流程1_請假申請!U31="","",流程1_請假申請!U31)</f>
        <v/>
      </c>
      <c r="C31" s="40" t="str">
        <f aca="false">IF(流程1_請假申請!U31="","",流程1_請假申請!W31)</f>
        <v/>
      </c>
      <c r="D31" s="40" t="str">
        <f aca="false">IF(流程1_請假申請!X31="","",流程1_請假申請!X31)</f>
        <v/>
      </c>
      <c r="E31" s="34" t="str">
        <f aca="false">IF(C31="","",IF($B$3&lt;C31,0,DATEDIF(C31,$B$3,"m")))</f>
        <v/>
      </c>
      <c r="F31" s="41" t="str">
        <f aca="false">IF(C31="","",IF(AN31=0,0,CEILING(ROUND(AN31,2),$E$3)))</f>
        <v/>
      </c>
      <c r="G31" s="42"/>
      <c r="H31" s="41" t="str">
        <f aca="false">IF(C31="","",F31+G31)</f>
        <v/>
      </c>
      <c r="I31" s="41" t="str">
        <f aca="false">IF(C31="","",SUMIFS(流程1_請假申請!$I$5:$I$64,流程1_請假申請!$D$5:$D$64,B31,流程1_請假申請!$F$5:$F$64,"特別休假",流程1_請假申請!$M$5:$M$64,"已確認",流程1_請假申請!$G$5:$G$64,"&gt;="&amp;DATE(YEAR($B$3),1,1),流程1_請假申請!$G$5:$G$64,"&lt;="&amp;$B$3))</f>
        <v/>
      </c>
      <c r="J31" s="41" t="str">
        <f aca="false">IF(C31="","",H31-I31)</f>
        <v/>
      </c>
      <c r="K31" s="42"/>
      <c r="L31" s="34" t="str">
        <f aca="false">IF(C31="","",IF(AND(D31&lt;&gt;"",D31&lt;=$B$3),"離職結算",IF(AND(MONTH($B$3)=12,DAY($B$3)=31),"年度結算","")))</f>
        <v/>
      </c>
      <c r="M31" s="41" t="n">
        <f aca="false">IF(OR(C31="",L31=""),0,N(G31)-MIN(N(G31),I31))</f>
        <v>0</v>
      </c>
      <c r="N31" s="41" t="n">
        <f aca="false">IF(OR(C31="",L31=""),0,IF(L31="離職結算",J31-M31,MAX(0,J31-M31-N(K31))))</f>
        <v>0</v>
      </c>
      <c r="O31" s="43" t="str">
        <f aca="false">IF(C31="","",IFERROR(ROUND((INDEX(流程1_月結表!$G$6:$G$8,MATCH(A31,流程1_月結表!$B$6:$B$8,0))+INDEX(流程1_月結表!$H$6:$H$8,MATCH(A31,流程1_月結表!$B$6:$B$8,0))*流程1_參數!$C$7)/流程1_參數!$C$5,2),0))</f>
        <v/>
      </c>
      <c r="P31" s="44"/>
      <c r="Q31" s="43" t="n">
        <f aca="false">IF(OR(C31="",L31=""),0,ROUND(N31*O31+M31*IF(P31="",O31,P31),0))</f>
        <v>0</v>
      </c>
      <c r="R31" s="41" t="str">
        <f aca="false">IF($C31="","",SUMIFS(流程1_請假申請!$I$5:$I$64,流程1_請假申請!$D$5:$D$64,$B31,流程1_請假申請!$F$5:$F$64,"病假（普通傷病假）",流程1_請假申請!$M$5:$M$64,"已確認",流程1_請假申請!$G$5:$G$64,"&gt;="&amp;DATE(YEAR($B$3),1,1),流程1_請假申請!$G$5:$G$64,"&lt;="&amp;$B$3))</f>
        <v/>
      </c>
      <c r="S31" s="41" t="str">
        <f aca="false">IF($C31="","",SUMIFS(流程1_請假申請!$I$5:$I$64,流程1_請假申請!$D$5:$D$64,$B31,流程1_請假申請!$F$5:$F$64,"事假",流程1_請假申請!$M$5:$M$64,"已確認",流程1_請假申請!$G$5:$G$64,"&gt;="&amp;DATE(YEAR($B$3),1,1),流程1_請假申請!$G$5:$G$64,"&lt;="&amp;$B$3))</f>
        <v/>
      </c>
      <c r="T31" s="41" t="str">
        <f aca="false">IF($C31="","",SUMIFS(流程1_請假申請!$I$5:$I$64,流程1_請假申請!$D$5:$D$64,$B31,流程1_請假申請!$F$5:$F$64,"家庭照顧假",流程1_請假申請!$M$5:$M$64,"已確認",流程1_請假申請!$G$5:$G$64,"&gt;="&amp;DATE(YEAR($B$3),1,1),流程1_請假申請!$G$5:$G$64,"&lt;="&amp;$B$3))</f>
        <v/>
      </c>
      <c r="U31" s="41" t="str">
        <f aca="false">IF($C31="","",SUMIFS(流程1_請假申請!$I$5:$I$64,流程1_請假申請!$D$5:$D$64,$B31,流程1_請假申請!$F$5:$F$64,"生理假",流程1_請假申請!$M$5:$M$64,"已確認",流程1_請假申請!$G$5:$G$64,"&gt;="&amp;DATE(YEAR($B$3),1,1),流程1_請假申請!$G$5:$G$64,"&lt;="&amp;$B$3))</f>
        <v/>
      </c>
      <c r="V31" s="41" t="str">
        <f aca="false">IF($C31="","",SUMIFS(流程1_請假申請!$I$5:$I$64,流程1_請假申請!$D$5:$D$64,$B31,流程1_請假申請!$F$5:$F$64,"安胎休養假",流程1_請假申請!$M$5:$M$64,"已確認",流程1_請假申請!$G$5:$G$64,"&gt;="&amp;DATE(YEAR($B$3),1,1),流程1_請假申請!$G$5:$G$64,"&lt;="&amp;$B$3))</f>
        <v/>
      </c>
      <c r="W31" s="41" t="str">
        <f aca="false">IF($C31="","",SUMIFS(流程1_請假申請!$I$5:$I$64,流程1_請假申請!$D$5:$D$64,$B31,流程1_請假申請!$F$5:$F$64,"婚假",流程1_請假申請!$M$5:$M$64,"已確認",流程1_請假申請!$G$5:$G$64,"&gt;="&amp;DATE(YEAR($B$3),1,1),流程1_請假申請!$G$5:$G$64,"&lt;="&amp;$B$3))</f>
        <v/>
      </c>
      <c r="X31" s="41" t="str">
        <f aca="false">IF($C31="","",SUMIFS(流程1_請假申請!$I$5:$I$64,流程1_請假申請!$D$5:$D$64,$B31,流程1_請假申請!$F$5:$F$64,"喪假",流程1_請假申請!$M$5:$M$64,"已確認",流程1_請假申請!$G$5:$G$64,"&gt;="&amp;DATE(YEAR($B$3),1,1),流程1_請假申請!$G$5:$G$64,"&lt;="&amp;$B$3))</f>
        <v/>
      </c>
      <c r="Y31" s="41" t="str">
        <f aca="false">IF($C31="","",SUMIFS(流程1_請假申請!$I$5:$I$64,流程1_請假申請!$D$5:$D$64,$B31,流程1_請假申請!$F$5:$F$64,"產假",流程1_請假申請!$M$5:$M$64,"已確認",流程1_請假申請!$G$5:$G$64,"&gt;="&amp;DATE(YEAR($B$3),1,1),流程1_請假申請!$G$5:$G$64,"&lt;="&amp;$B$3))</f>
        <v/>
      </c>
      <c r="Z31" s="41" t="str">
        <f aca="false">IF($C31="","",SUMIFS(流程1_請假申請!$I$5:$I$64,流程1_請假申請!$D$5:$D$64,$B31,流程1_請假申請!$F$5:$F$64,"產檢假",流程1_請假申請!$M$5:$M$64,"已確認",流程1_請假申請!$G$5:$G$64,"&gt;="&amp;DATE(YEAR($B$3),1,1),流程1_請假申請!$G$5:$G$64,"&lt;="&amp;$B$3))</f>
        <v/>
      </c>
      <c r="AA31" s="41" t="str">
        <f aca="false">IF($C31="","",SUMIFS(流程1_請假申請!$I$5:$I$64,流程1_請假申請!$D$5:$D$64,$B31,流程1_請假申請!$F$5:$F$64,"陪產檢及陪產假",流程1_請假申請!$M$5:$M$64,"已確認",流程1_請假申請!$G$5:$G$64,"&gt;="&amp;DATE(YEAR($B$3),1,1),流程1_請假申請!$G$5:$G$64,"&lt;="&amp;$B$3))</f>
        <v/>
      </c>
      <c r="AB31" s="41" t="str">
        <f aca="false">IF($C31="","",SUMIFS(流程1_請假申請!$I$5:$I$64,流程1_請假申請!$D$5:$D$64,$B31,流程1_請假申請!$F$5:$F$64,"公傷病假",流程1_請假申請!$M$5:$M$64,"已確認",流程1_請假申請!$G$5:$G$64,"&gt;="&amp;DATE(YEAR($B$3),1,1),流程1_請假申請!$G$5:$G$64,"&lt;="&amp;$B$3))</f>
        <v/>
      </c>
      <c r="AC31" s="41" t="str">
        <f aca="false">IF($C31="","",SUMIFS(流程1_請假申請!$I$5:$I$64,流程1_請假申請!$D$5:$D$64,$B31,流程1_請假申請!$F$5:$F$64,"公假",流程1_請假申請!$M$5:$M$64,"已確認",流程1_請假申請!$G$5:$G$64,"&gt;="&amp;DATE(YEAR($B$3),1,1),流程1_請假申請!$G$5:$G$64,"&lt;="&amp;$B$3))</f>
        <v/>
      </c>
      <c r="AD31" s="41" t="str">
        <f aca="false">IF($C31="","",SUMIFS(流程1_請假申請!$I$5:$I$64,流程1_請假申請!$D$5:$D$64,$B31,流程1_請假申請!$F$5:$F$64,"特別休假",流程1_請假申請!$M$5:$M$64,"已確認",流程1_請假申請!$G$5:$G$64,"&gt;="&amp;DATE(YEAR($B$3),1,1),流程1_請假申請!$G$5:$G$64,"&lt;="&amp;$B$3))</f>
        <v/>
      </c>
      <c r="AE31" s="41" t="str">
        <f aca="false">IF($C31="","",SUMIFS(流程1_請假申請!$I$5:$I$64,流程1_請假申請!$D$5:$D$64,$B31,流程1_請假申請!$F$5:$F$64,"育嬰留職停薪",流程1_請假申請!$M$5:$M$64,"已確認",流程1_請假申請!$G$5:$G$64,"&gt;="&amp;DATE(YEAR($B$3),1,1),流程1_請假申請!$G$5:$G$64,"&lt;="&amp;$B$3))</f>
        <v/>
      </c>
      <c r="AF31" s="41" t="str">
        <f aca="false">IF(C31="","",30-R31)</f>
        <v/>
      </c>
      <c r="AG31" s="41" t="str">
        <f aca="false">IF(C31="","",14-S31)</f>
        <v/>
      </c>
      <c r="AH31" s="40" t="str">
        <f aca="false">IF(C31="","",IF(D31="",DATE(YEAR($B$3)+1,1,1),MIN(DATE(YEAR($B$3)+1,1,1),D31+1)))</f>
        <v/>
      </c>
      <c r="AI31" s="40" t="str">
        <f aca="false">IF(C31="","",MAX(DATE(YEAR($B$3),1,1),MIN(AH31,EDATE(C31,6))))</f>
        <v/>
      </c>
      <c r="AJ31" s="40" t="str">
        <f aca="false">IF(C31="","",MAX(AI31,MIN(AH31,EDATE(C31,12*MAX(1,YEAR($B$3)-YEAR(C31))))))</f>
        <v/>
      </c>
      <c r="AK31" s="34" t="str">
        <f aca="false">IF(C31="","",IF(IF(DATE(YEAR($B$3),1,1)&lt;$C31,0,DATEDIF($C31,DATE(YEAR($B$3),1,1),"m"))&lt;6,0,IF(IF(DATE(YEAR($B$3),1,1)&lt;$C31,0,DATEDIF($C31,DATE(YEAR($B$3),1,1),"m"))&lt;12,6,IF(IF(DATE(YEAR($B$3),1,1)&lt;$C31,0,DATEDIF($C31,DATE(YEAR($B$3),1,1),"m"))&lt;24,7,IF(IF(DATE(YEAR($B$3),1,1)&lt;$C31,0,DATEDIF($C31,DATE(YEAR($B$3),1,1),"m"))&lt;36,10,IF(IF(DATE(YEAR($B$3),1,1)&lt;$C31,0,DATEDIF($C31,DATE(YEAR($B$3),1,1),"m"))&lt;60,14,IF(IF(DATE(YEAR($B$3),1,1)&lt;$C31,0,DATEDIF($C31,DATE(YEAR($B$3),1,1),"m"))&lt;120,15,MIN(30,15+INT(IF(DATE(YEAR($B$3),1,1)&lt;$C31,0,DATEDIF($C31,DATE(YEAR($B$3),1,1),"m"))/12)-9))))))))</f>
        <v/>
      </c>
      <c r="AL31" s="34" t="str">
        <f aca="false">IF(C31="","",IF(IF(AI31&lt;$C31,0,DATEDIF($C31,AI31,"m"))&lt;6,0,IF(IF(AI31&lt;$C31,0,DATEDIF($C31,AI31,"m"))&lt;12,6,IF(IF(AI31&lt;$C31,0,DATEDIF($C31,AI31,"m"))&lt;24,7,IF(IF(AI31&lt;$C31,0,DATEDIF($C31,AI31,"m"))&lt;36,10,IF(IF(AI31&lt;$C31,0,DATEDIF($C31,AI31,"m"))&lt;60,14,IF(IF(AI31&lt;$C31,0,DATEDIF($C31,AI31,"m"))&lt;120,15,MIN(30,15+INT(IF(AI31&lt;$C31,0,DATEDIF($C31,AI31,"m"))/12)-9))))))))</f>
        <v/>
      </c>
      <c r="AM31" s="34" t="str">
        <f aca="false">IF(C31="","",IF(IF(AJ31&lt;$C31,0,DATEDIF($C31,AJ31,"m"))&lt;6,0,IF(IF(AJ31&lt;$C31,0,DATEDIF($C31,AJ31,"m"))&lt;12,6,IF(IF(AJ31&lt;$C31,0,DATEDIF($C31,AJ31,"m"))&lt;24,7,IF(IF(AJ31&lt;$C31,0,DATEDIF($C31,AJ31,"m"))&lt;36,10,IF(IF(AJ31&lt;$C31,0,DATEDIF($C31,AJ31,"m"))&lt;60,14,IF(IF(AJ31&lt;$C31,0,DATEDIF($C31,AJ31,"m"))&lt;120,15,MIN(30,15+INT(IF(AJ31&lt;$C31,0,DATEDIF($C31,AJ31,"m"))/12)-9))))))))</f>
        <v/>
      </c>
      <c r="AN31" s="33" t="str">
        <f aca="false">IF(C31="","",((AI31-DATE(YEAR($B$3),1,1))*AK31+(AJ31-AI31)*AL31+(AH31-AJ31)*AM31)/(DATE(YEAR($B$3)+1,1,1)-DATE(YEAR($B$3),1,1)))</f>
        <v/>
      </c>
    </row>
    <row r="32" customFormat="false" ht="15" hidden="false" customHeight="false" outlineLevel="0" collapsed="false">
      <c r="A32" s="34" t="str">
        <f aca="false">IF(流程1_請假申請!U32="","",流程1_請假申請!T32)</f>
        <v/>
      </c>
      <c r="B32" s="34" t="str">
        <f aca="false">IF(流程1_請假申請!U32="","",流程1_請假申請!U32)</f>
        <v/>
      </c>
      <c r="C32" s="40" t="str">
        <f aca="false">IF(流程1_請假申請!U32="","",流程1_請假申請!W32)</f>
        <v/>
      </c>
      <c r="D32" s="40" t="str">
        <f aca="false">IF(流程1_請假申請!X32="","",流程1_請假申請!X32)</f>
        <v/>
      </c>
      <c r="E32" s="34" t="str">
        <f aca="false">IF(C32="","",IF($B$3&lt;C32,0,DATEDIF(C32,$B$3,"m")))</f>
        <v/>
      </c>
      <c r="F32" s="41" t="str">
        <f aca="false">IF(C32="","",IF(AN32=0,0,CEILING(ROUND(AN32,2),$E$3)))</f>
        <v/>
      </c>
      <c r="G32" s="42"/>
      <c r="H32" s="41" t="str">
        <f aca="false">IF(C32="","",F32+G32)</f>
        <v/>
      </c>
      <c r="I32" s="41" t="str">
        <f aca="false">IF(C32="","",SUMIFS(流程1_請假申請!$I$5:$I$64,流程1_請假申請!$D$5:$D$64,B32,流程1_請假申請!$F$5:$F$64,"特別休假",流程1_請假申請!$M$5:$M$64,"已確認",流程1_請假申請!$G$5:$G$64,"&gt;="&amp;DATE(YEAR($B$3),1,1),流程1_請假申請!$G$5:$G$64,"&lt;="&amp;$B$3))</f>
        <v/>
      </c>
      <c r="J32" s="41" t="str">
        <f aca="false">IF(C32="","",H32-I32)</f>
        <v/>
      </c>
      <c r="K32" s="42"/>
      <c r="L32" s="34" t="str">
        <f aca="false">IF(C32="","",IF(AND(D32&lt;&gt;"",D32&lt;=$B$3),"離職結算",IF(AND(MONTH($B$3)=12,DAY($B$3)=31),"年度結算","")))</f>
        <v/>
      </c>
      <c r="M32" s="41" t="n">
        <f aca="false">IF(OR(C32="",L32=""),0,N(G32)-MIN(N(G32),I32))</f>
        <v>0</v>
      </c>
      <c r="N32" s="41" t="n">
        <f aca="false">IF(OR(C32="",L32=""),0,IF(L32="離職結算",J32-M32,MAX(0,J32-M32-N(K32))))</f>
        <v>0</v>
      </c>
      <c r="O32" s="43" t="str">
        <f aca="false">IF(C32="","",IFERROR(ROUND((INDEX(流程1_月結表!$G$6:$G$8,MATCH(A32,流程1_月結表!$B$6:$B$8,0))+INDEX(流程1_月結表!$H$6:$H$8,MATCH(A32,流程1_月結表!$B$6:$B$8,0))*流程1_參數!$C$7)/流程1_參數!$C$5,2),0))</f>
        <v/>
      </c>
      <c r="P32" s="44"/>
      <c r="Q32" s="43" t="n">
        <f aca="false">IF(OR(C32="",L32=""),0,ROUND(N32*O32+M32*IF(P32="",O32,P32),0))</f>
        <v>0</v>
      </c>
      <c r="R32" s="41" t="str">
        <f aca="false">IF($C32="","",SUMIFS(流程1_請假申請!$I$5:$I$64,流程1_請假申請!$D$5:$D$64,$B32,流程1_請假申請!$F$5:$F$64,"病假（普通傷病假）",流程1_請假申請!$M$5:$M$64,"已確認",流程1_請假申請!$G$5:$G$64,"&gt;="&amp;DATE(YEAR($B$3),1,1),流程1_請假申請!$G$5:$G$64,"&lt;="&amp;$B$3))</f>
        <v/>
      </c>
      <c r="S32" s="41" t="str">
        <f aca="false">IF($C32="","",SUMIFS(流程1_請假申請!$I$5:$I$64,流程1_請假申請!$D$5:$D$64,$B32,流程1_請假申請!$F$5:$F$64,"事假",流程1_請假申請!$M$5:$M$64,"已確認",流程1_請假申請!$G$5:$G$64,"&gt;="&amp;DATE(YEAR($B$3),1,1),流程1_請假申請!$G$5:$G$64,"&lt;="&amp;$B$3))</f>
        <v/>
      </c>
      <c r="T32" s="41" t="str">
        <f aca="false">IF($C32="","",SUMIFS(流程1_請假申請!$I$5:$I$64,流程1_請假申請!$D$5:$D$64,$B32,流程1_請假申請!$F$5:$F$64,"家庭照顧假",流程1_請假申請!$M$5:$M$64,"已確認",流程1_請假申請!$G$5:$G$64,"&gt;="&amp;DATE(YEAR($B$3),1,1),流程1_請假申請!$G$5:$G$64,"&lt;="&amp;$B$3))</f>
        <v/>
      </c>
      <c r="U32" s="41" t="str">
        <f aca="false">IF($C32="","",SUMIFS(流程1_請假申請!$I$5:$I$64,流程1_請假申請!$D$5:$D$64,$B32,流程1_請假申請!$F$5:$F$64,"生理假",流程1_請假申請!$M$5:$M$64,"已確認",流程1_請假申請!$G$5:$G$64,"&gt;="&amp;DATE(YEAR($B$3),1,1),流程1_請假申請!$G$5:$G$64,"&lt;="&amp;$B$3))</f>
        <v/>
      </c>
      <c r="V32" s="41" t="str">
        <f aca="false">IF($C32="","",SUMIFS(流程1_請假申請!$I$5:$I$64,流程1_請假申請!$D$5:$D$64,$B32,流程1_請假申請!$F$5:$F$64,"安胎休養假",流程1_請假申請!$M$5:$M$64,"已確認",流程1_請假申請!$G$5:$G$64,"&gt;="&amp;DATE(YEAR($B$3),1,1),流程1_請假申請!$G$5:$G$64,"&lt;="&amp;$B$3))</f>
        <v/>
      </c>
      <c r="W32" s="41" t="str">
        <f aca="false">IF($C32="","",SUMIFS(流程1_請假申請!$I$5:$I$64,流程1_請假申請!$D$5:$D$64,$B32,流程1_請假申請!$F$5:$F$64,"婚假",流程1_請假申請!$M$5:$M$64,"已確認",流程1_請假申請!$G$5:$G$64,"&gt;="&amp;DATE(YEAR($B$3),1,1),流程1_請假申請!$G$5:$G$64,"&lt;="&amp;$B$3))</f>
        <v/>
      </c>
      <c r="X32" s="41" t="str">
        <f aca="false">IF($C32="","",SUMIFS(流程1_請假申請!$I$5:$I$64,流程1_請假申請!$D$5:$D$64,$B32,流程1_請假申請!$F$5:$F$64,"喪假",流程1_請假申請!$M$5:$M$64,"已確認",流程1_請假申請!$G$5:$G$64,"&gt;="&amp;DATE(YEAR($B$3),1,1),流程1_請假申請!$G$5:$G$64,"&lt;="&amp;$B$3))</f>
        <v/>
      </c>
      <c r="Y32" s="41" t="str">
        <f aca="false">IF($C32="","",SUMIFS(流程1_請假申請!$I$5:$I$64,流程1_請假申請!$D$5:$D$64,$B32,流程1_請假申請!$F$5:$F$64,"產假",流程1_請假申請!$M$5:$M$64,"已確認",流程1_請假申請!$G$5:$G$64,"&gt;="&amp;DATE(YEAR($B$3),1,1),流程1_請假申請!$G$5:$G$64,"&lt;="&amp;$B$3))</f>
        <v/>
      </c>
      <c r="Z32" s="41" t="str">
        <f aca="false">IF($C32="","",SUMIFS(流程1_請假申請!$I$5:$I$64,流程1_請假申請!$D$5:$D$64,$B32,流程1_請假申請!$F$5:$F$64,"產檢假",流程1_請假申請!$M$5:$M$64,"已確認",流程1_請假申請!$G$5:$G$64,"&gt;="&amp;DATE(YEAR($B$3),1,1),流程1_請假申請!$G$5:$G$64,"&lt;="&amp;$B$3))</f>
        <v/>
      </c>
      <c r="AA32" s="41" t="str">
        <f aca="false">IF($C32="","",SUMIFS(流程1_請假申請!$I$5:$I$64,流程1_請假申請!$D$5:$D$64,$B32,流程1_請假申請!$F$5:$F$64,"陪產檢及陪產假",流程1_請假申請!$M$5:$M$64,"已確認",流程1_請假申請!$G$5:$G$64,"&gt;="&amp;DATE(YEAR($B$3),1,1),流程1_請假申請!$G$5:$G$64,"&lt;="&amp;$B$3))</f>
        <v/>
      </c>
      <c r="AB32" s="41" t="str">
        <f aca="false">IF($C32="","",SUMIFS(流程1_請假申請!$I$5:$I$64,流程1_請假申請!$D$5:$D$64,$B32,流程1_請假申請!$F$5:$F$64,"公傷病假",流程1_請假申請!$M$5:$M$64,"已確認",流程1_請假申請!$G$5:$G$64,"&gt;="&amp;DATE(YEAR($B$3),1,1),流程1_請假申請!$G$5:$G$64,"&lt;="&amp;$B$3))</f>
        <v/>
      </c>
      <c r="AC32" s="41" t="str">
        <f aca="false">IF($C32="","",SUMIFS(流程1_請假申請!$I$5:$I$64,流程1_請假申請!$D$5:$D$64,$B32,流程1_請假申請!$F$5:$F$64,"公假",流程1_請假申請!$M$5:$M$64,"已確認",流程1_請假申請!$G$5:$G$64,"&gt;="&amp;DATE(YEAR($B$3),1,1),流程1_請假申請!$G$5:$G$64,"&lt;="&amp;$B$3))</f>
        <v/>
      </c>
      <c r="AD32" s="41" t="str">
        <f aca="false">IF($C32="","",SUMIFS(流程1_請假申請!$I$5:$I$64,流程1_請假申請!$D$5:$D$64,$B32,流程1_請假申請!$F$5:$F$64,"特別休假",流程1_請假申請!$M$5:$M$64,"已確認",流程1_請假申請!$G$5:$G$64,"&gt;="&amp;DATE(YEAR($B$3),1,1),流程1_請假申請!$G$5:$G$64,"&lt;="&amp;$B$3))</f>
        <v/>
      </c>
      <c r="AE32" s="41" t="str">
        <f aca="false">IF($C32="","",SUMIFS(流程1_請假申請!$I$5:$I$64,流程1_請假申請!$D$5:$D$64,$B32,流程1_請假申請!$F$5:$F$64,"育嬰留職停薪",流程1_請假申請!$M$5:$M$64,"已確認",流程1_請假申請!$G$5:$G$64,"&gt;="&amp;DATE(YEAR($B$3),1,1),流程1_請假申請!$G$5:$G$64,"&lt;="&amp;$B$3))</f>
        <v/>
      </c>
      <c r="AF32" s="41" t="str">
        <f aca="false">IF(C32="","",30-R32)</f>
        <v/>
      </c>
      <c r="AG32" s="41" t="str">
        <f aca="false">IF(C32="","",14-S32)</f>
        <v/>
      </c>
      <c r="AH32" s="40" t="str">
        <f aca="false">IF(C32="","",IF(D32="",DATE(YEAR($B$3)+1,1,1),MIN(DATE(YEAR($B$3)+1,1,1),D32+1)))</f>
        <v/>
      </c>
      <c r="AI32" s="40" t="str">
        <f aca="false">IF(C32="","",MAX(DATE(YEAR($B$3),1,1),MIN(AH32,EDATE(C32,6))))</f>
        <v/>
      </c>
      <c r="AJ32" s="40" t="str">
        <f aca="false">IF(C32="","",MAX(AI32,MIN(AH32,EDATE(C32,12*MAX(1,YEAR($B$3)-YEAR(C32))))))</f>
        <v/>
      </c>
      <c r="AK32" s="34" t="str">
        <f aca="false">IF(C32="","",IF(IF(DATE(YEAR($B$3),1,1)&lt;$C32,0,DATEDIF($C32,DATE(YEAR($B$3),1,1),"m"))&lt;6,0,IF(IF(DATE(YEAR($B$3),1,1)&lt;$C32,0,DATEDIF($C32,DATE(YEAR($B$3),1,1),"m"))&lt;12,6,IF(IF(DATE(YEAR($B$3),1,1)&lt;$C32,0,DATEDIF($C32,DATE(YEAR($B$3),1,1),"m"))&lt;24,7,IF(IF(DATE(YEAR($B$3),1,1)&lt;$C32,0,DATEDIF($C32,DATE(YEAR($B$3),1,1),"m"))&lt;36,10,IF(IF(DATE(YEAR($B$3),1,1)&lt;$C32,0,DATEDIF($C32,DATE(YEAR($B$3),1,1),"m"))&lt;60,14,IF(IF(DATE(YEAR($B$3),1,1)&lt;$C32,0,DATEDIF($C32,DATE(YEAR($B$3),1,1),"m"))&lt;120,15,MIN(30,15+INT(IF(DATE(YEAR($B$3),1,1)&lt;$C32,0,DATEDIF($C32,DATE(YEAR($B$3),1,1),"m"))/12)-9))))))))</f>
        <v/>
      </c>
      <c r="AL32" s="34" t="str">
        <f aca="false">IF(C32="","",IF(IF(AI32&lt;$C32,0,DATEDIF($C32,AI32,"m"))&lt;6,0,IF(IF(AI32&lt;$C32,0,DATEDIF($C32,AI32,"m"))&lt;12,6,IF(IF(AI32&lt;$C32,0,DATEDIF($C32,AI32,"m"))&lt;24,7,IF(IF(AI32&lt;$C32,0,DATEDIF($C32,AI32,"m"))&lt;36,10,IF(IF(AI32&lt;$C32,0,DATEDIF($C32,AI32,"m"))&lt;60,14,IF(IF(AI32&lt;$C32,0,DATEDIF($C32,AI32,"m"))&lt;120,15,MIN(30,15+INT(IF(AI32&lt;$C32,0,DATEDIF($C32,AI32,"m"))/12)-9))))))))</f>
        <v/>
      </c>
      <c r="AM32" s="34" t="str">
        <f aca="false">IF(C32="","",IF(IF(AJ32&lt;$C32,0,DATEDIF($C32,AJ32,"m"))&lt;6,0,IF(IF(AJ32&lt;$C32,0,DATEDIF($C32,AJ32,"m"))&lt;12,6,IF(IF(AJ32&lt;$C32,0,DATEDIF($C32,AJ32,"m"))&lt;24,7,IF(IF(AJ32&lt;$C32,0,DATEDIF($C32,AJ32,"m"))&lt;36,10,IF(IF(AJ32&lt;$C32,0,DATEDIF($C32,AJ32,"m"))&lt;60,14,IF(IF(AJ32&lt;$C32,0,DATEDIF($C32,AJ32,"m"))&lt;120,15,MIN(30,15+INT(IF(AJ32&lt;$C32,0,DATEDIF($C32,AJ32,"m"))/12)-9))))))))</f>
        <v/>
      </c>
      <c r="AN32" s="33" t="str">
        <f aca="false">IF(C32="","",((AI32-DATE(YEAR($B$3),1,1))*AK32+(AJ32-AI32)*AL32+(AH32-AJ32)*AM32)/(DATE(YEAR($B$3)+1,1,1)-DATE(YEAR($B$3),1,1)))</f>
        <v/>
      </c>
    </row>
    <row r="33" customFormat="false" ht="15" hidden="false" customHeight="false" outlineLevel="0" collapsed="false">
      <c r="A33" s="34" t="str">
        <f aca="false">IF(流程1_請假申請!U33="","",流程1_請假申請!T33)</f>
        <v/>
      </c>
      <c r="B33" s="34" t="str">
        <f aca="false">IF(流程1_請假申請!U33="","",流程1_請假申請!U33)</f>
        <v/>
      </c>
      <c r="C33" s="40" t="str">
        <f aca="false">IF(流程1_請假申請!U33="","",流程1_請假申請!W33)</f>
        <v/>
      </c>
      <c r="D33" s="40" t="str">
        <f aca="false">IF(流程1_請假申請!X33="","",流程1_請假申請!X33)</f>
        <v/>
      </c>
      <c r="E33" s="34" t="str">
        <f aca="false">IF(C33="","",IF($B$3&lt;C33,0,DATEDIF(C33,$B$3,"m")))</f>
        <v/>
      </c>
      <c r="F33" s="41" t="str">
        <f aca="false">IF(C33="","",IF(AN33=0,0,CEILING(ROUND(AN33,2),$E$3)))</f>
        <v/>
      </c>
      <c r="G33" s="42"/>
      <c r="H33" s="41" t="str">
        <f aca="false">IF(C33="","",F33+G33)</f>
        <v/>
      </c>
      <c r="I33" s="41" t="str">
        <f aca="false">IF(C33="","",SUMIFS(流程1_請假申請!$I$5:$I$64,流程1_請假申請!$D$5:$D$64,B33,流程1_請假申請!$F$5:$F$64,"特別休假",流程1_請假申請!$M$5:$M$64,"已確認",流程1_請假申請!$G$5:$G$64,"&gt;="&amp;DATE(YEAR($B$3),1,1),流程1_請假申請!$G$5:$G$64,"&lt;="&amp;$B$3))</f>
        <v/>
      </c>
      <c r="J33" s="41" t="str">
        <f aca="false">IF(C33="","",H33-I33)</f>
        <v/>
      </c>
      <c r="K33" s="42"/>
      <c r="L33" s="34" t="str">
        <f aca="false">IF(C33="","",IF(AND(D33&lt;&gt;"",D33&lt;=$B$3),"離職結算",IF(AND(MONTH($B$3)=12,DAY($B$3)=31),"年度結算","")))</f>
        <v/>
      </c>
      <c r="M33" s="41" t="n">
        <f aca="false">IF(OR(C33="",L33=""),0,N(G33)-MIN(N(G33),I33))</f>
        <v>0</v>
      </c>
      <c r="N33" s="41" t="n">
        <f aca="false">IF(OR(C33="",L33=""),0,IF(L33="離職結算",J33-M33,MAX(0,J33-M33-N(K33))))</f>
        <v>0</v>
      </c>
      <c r="O33" s="43" t="str">
        <f aca="false">IF(C33="","",IFERROR(ROUND((INDEX(流程1_月結表!$G$6:$G$8,MATCH(A33,流程1_月結表!$B$6:$B$8,0))+INDEX(流程1_月結表!$H$6:$H$8,MATCH(A33,流程1_月結表!$B$6:$B$8,0))*流程1_參數!$C$7)/流程1_參數!$C$5,2),0))</f>
        <v/>
      </c>
      <c r="P33" s="44"/>
      <c r="Q33" s="43" t="n">
        <f aca="false">IF(OR(C33="",L33=""),0,ROUND(N33*O33+M33*IF(P33="",O33,P33),0))</f>
        <v>0</v>
      </c>
      <c r="R33" s="41" t="str">
        <f aca="false">IF($C33="","",SUMIFS(流程1_請假申請!$I$5:$I$64,流程1_請假申請!$D$5:$D$64,$B33,流程1_請假申請!$F$5:$F$64,"病假（普通傷病假）",流程1_請假申請!$M$5:$M$64,"已確認",流程1_請假申請!$G$5:$G$64,"&gt;="&amp;DATE(YEAR($B$3),1,1),流程1_請假申請!$G$5:$G$64,"&lt;="&amp;$B$3))</f>
        <v/>
      </c>
      <c r="S33" s="41" t="str">
        <f aca="false">IF($C33="","",SUMIFS(流程1_請假申請!$I$5:$I$64,流程1_請假申請!$D$5:$D$64,$B33,流程1_請假申請!$F$5:$F$64,"事假",流程1_請假申請!$M$5:$M$64,"已確認",流程1_請假申請!$G$5:$G$64,"&gt;="&amp;DATE(YEAR($B$3),1,1),流程1_請假申請!$G$5:$G$64,"&lt;="&amp;$B$3))</f>
        <v/>
      </c>
      <c r="T33" s="41" t="str">
        <f aca="false">IF($C33="","",SUMIFS(流程1_請假申請!$I$5:$I$64,流程1_請假申請!$D$5:$D$64,$B33,流程1_請假申請!$F$5:$F$64,"家庭照顧假",流程1_請假申請!$M$5:$M$64,"已確認",流程1_請假申請!$G$5:$G$64,"&gt;="&amp;DATE(YEAR($B$3),1,1),流程1_請假申請!$G$5:$G$64,"&lt;="&amp;$B$3))</f>
        <v/>
      </c>
      <c r="U33" s="41" t="str">
        <f aca="false">IF($C33="","",SUMIFS(流程1_請假申請!$I$5:$I$64,流程1_請假申請!$D$5:$D$64,$B33,流程1_請假申請!$F$5:$F$64,"生理假",流程1_請假申請!$M$5:$M$64,"已確認",流程1_請假申請!$G$5:$G$64,"&gt;="&amp;DATE(YEAR($B$3),1,1),流程1_請假申請!$G$5:$G$64,"&lt;="&amp;$B$3))</f>
        <v/>
      </c>
      <c r="V33" s="41" t="str">
        <f aca="false">IF($C33="","",SUMIFS(流程1_請假申請!$I$5:$I$64,流程1_請假申請!$D$5:$D$64,$B33,流程1_請假申請!$F$5:$F$64,"安胎休養假",流程1_請假申請!$M$5:$M$64,"已確認",流程1_請假申請!$G$5:$G$64,"&gt;="&amp;DATE(YEAR($B$3),1,1),流程1_請假申請!$G$5:$G$64,"&lt;="&amp;$B$3))</f>
        <v/>
      </c>
      <c r="W33" s="41" t="str">
        <f aca="false">IF($C33="","",SUMIFS(流程1_請假申請!$I$5:$I$64,流程1_請假申請!$D$5:$D$64,$B33,流程1_請假申請!$F$5:$F$64,"婚假",流程1_請假申請!$M$5:$M$64,"已確認",流程1_請假申請!$G$5:$G$64,"&gt;="&amp;DATE(YEAR($B$3),1,1),流程1_請假申請!$G$5:$G$64,"&lt;="&amp;$B$3))</f>
        <v/>
      </c>
      <c r="X33" s="41" t="str">
        <f aca="false">IF($C33="","",SUMIFS(流程1_請假申請!$I$5:$I$64,流程1_請假申請!$D$5:$D$64,$B33,流程1_請假申請!$F$5:$F$64,"喪假",流程1_請假申請!$M$5:$M$64,"已確認",流程1_請假申請!$G$5:$G$64,"&gt;="&amp;DATE(YEAR($B$3),1,1),流程1_請假申請!$G$5:$G$64,"&lt;="&amp;$B$3))</f>
        <v/>
      </c>
      <c r="Y33" s="41" t="str">
        <f aca="false">IF($C33="","",SUMIFS(流程1_請假申請!$I$5:$I$64,流程1_請假申請!$D$5:$D$64,$B33,流程1_請假申請!$F$5:$F$64,"產假",流程1_請假申請!$M$5:$M$64,"已確認",流程1_請假申請!$G$5:$G$64,"&gt;="&amp;DATE(YEAR($B$3),1,1),流程1_請假申請!$G$5:$G$64,"&lt;="&amp;$B$3))</f>
        <v/>
      </c>
      <c r="Z33" s="41" t="str">
        <f aca="false">IF($C33="","",SUMIFS(流程1_請假申請!$I$5:$I$64,流程1_請假申請!$D$5:$D$64,$B33,流程1_請假申請!$F$5:$F$64,"產檢假",流程1_請假申請!$M$5:$M$64,"已確認",流程1_請假申請!$G$5:$G$64,"&gt;="&amp;DATE(YEAR($B$3),1,1),流程1_請假申請!$G$5:$G$64,"&lt;="&amp;$B$3))</f>
        <v/>
      </c>
      <c r="AA33" s="41" t="str">
        <f aca="false">IF($C33="","",SUMIFS(流程1_請假申請!$I$5:$I$64,流程1_請假申請!$D$5:$D$64,$B33,流程1_請假申請!$F$5:$F$64,"陪產檢及陪產假",流程1_請假申請!$M$5:$M$64,"已確認",流程1_請假申請!$G$5:$G$64,"&gt;="&amp;DATE(YEAR($B$3),1,1),流程1_請假申請!$G$5:$G$64,"&lt;="&amp;$B$3))</f>
        <v/>
      </c>
      <c r="AB33" s="41" t="str">
        <f aca="false">IF($C33="","",SUMIFS(流程1_請假申請!$I$5:$I$64,流程1_請假申請!$D$5:$D$64,$B33,流程1_請假申請!$F$5:$F$64,"公傷病假",流程1_請假申請!$M$5:$M$64,"已確認",流程1_請假申請!$G$5:$G$64,"&gt;="&amp;DATE(YEAR($B$3),1,1),流程1_請假申請!$G$5:$G$64,"&lt;="&amp;$B$3))</f>
        <v/>
      </c>
      <c r="AC33" s="41" t="str">
        <f aca="false">IF($C33="","",SUMIFS(流程1_請假申請!$I$5:$I$64,流程1_請假申請!$D$5:$D$64,$B33,流程1_請假申請!$F$5:$F$64,"公假",流程1_請假申請!$M$5:$M$64,"已確認",流程1_請假申請!$G$5:$G$64,"&gt;="&amp;DATE(YEAR($B$3),1,1),流程1_請假申請!$G$5:$G$64,"&lt;="&amp;$B$3))</f>
        <v/>
      </c>
      <c r="AD33" s="41" t="str">
        <f aca="false">IF($C33="","",SUMIFS(流程1_請假申請!$I$5:$I$64,流程1_請假申請!$D$5:$D$64,$B33,流程1_請假申請!$F$5:$F$64,"特別休假",流程1_請假申請!$M$5:$M$64,"已確認",流程1_請假申請!$G$5:$G$64,"&gt;="&amp;DATE(YEAR($B$3),1,1),流程1_請假申請!$G$5:$G$64,"&lt;="&amp;$B$3))</f>
        <v/>
      </c>
      <c r="AE33" s="41" t="str">
        <f aca="false">IF($C33="","",SUMIFS(流程1_請假申請!$I$5:$I$64,流程1_請假申請!$D$5:$D$64,$B33,流程1_請假申請!$F$5:$F$64,"育嬰留職停薪",流程1_請假申請!$M$5:$M$64,"已確認",流程1_請假申請!$G$5:$G$64,"&gt;="&amp;DATE(YEAR($B$3),1,1),流程1_請假申請!$G$5:$G$64,"&lt;="&amp;$B$3))</f>
        <v/>
      </c>
      <c r="AF33" s="41" t="str">
        <f aca="false">IF(C33="","",30-R33)</f>
        <v/>
      </c>
      <c r="AG33" s="41" t="str">
        <f aca="false">IF(C33="","",14-S33)</f>
        <v/>
      </c>
      <c r="AH33" s="40" t="str">
        <f aca="false">IF(C33="","",IF(D33="",DATE(YEAR($B$3)+1,1,1),MIN(DATE(YEAR($B$3)+1,1,1),D33+1)))</f>
        <v/>
      </c>
      <c r="AI33" s="40" t="str">
        <f aca="false">IF(C33="","",MAX(DATE(YEAR($B$3),1,1),MIN(AH33,EDATE(C33,6))))</f>
        <v/>
      </c>
      <c r="AJ33" s="40" t="str">
        <f aca="false">IF(C33="","",MAX(AI33,MIN(AH33,EDATE(C33,12*MAX(1,YEAR($B$3)-YEAR(C33))))))</f>
        <v/>
      </c>
      <c r="AK33" s="34" t="str">
        <f aca="false">IF(C33="","",IF(IF(DATE(YEAR($B$3),1,1)&lt;$C33,0,DATEDIF($C33,DATE(YEAR($B$3),1,1),"m"))&lt;6,0,IF(IF(DATE(YEAR($B$3),1,1)&lt;$C33,0,DATEDIF($C33,DATE(YEAR($B$3),1,1),"m"))&lt;12,6,IF(IF(DATE(YEAR($B$3),1,1)&lt;$C33,0,DATEDIF($C33,DATE(YEAR($B$3),1,1),"m"))&lt;24,7,IF(IF(DATE(YEAR($B$3),1,1)&lt;$C33,0,DATEDIF($C33,DATE(YEAR($B$3),1,1),"m"))&lt;36,10,IF(IF(DATE(YEAR($B$3),1,1)&lt;$C33,0,DATEDIF($C33,DATE(YEAR($B$3),1,1),"m"))&lt;60,14,IF(IF(DATE(YEAR($B$3),1,1)&lt;$C33,0,DATEDIF($C33,DATE(YEAR($B$3),1,1),"m"))&lt;120,15,MIN(30,15+INT(IF(DATE(YEAR($B$3),1,1)&lt;$C33,0,DATEDIF($C33,DATE(YEAR($B$3),1,1),"m"))/12)-9))))))))</f>
        <v/>
      </c>
      <c r="AL33" s="34" t="str">
        <f aca="false">IF(C33="","",IF(IF(AI33&lt;$C33,0,DATEDIF($C33,AI33,"m"))&lt;6,0,IF(IF(AI33&lt;$C33,0,DATEDIF($C33,AI33,"m"))&lt;12,6,IF(IF(AI33&lt;$C33,0,DATEDIF($C33,AI33,"m"))&lt;24,7,IF(IF(AI33&lt;$C33,0,DATEDIF($C33,AI33,"m"))&lt;36,10,IF(IF(AI33&lt;$C33,0,DATEDIF($C33,AI33,"m"))&lt;60,14,IF(IF(AI33&lt;$C33,0,DATEDIF($C33,AI33,"m"))&lt;120,15,MIN(30,15+INT(IF(AI33&lt;$C33,0,DATEDIF($C33,AI33,"m"))/12)-9))))))))</f>
        <v/>
      </c>
      <c r="AM33" s="34" t="str">
        <f aca="false">IF(C33="","",IF(IF(AJ33&lt;$C33,0,DATEDIF($C33,AJ33,"m"))&lt;6,0,IF(IF(AJ33&lt;$C33,0,DATEDIF($C33,AJ33,"m"))&lt;12,6,IF(IF(AJ33&lt;$C33,0,DATEDIF($C33,AJ33,"m"))&lt;24,7,IF(IF(AJ33&lt;$C33,0,DATEDIF($C33,AJ33,"m"))&lt;36,10,IF(IF(AJ33&lt;$C33,0,DATEDIF($C33,AJ33,"m"))&lt;60,14,IF(IF(AJ33&lt;$C33,0,DATEDIF($C33,AJ33,"m"))&lt;120,15,MIN(30,15+INT(IF(AJ33&lt;$C33,0,DATEDIF($C33,AJ33,"m"))/12)-9))))))))</f>
        <v/>
      </c>
      <c r="AN33" s="33" t="str">
        <f aca="false">IF(C33="","",((AI33-DATE(YEAR($B$3),1,1))*AK33+(AJ33-AI33)*AL33+(AH33-AJ33)*AM33)/(DATE(YEAR($B$3)+1,1,1)-DATE(YEAR($B$3),1,1)))</f>
        <v/>
      </c>
    </row>
    <row r="34" customFormat="false" ht="15" hidden="false" customHeight="false" outlineLevel="0" collapsed="false">
      <c r="A34" s="34" t="str">
        <f aca="false">IF(流程1_請假申請!U34="","",流程1_請假申請!T34)</f>
        <v/>
      </c>
      <c r="B34" s="34" t="str">
        <f aca="false">IF(流程1_請假申請!U34="","",流程1_請假申請!U34)</f>
        <v/>
      </c>
      <c r="C34" s="40" t="str">
        <f aca="false">IF(流程1_請假申請!U34="","",流程1_請假申請!W34)</f>
        <v/>
      </c>
      <c r="D34" s="40" t="str">
        <f aca="false">IF(流程1_請假申請!X34="","",流程1_請假申請!X34)</f>
        <v/>
      </c>
      <c r="E34" s="34" t="str">
        <f aca="false">IF(C34="","",IF($B$3&lt;C34,0,DATEDIF(C34,$B$3,"m")))</f>
        <v/>
      </c>
      <c r="F34" s="41" t="str">
        <f aca="false">IF(C34="","",IF(AN34=0,0,CEILING(ROUND(AN34,2),$E$3)))</f>
        <v/>
      </c>
      <c r="G34" s="42"/>
      <c r="H34" s="41" t="str">
        <f aca="false">IF(C34="","",F34+G34)</f>
        <v/>
      </c>
      <c r="I34" s="41" t="str">
        <f aca="false">IF(C34="","",SUMIFS(流程1_請假申請!$I$5:$I$64,流程1_請假申請!$D$5:$D$64,B34,流程1_請假申請!$F$5:$F$64,"特別休假",流程1_請假申請!$M$5:$M$64,"已確認",流程1_請假申請!$G$5:$G$64,"&gt;="&amp;DATE(YEAR($B$3),1,1),流程1_請假申請!$G$5:$G$64,"&lt;="&amp;$B$3))</f>
        <v/>
      </c>
      <c r="J34" s="41" t="str">
        <f aca="false">IF(C34="","",H34-I34)</f>
        <v/>
      </c>
      <c r="K34" s="42"/>
      <c r="L34" s="34" t="str">
        <f aca="false">IF(C34="","",IF(AND(D34&lt;&gt;"",D34&lt;=$B$3),"離職結算",IF(AND(MONTH($B$3)=12,DAY($B$3)=31),"年度結算","")))</f>
        <v/>
      </c>
      <c r="M34" s="41" t="n">
        <f aca="false">IF(OR(C34="",L34=""),0,N(G34)-MIN(N(G34),I34))</f>
        <v>0</v>
      </c>
      <c r="N34" s="41" t="n">
        <f aca="false">IF(OR(C34="",L34=""),0,IF(L34="離職結算",J34-M34,MAX(0,J34-M34-N(K34))))</f>
        <v>0</v>
      </c>
      <c r="O34" s="43" t="str">
        <f aca="false">IF(C34="","",IFERROR(ROUND((INDEX(流程1_月結表!$G$6:$G$8,MATCH(A34,流程1_月結表!$B$6:$B$8,0))+INDEX(流程1_月結表!$H$6:$H$8,MATCH(A34,流程1_月結表!$B$6:$B$8,0))*流程1_參數!$C$7)/流程1_參數!$C$5,2),0))</f>
        <v/>
      </c>
      <c r="P34" s="44"/>
      <c r="Q34" s="43" t="n">
        <f aca="false">IF(OR(C34="",L34=""),0,ROUND(N34*O34+M34*IF(P34="",O34,P34),0))</f>
        <v>0</v>
      </c>
      <c r="R34" s="41" t="str">
        <f aca="false">IF($C34="","",SUMIFS(流程1_請假申請!$I$5:$I$64,流程1_請假申請!$D$5:$D$64,$B34,流程1_請假申請!$F$5:$F$64,"病假（普通傷病假）",流程1_請假申請!$M$5:$M$64,"已確認",流程1_請假申請!$G$5:$G$64,"&gt;="&amp;DATE(YEAR($B$3),1,1),流程1_請假申請!$G$5:$G$64,"&lt;="&amp;$B$3))</f>
        <v/>
      </c>
      <c r="S34" s="41" t="str">
        <f aca="false">IF($C34="","",SUMIFS(流程1_請假申請!$I$5:$I$64,流程1_請假申請!$D$5:$D$64,$B34,流程1_請假申請!$F$5:$F$64,"事假",流程1_請假申請!$M$5:$M$64,"已確認",流程1_請假申請!$G$5:$G$64,"&gt;="&amp;DATE(YEAR($B$3),1,1),流程1_請假申請!$G$5:$G$64,"&lt;="&amp;$B$3))</f>
        <v/>
      </c>
      <c r="T34" s="41" t="str">
        <f aca="false">IF($C34="","",SUMIFS(流程1_請假申請!$I$5:$I$64,流程1_請假申請!$D$5:$D$64,$B34,流程1_請假申請!$F$5:$F$64,"家庭照顧假",流程1_請假申請!$M$5:$M$64,"已確認",流程1_請假申請!$G$5:$G$64,"&gt;="&amp;DATE(YEAR($B$3),1,1),流程1_請假申請!$G$5:$G$64,"&lt;="&amp;$B$3))</f>
        <v/>
      </c>
      <c r="U34" s="41" t="str">
        <f aca="false">IF($C34="","",SUMIFS(流程1_請假申請!$I$5:$I$64,流程1_請假申請!$D$5:$D$64,$B34,流程1_請假申請!$F$5:$F$64,"生理假",流程1_請假申請!$M$5:$M$64,"已確認",流程1_請假申請!$G$5:$G$64,"&gt;="&amp;DATE(YEAR($B$3),1,1),流程1_請假申請!$G$5:$G$64,"&lt;="&amp;$B$3))</f>
        <v/>
      </c>
      <c r="V34" s="41" t="str">
        <f aca="false">IF($C34="","",SUMIFS(流程1_請假申請!$I$5:$I$64,流程1_請假申請!$D$5:$D$64,$B34,流程1_請假申請!$F$5:$F$64,"安胎休養假",流程1_請假申請!$M$5:$M$64,"已確認",流程1_請假申請!$G$5:$G$64,"&gt;="&amp;DATE(YEAR($B$3),1,1),流程1_請假申請!$G$5:$G$64,"&lt;="&amp;$B$3))</f>
        <v/>
      </c>
      <c r="W34" s="41" t="str">
        <f aca="false">IF($C34="","",SUMIFS(流程1_請假申請!$I$5:$I$64,流程1_請假申請!$D$5:$D$64,$B34,流程1_請假申請!$F$5:$F$64,"婚假",流程1_請假申請!$M$5:$M$64,"已確認",流程1_請假申請!$G$5:$G$64,"&gt;="&amp;DATE(YEAR($B$3),1,1),流程1_請假申請!$G$5:$G$64,"&lt;="&amp;$B$3))</f>
        <v/>
      </c>
      <c r="X34" s="41" t="str">
        <f aca="false">IF($C34="","",SUMIFS(流程1_請假申請!$I$5:$I$64,流程1_請假申請!$D$5:$D$64,$B34,流程1_請假申請!$F$5:$F$64,"喪假",流程1_請假申請!$M$5:$M$64,"已確認",流程1_請假申請!$G$5:$G$64,"&gt;="&amp;DATE(YEAR($B$3),1,1),流程1_請假申請!$G$5:$G$64,"&lt;="&amp;$B$3))</f>
        <v/>
      </c>
      <c r="Y34" s="41" t="str">
        <f aca="false">IF($C34="","",SUMIFS(流程1_請假申請!$I$5:$I$64,流程1_請假申請!$D$5:$D$64,$B34,流程1_請假申請!$F$5:$F$64,"產假",流程1_請假申請!$M$5:$M$64,"已確認",流程1_請假申請!$G$5:$G$64,"&gt;="&amp;DATE(YEAR($B$3),1,1),流程1_請假申請!$G$5:$G$64,"&lt;="&amp;$B$3))</f>
        <v/>
      </c>
      <c r="Z34" s="41" t="str">
        <f aca="false">IF($C34="","",SUMIFS(流程1_請假申請!$I$5:$I$64,流程1_請假申請!$D$5:$D$64,$B34,流程1_請假申請!$F$5:$F$64,"產檢假",流程1_請假申請!$M$5:$M$64,"已確認",流程1_請假申請!$G$5:$G$64,"&gt;="&amp;DATE(YEAR($B$3),1,1),流程1_請假申請!$G$5:$G$64,"&lt;="&amp;$B$3))</f>
        <v/>
      </c>
      <c r="AA34" s="41" t="str">
        <f aca="false">IF($C34="","",SUMIFS(流程1_請假申請!$I$5:$I$64,流程1_請假申請!$D$5:$D$64,$B34,流程1_請假申請!$F$5:$F$64,"陪產檢及陪產假",流程1_請假申請!$M$5:$M$64,"已確認",流程1_請假申請!$G$5:$G$64,"&gt;="&amp;DATE(YEAR($B$3),1,1),流程1_請假申請!$G$5:$G$64,"&lt;="&amp;$B$3))</f>
        <v/>
      </c>
      <c r="AB34" s="41" t="str">
        <f aca="false">IF($C34="","",SUMIFS(流程1_請假申請!$I$5:$I$64,流程1_請假申請!$D$5:$D$64,$B34,流程1_請假申請!$F$5:$F$64,"公傷病假",流程1_請假申請!$M$5:$M$64,"已確認",流程1_請假申請!$G$5:$G$64,"&gt;="&amp;DATE(YEAR($B$3),1,1),流程1_請假申請!$G$5:$G$64,"&lt;="&amp;$B$3))</f>
        <v/>
      </c>
      <c r="AC34" s="41" t="str">
        <f aca="false">IF($C34="","",SUMIFS(流程1_請假申請!$I$5:$I$64,流程1_請假申請!$D$5:$D$64,$B34,流程1_請假申請!$F$5:$F$64,"公假",流程1_請假申請!$M$5:$M$64,"已確認",流程1_請假申請!$G$5:$G$64,"&gt;="&amp;DATE(YEAR($B$3),1,1),流程1_請假申請!$G$5:$G$64,"&lt;="&amp;$B$3))</f>
        <v/>
      </c>
      <c r="AD34" s="41" t="str">
        <f aca="false">IF($C34="","",SUMIFS(流程1_請假申請!$I$5:$I$64,流程1_請假申請!$D$5:$D$64,$B34,流程1_請假申請!$F$5:$F$64,"特別休假",流程1_請假申請!$M$5:$M$64,"已確認",流程1_請假申請!$G$5:$G$64,"&gt;="&amp;DATE(YEAR($B$3),1,1),流程1_請假申請!$G$5:$G$64,"&lt;="&amp;$B$3))</f>
        <v/>
      </c>
      <c r="AE34" s="41" t="str">
        <f aca="false">IF($C34="","",SUMIFS(流程1_請假申請!$I$5:$I$64,流程1_請假申請!$D$5:$D$64,$B34,流程1_請假申請!$F$5:$F$64,"育嬰留職停薪",流程1_請假申請!$M$5:$M$64,"已確認",流程1_請假申請!$G$5:$G$64,"&gt;="&amp;DATE(YEAR($B$3),1,1),流程1_請假申請!$G$5:$G$64,"&lt;="&amp;$B$3))</f>
        <v/>
      </c>
      <c r="AF34" s="41" t="str">
        <f aca="false">IF(C34="","",30-R34)</f>
        <v/>
      </c>
      <c r="AG34" s="41" t="str">
        <f aca="false">IF(C34="","",14-S34)</f>
        <v/>
      </c>
      <c r="AH34" s="40" t="str">
        <f aca="false">IF(C34="","",IF(D34="",DATE(YEAR($B$3)+1,1,1),MIN(DATE(YEAR($B$3)+1,1,1),D34+1)))</f>
        <v/>
      </c>
      <c r="AI34" s="40" t="str">
        <f aca="false">IF(C34="","",MAX(DATE(YEAR($B$3),1,1),MIN(AH34,EDATE(C34,6))))</f>
        <v/>
      </c>
      <c r="AJ34" s="40" t="str">
        <f aca="false">IF(C34="","",MAX(AI34,MIN(AH34,EDATE(C34,12*MAX(1,YEAR($B$3)-YEAR(C34))))))</f>
        <v/>
      </c>
      <c r="AK34" s="34" t="str">
        <f aca="false">IF(C34="","",IF(IF(DATE(YEAR($B$3),1,1)&lt;$C34,0,DATEDIF($C34,DATE(YEAR($B$3),1,1),"m"))&lt;6,0,IF(IF(DATE(YEAR($B$3),1,1)&lt;$C34,0,DATEDIF($C34,DATE(YEAR($B$3),1,1),"m"))&lt;12,6,IF(IF(DATE(YEAR($B$3),1,1)&lt;$C34,0,DATEDIF($C34,DATE(YEAR($B$3),1,1),"m"))&lt;24,7,IF(IF(DATE(YEAR($B$3),1,1)&lt;$C34,0,DATEDIF($C34,DATE(YEAR($B$3),1,1),"m"))&lt;36,10,IF(IF(DATE(YEAR($B$3),1,1)&lt;$C34,0,DATEDIF($C34,DATE(YEAR($B$3),1,1),"m"))&lt;60,14,IF(IF(DATE(YEAR($B$3),1,1)&lt;$C34,0,DATEDIF($C34,DATE(YEAR($B$3),1,1),"m"))&lt;120,15,MIN(30,15+INT(IF(DATE(YEAR($B$3),1,1)&lt;$C34,0,DATEDIF($C34,DATE(YEAR($B$3),1,1),"m"))/12)-9))))))))</f>
        <v/>
      </c>
      <c r="AL34" s="34" t="str">
        <f aca="false">IF(C34="","",IF(IF(AI34&lt;$C34,0,DATEDIF($C34,AI34,"m"))&lt;6,0,IF(IF(AI34&lt;$C34,0,DATEDIF($C34,AI34,"m"))&lt;12,6,IF(IF(AI34&lt;$C34,0,DATEDIF($C34,AI34,"m"))&lt;24,7,IF(IF(AI34&lt;$C34,0,DATEDIF($C34,AI34,"m"))&lt;36,10,IF(IF(AI34&lt;$C34,0,DATEDIF($C34,AI34,"m"))&lt;60,14,IF(IF(AI34&lt;$C34,0,DATEDIF($C34,AI34,"m"))&lt;120,15,MIN(30,15+INT(IF(AI34&lt;$C34,0,DATEDIF($C34,AI34,"m"))/12)-9))))))))</f>
        <v/>
      </c>
      <c r="AM34" s="34" t="str">
        <f aca="false">IF(C34="","",IF(IF(AJ34&lt;$C34,0,DATEDIF($C34,AJ34,"m"))&lt;6,0,IF(IF(AJ34&lt;$C34,0,DATEDIF($C34,AJ34,"m"))&lt;12,6,IF(IF(AJ34&lt;$C34,0,DATEDIF($C34,AJ34,"m"))&lt;24,7,IF(IF(AJ34&lt;$C34,0,DATEDIF($C34,AJ34,"m"))&lt;36,10,IF(IF(AJ34&lt;$C34,0,DATEDIF($C34,AJ34,"m"))&lt;60,14,IF(IF(AJ34&lt;$C34,0,DATEDIF($C34,AJ34,"m"))&lt;120,15,MIN(30,15+INT(IF(AJ34&lt;$C34,0,DATEDIF($C34,AJ34,"m"))/12)-9))))))))</f>
        <v/>
      </c>
      <c r="AN34" s="33" t="str">
        <f aca="false">IF(C34="","",((AI34-DATE(YEAR($B$3),1,1))*AK34+(AJ34-AI34)*AL34+(AH34-AJ34)*AM34)/(DATE(YEAR($B$3)+1,1,1)-DATE(YEAR($B$3),1,1)))</f>
        <v/>
      </c>
    </row>
    <row r="36" customFormat="false" ht="15" hidden="false" customHeight="false" outlineLevel="0" collapsed="false">
      <c r="A36" s="2" t="s">
        <v>396</v>
      </c>
    </row>
    <row r="37" customFormat="false" ht="15" hidden="false" customHeight="false" outlineLevel="0" collapsed="false">
      <c r="A37" s="2" t="s">
        <v>397</v>
      </c>
    </row>
    <row r="38" customFormat="false" ht="15" hidden="false" customHeight="false" outlineLevel="0" collapsed="false">
      <c r="A38" s="2" t="s">
        <v>398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399</v>
      </c>
    </row>
    <row r="2" customFormat="false" ht="15" hidden="false" customHeight="false" outlineLevel="0" collapsed="false">
      <c r="A2" s="2" t="s">
        <v>400</v>
      </c>
    </row>
    <row r="4" customFormat="false" ht="15" hidden="false" customHeight="false" outlineLevel="0" collapsed="false">
      <c r="A4" s="37" t="s">
        <v>401</v>
      </c>
      <c r="B4" s="45" t="s">
        <v>402</v>
      </c>
    </row>
    <row r="5" customFormat="false" ht="15" hidden="false" customHeight="false" outlineLevel="0" collapsed="false">
      <c r="A5" s="37" t="s">
        <v>403</v>
      </c>
      <c r="B5" s="46" t="n">
        <f aca="false">MATCH(B4,流程1_月結表!$C$6:$C$8,0)</f>
        <v>1</v>
      </c>
    </row>
    <row r="7" customFormat="false" ht="17.15" hidden="false" customHeight="false" outlineLevel="0" collapsed="false">
      <c r="A7" s="3" t="s">
        <v>404</v>
      </c>
      <c r="B7" s="3" t="s">
        <v>405</v>
      </c>
      <c r="C7" s="3" t="s">
        <v>406</v>
      </c>
      <c r="D7" s="3" t="s">
        <v>407</v>
      </c>
    </row>
    <row r="8" customFormat="false" ht="15" hidden="false" customHeight="false" outlineLevel="0" collapsed="false">
      <c r="A8" s="4" t="s">
        <v>408</v>
      </c>
      <c r="B8" s="4" t="s">
        <v>126</v>
      </c>
      <c r="C8" s="47" t="n">
        <f aca="false">INDEX(流程1_月結表!$AL$6:$AL$8,$B$5)</f>
        <v>60000</v>
      </c>
      <c r="D8" s="4" t="s">
        <v>409</v>
      </c>
    </row>
    <row r="9" customFormat="false" ht="15" hidden="false" customHeight="false" outlineLevel="0" collapsed="false">
      <c r="A9" s="4" t="s">
        <v>408</v>
      </c>
      <c r="B9" s="4" t="s">
        <v>156</v>
      </c>
      <c r="C9" s="47" t="n">
        <f aca="false">INDEX(流程1_月結表!$AM$6:$AM$8,$B$5)</f>
        <v>0</v>
      </c>
      <c r="D9" s="4"/>
    </row>
    <row r="10" customFormat="false" ht="29.85" hidden="false" customHeight="false" outlineLevel="0" collapsed="false">
      <c r="A10" s="4" t="s">
        <v>408</v>
      </c>
      <c r="B10" s="4" t="s">
        <v>61</v>
      </c>
      <c r="C10" s="47" t="n">
        <f aca="false">INDEX(流程1_月結表!$AQ$6:$AQ$8,$B$5)</f>
        <v>1580</v>
      </c>
      <c r="D10" s="4" t="s">
        <v>410</v>
      </c>
    </row>
    <row r="11" customFormat="false" ht="15" hidden="false" customHeight="false" outlineLevel="0" collapsed="false">
      <c r="A11" s="4" t="s">
        <v>408</v>
      </c>
      <c r="B11" s="4" t="s">
        <v>127</v>
      </c>
      <c r="C11" s="47" t="n">
        <f aca="false">INDEX(流程1_月結表!$AS$6:$AS$8,$B$5)</f>
        <v>3000</v>
      </c>
      <c r="D11" s="4"/>
    </row>
    <row r="12" customFormat="false" ht="15" hidden="false" customHeight="false" outlineLevel="0" collapsed="false">
      <c r="A12" s="4" t="s">
        <v>408</v>
      </c>
      <c r="B12" s="4" t="s">
        <v>181</v>
      </c>
      <c r="C12" s="47" t="n">
        <f aca="false">INDEX(流程1_月結表!$BO$6:$BO$8,$B$5)</f>
        <v>0</v>
      </c>
      <c r="D12" s="4"/>
    </row>
    <row r="13" customFormat="false" ht="15" hidden="false" customHeight="false" outlineLevel="0" collapsed="false">
      <c r="A13" s="4" t="s">
        <v>408</v>
      </c>
      <c r="B13" s="4" t="s">
        <v>182</v>
      </c>
      <c r="C13" s="47" t="n">
        <f aca="false">INDEX(流程1_月結表!$BP$6:$BP$8,$B$5)</f>
        <v>0</v>
      </c>
      <c r="D13" s="4" t="s">
        <v>411</v>
      </c>
    </row>
    <row r="14" customFormat="false" ht="15" hidden="false" customHeight="false" outlineLevel="0" collapsed="false">
      <c r="A14" s="4" t="s">
        <v>408</v>
      </c>
      <c r="B14" s="4" t="s">
        <v>412</v>
      </c>
      <c r="C14" s="47" t="n">
        <f aca="false">INDEX(流程1_月結表!$BQ$6:$BQ$8,$B$5)</f>
        <v>0</v>
      </c>
      <c r="D14" s="4"/>
    </row>
    <row r="15" customFormat="false" ht="15" hidden="false" customHeight="false" outlineLevel="0" collapsed="false">
      <c r="A15" s="4" t="s">
        <v>413</v>
      </c>
      <c r="B15" s="4" t="s">
        <v>157</v>
      </c>
      <c r="C15" s="47" t="n">
        <f aca="false">INDEX(流程1_月結表!$AN$6:$AN$8,$B$5)</f>
        <v>1000</v>
      </c>
      <c r="D15" s="4" t="s">
        <v>414</v>
      </c>
    </row>
    <row r="16" customFormat="false" ht="15" hidden="false" customHeight="false" outlineLevel="0" collapsed="false">
      <c r="A16" s="4" t="s">
        <v>413</v>
      </c>
      <c r="B16" s="4" t="s">
        <v>88</v>
      </c>
      <c r="C16" s="47" t="n">
        <f aca="false">INDEX(流程1_月結表!$AO$6:$AO$8,$B$5)</f>
        <v>125</v>
      </c>
      <c r="D16" s="4" t="s">
        <v>415</v>
      </c>
    </row>
    <row r="17" customFormat="false" ht="15" hidden="false" customHeight="false" outlineLevel="0" collapsed="false">
      <c r="A17" s="4" t="s">
        <v>413</v>
      </c>
      <c r="B17" s="4" t="s">
        <v>158</v>
      </c>
      <c r="C17" s="47" t="n">
        <f aca="false">INDEX(流程1_月結表!$AP$6:$AP$8,$B$5)</f>
        <v>0</v>
      </c>
      <c r="D17" s="4" t="s">
        <v>416</v>
      </c>
    </row>
    <row r="18" customFormat="false" ht="15" hidden="false" customHeight="false" outlineLevel="0" collapsed="false">
      <c r="A18" s="4" t="s">
        <v>413</v>
      </c>
      <c r="B18" s="4" t="s">
        <v>161</v>
      </c>
      <c r="C18" s="47" t="n">
        <f aca="false">INDEX(流程1_月結表!$AU$6:$AU$8,$B$5)</f>
        <v>0</v>
      </c>
      <c r="D18" s="4" t="s">
        <v>417</v>
      </c>
    </row>
    <row r="19" customFormat="false" ht="15" hidden="false" customHeight="false" outlineLevel="0" collapsed="false">
      <c r="A19" s="4" t="s">
        <v>413</v>
      </c>
      <c r="B19" s="4" t="s">
        <v>162</v>
      </c>
      <c r="C19" s="47" t="n">
        <f aca="false">INDEX(流程1_月結表!$AV$6:$AV$8,$B$5)</f>
        <v>0</v>
      </c>
      <c r="D19" s="4"/>
    </row>
    <row r="20" customFormat="false" ht="15" hidden="false" customHeight="false" outlineLevel="0" collapsed="false">
      <c r="A20" s="4" t="s">
        <v>413</v>
      </c>
      <c r="B20" s="4" t="s">
        <v>418</v>
      </c>
      <c r="C20" s="47" t="n">
        <f aca="false">INDEX(流程1_月結表!$AX$6:$AX$8,$B$5)</f>
        <v>1145</v>
      </c>
      <c r="D20" s="4" t="s">
        <v>419</v>
      </c>
    </row>
    <row r="21" customFormat="false" ht="15" hidden="false" customHeight="false" outlineLevel="0" collapsed="false">
      <c r="A21" s="4" t="s">
        <v>413</v>
      </c>
      <c r="B21" s="4" t="s">
        <v>166</v>
      </c>
      <c r="C21" s="47" t="n">
        <f aca="false">INDEX(流程1_月結表!$AZ$6:$AZ$8,$B$5)</f>
        <v>0</v>
      </c>
      <c r="D21" s="4"/>
    </row>
    <row r="22" customFormat="false" ht="15" hidden="false" customHeight="false" outlineLevel="0" collapsed="false">
      <c r="A22" s="4" t="s">
        <v>413</v>
      </c>
      <c r="B22" s="4" t="s">
        <v>420</v>
      </c>
      <c r="C22" s="47" t="n">
        <f aca="false">INDEX(流程1_月結表!$BI$6:$BI$8,$B$5)</f>
        <v>1979</v>
      </c>
      <c r="D22" s="4" t="s">
        <v>421</v>
      </c>
    </row>
    <row r="23" customFormat="false" ht="15" hidden="false" customHeight="false" outlineLevel="0" collapsed="false">
      <c r="A23" s="4" t="s">
        <v>413</v>
      </c>
      <c r="B23" s="4" t="s">
        <v>176</v>
      </c>
      <c r="C23" s="47" t="n">
        <f aca="false">INDEX(流程1_月結表!$BJ$6:$BJ$8,$B$5)</f>
        <v>0</v>
      </c>
      <c r="D23" s="4"/>
    </row>
    <row r="24" customFormat="false" ht="15" hidden="false" customHeight="false" outlineLevel="0" collapsed="false">
      <c r="A24" s="4" t="s">
        <v>413</v>
      </c>
      <c r="B24" s="4" t="s">
        <v>422</v>
      </c>
      <c r="C24" s="47" t="n">
        <f aca="false">INDEX(流程1_月結表!$BG$6:$BG$8,$B$5)</f>
        <v>0</v>
      </c>
      <c r="D24" s="4" t="s">
        <v>423</v>
      </c>
    </row>
    <row r="25" customFormat="false" ht="15" hidden="false" customHeight="false" outlineLevel="0" collapsed="false">
      <c r="A25" s="4" t="s">
        <v>413</v>
      </c>
      <c r="B25" s="4" t="s">
        <v>424</v>
      </c>
      <c r="C25" s="47" t="n">
        <f aca="false">INDEX(流程1_月結表!$BN$6:$BN$8,$B$5)</f>
        <v>0</v>
      </c>
      <c r="D25" s="4" t="s">
        <v>419</v>
      </c>
    </row>
    <row r="26" customFormat="false" ht="15" hidden="false" customHeight="false" outlineLevel="0" collapsed="false">
      <c r="A26" s="4" t="s">
        <v>413</v>
      </c>
      <c r="B26" s="4" t="s">
        <v>179</v>
      </c>
      <c r="C26" s="47" t="n">
        <f aca="false">INDEX(流程1_月結表!$BM$6:$BM$8,$B$5)</f>
        <v>0</v>
      </c>
      <c r="D26" s="4" t="s">
        <v>425</v>
      </c>
    </row>
    <row r="27" customFormat="false" ht="15" hidden="false" customHeight="false" outlineLevel="0" collapsed="false">
      <c r="A27" s="4"/>
      <c r="B27" s="17" t="s">
        <v>426</v>
      </c>
      <c r="C27" s="48" t="n">
        <f aca="false">INDEX(流程1_月結表!$BT$6:$BT$8,$B$5)</f>
        <v>63455</v>
      </c>
      <c r="D27" s="4"/>
    </row>
    <row r="28" customFormat="false" ht="15" hidden="false" customHeight="false" outlineLevel="0" collapsed="false">
      <c r="A28" s="4"/>
      <c r="B28" s="17" t="s">
        <v>427</v>
      </c>
      <c r="C28" s="48" t="n">
        <f aca="false">INDEX(流程1_月結表!$BU$6:$BU$8,$B$5)</f>
        <v>3124</v>
      </c>
      <c r="D28" s="4"/>
    </row>
    <row r="29" customFormat="false" ht="15" hidden="false" customHeight="false" outlineLevel="0" collapsed="false">
      <c r="A29" s="4"/>
      <c r="B29" s="17" t="s">
        <v>428</v>
      </c>
      <c r="C29" s="48" t="n">
        <f aca="false">INDEX(流程1_月結表!$BV$6:$BV$8,$B$5)</f>
        <v>60331</v>
      </c>
      <c r="D29" s="4"/>
    </row>
    <row r="30" customFormat="false" ht="15" hidden="false" customHeight="false" outlineLevel="0" collapsed="false">
      <c r="A30" s="4"/>
      <c r="B30" s="4" t="s">
        <v>429</v>
      </c>
      <c r="C30" s="47" t="n">
        <f aca="false">C27-C28-C29</f>
        <v>0</v>
      </c>
      <c r="D30" s="4"/>
    </row>
    <row r="31" customFormat="false" ht="15" hidden="false" customHeight="false" outlineLevel="0" collapsed="false">
      <c r="A31" s="4"/>
      <c r="B31" s="4" t="s">
        <v>430</v>
      </c>
      <c r="C31" s="47" t="n">
        <f aca="false">INDEX(流程1_月結表!$AJ$6:$AJ$8,$B$5)</f>
        <v>4</v>
      </c>
      <c r="D31" s="4"/>
    </row>
    <row r="32" customFormat="false" ht="15" hidden="false" customHeight="false" outlineLevel="0" collapsed="false">
      <c r="A32" s="4"/>
      <c r="B32" s="4" t="s">
        <v>431</v>
      </c>
      <c r="C32" s="47" t="n">
        <f aca="false">INDEX(流程1_月結表!$Y$6:$Y$8,$B$5)</f>
        <v>1</v>
      </c>
      <c r="D32" s="4"/>
    </row>
    <row r="34" customFormat="false" ht="15" hidden="false" customHeight="false" outlineLevel="0" collapsed="false">
      <c r="B34" s="2" t="s">
        <v>432</v>
      </c>
    </row>
    <row r="35" customFormat="false" ht="15" hidden="false" customHeight="false" outlineLevel="0" collapsed="false">
      <c r="B35" s="2" t="s">
        <v>433</v>
      </c>
    </row>
  </sheetData>
  <dataValidations count="1">
    <dataValidation allowBlank="false" errorStyle="stop" operator="between" showDropDown="false" showErrorMessage="false" showInputMessage="false" sqref="B4" type="list">
      <formula1>流程1_月結表!$C$6:$C$8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4" min="3" style="0" width="16"/>
    <col collapsed="false" customWidth="true" hidden="false" outlineLevel="0" max="5" min="5" style="0" width="48"/>
  </cols>
  <sheetData>
    <row r="1" customFormat="false" ht="17.35" hidden="false" customHeight="false" outlineLevel="0" collapsed="false">
      <c r="A1" s="1" t="s">
        <v>434</v>
      </c>
    </row>
    <row r="2" customFormat="false" ht="15" hidden="false" customHeight="false" outlineLevel="0" collapsed="false">
      <c r="A2" s="2" t="s">
        <v>435</v>
      </c>
    </row>
    <row r="4" customFormat="false" ht="17.15" hidden="false" customHeight="false" outlineLevel="0" collapsed="false">
      <c r="A4" s="3" t="s">
        <v>436</v>
      </c>
      <c r="B4" s="3" t="s">
        <v>437</v>
      </c>
      <c r="C4" s="3" t="s">
        <v>438</v>
      </c>
      <c r="D4" s="3" t="s">
        <v>439</v>
      </c>
      <c r="E4" s="3" t="s">
        <v>440</v>
      </c>
    </row>
    <row r="5" customFormat="false" ht="15" hidden="false" customHeight="false" outlineLevel="0" collapsed="false">
      <c r="A5" s="9" t="s">
        <v>441</v>
      </c>
      <c r="B5" s="4" t="s">
        <v>442</v>
      </c>
      <c r="C5" s="49" t="n">
        <f aca="false">流程1_月結表!AR9+流程1_月結表!BO9+流程1_月結表!BP9</f>
        <v>171153</v>
      </c>
      <c r="D5" s="49"/>
      <c r="E5" s="9" t="s">
        <v>443</v>
      </c>
    </row>
    <row r="6" customFormat="false" ht="15" hidden="false" customHeight="false" outlineLevel="0" collapsed="false">
      <c r="A6" s="9" t="s">
        <v>441</v>
      </c>
      <c r="B6" s="4" t="s">
        <v>442</v>
      </c>
      <c r="C6" s="49" t="n">
        <f aca="false">流程1_月結表!BQ9</f>
        <v>0</v>
      </c>
      <c r="D6" s="49"/>
      <c r="E6" s="9" t="s">
        <v>444</v>
      </c>
    </row>
    <row r="7" customFormat="false" ht="15" hidden="false" customHeight="false" outlineLevel="0" collapsed="false">
      <c r="A7" s="9" t="s">
        <v>445</v>
      </c>
      <c r="B7" s="4" t="s">
        <v>127</v>
      </c>
      <c r="C7" s="49" t="n">
        <f aca="false">流程1_月結表!AS9</f>
        <v>9000</v>
      </c>
      <c r="D7" s="49"/>
      <c r="E7" s="9" t="s">
        <v>446</v>
      </c>
    </row>
    <row r="8" customFormat="false" ht="15" hidden="false" customHeight="false" outlineLevel="0" collapsed="false">
      <c r="A8" s="9" t="s">
        <v>447</v>
      </c>
      <c r="B8" s="4" t="s">
        <v>448</v>
      </c>
      <c r="C8" s="49"/>
      <c r="D8" s="49" t="n">
        <f aca="false">流程1_月結表!AX9+流程1_月結表!AZ9</f>
        <v>3435</v>
      </c>
      <c r="E8" s="9" t="s">
        <v>449</v>
      </c>
    </row>
    <row r="9" customFormat="false" ht="15" hidden="false" customHeight="false" outlineLevel="0" collapsed="false">
      <c r="A9" s="9" t="s">
        <v>450</v>
      </c>
      <c r="B9" s="4" t="s">
        <v>451</v>
      </c>
      <c r="C9" s="49"/>
      <c r="D9" s="49" t="n">
        <f aca="false">流程1_月結表!BI9+流程1_月結表!BJ9</f>
        <v>5193</v>
      </c>
      <c r="E9" s="9" t="s">
        <v>449</v>
      </c>
    </row>
    <row r="10" customFormat="false" ht="15" hidden="false" customHeight="false" outlineLevel="0" collapsed="false">
      <c r="A10" s="9" t="s">
        <v>452</v>
      </c>
      <c r="B10" s="4" t="s">
        <v>453</v>
      </c>
      <c r="C10" s="49"/>
      <c r="D10" s="49" t="n">
        <f aca="false">流程1_月結表!BG9</f>
        <v>2094</v>
      </c>
      <c r="E10" s="9" t="s">
        <v>454</v>
      </c>
    </row>
    <row r="11" customFormat="false" ht="15" hidden="false" customHeight="false" outlineLevel="0" collapsed="false">
      <c r="A11" s="9" t="s">
        <v>455</v>
      </c>
      <c r="B11" s="4" t="s">
        <v>456</v>
      </c>
      <c r="C11" s="49"/>
      <c r="D11" s="49" t="n">
        <f aca="false">流程1_月結表!BM9</f>
        <v>0</v>
      </c>
      <c r="E11" s="9" t="s">
        <v>446</v>
      </c>
    </row>
    <row r="12" customFormat="false" ht="15" hidden="false" customHeight="false" outlineLevel="0" collapsed="false">
      <c r="A12" s="9" t="s">
        <v>457</v>
      </c>
      <c r="B12" s="4" t="s">
        <v>458</v>
      </c>
      <c r="C12" s="49"/>
      <c r="D12" s="49" t="n">
        <f aca="false">流程1_月結表!BN9</f>
        <v>0</v>
      </c>
      <c r="E12" s="9" t="s">
        <v>459</v>
      </c>
    </row>
    <row r="13" customFormat="false" ht="15" hidden="false" customHeight="false" outlineLevel="0" collapsed="false">
      <c r="A13" s="9" t="s">
        <v>455</v>
      </c>
      <c r="B13" s="4" t="s">
        <v>460</v>
      </c>
      <c r="C13" s="49"/>
      <c r="D13" s="49" t="n">
        <f aca="false">流程1_月結表!AU9+流程1_月結表!AV9</f>
        <v>0</v>
      </c>
      <c r="E13" s="9" t="s">
        <v>461</v>
      </c>
    </row>
    <row r="14" customFormat="false" ht="15" hidden="false" customHeight="false" outlineLevel="0" collapsed="false">
      <c r="A14" s="9" t="s">
        <v>462</v>
      </c>
      <c r="B14" s="4" t="s">
        <v>463</v>
      </c>
      <c r="C14" s="49"/>
      <c r="D14" s="49" t="n">
        <f aca="false">流程1_月結表!BV9</f>
        <v>169431</v>
      </c>
      <c r="E14" s="9" t="s">
        <v>464</v>
      </c>
    </row>
    <row r="15" customFormat="false" ht="15" hidden="false" customHeight="false" outlineLevel="0" collapsed="false">
      <c r="A15" s="9" t="s">
        <v>465</v>
      </c>
      <c r="B15" s="4" t="s">
        <v>167</v>
      </c>
      <c r="C15" s="49" t="n">
        <f aca="false">流程1_月結表!AY9</f>
        <v>12021</v>
      </c>
      <c r="D15" s="49"/>
      <c r="E15" s="9" t="s">
        <v>466</v>
      </c>
    </row>
    <row r="16" customFormat="false" ht="15" hidden="false" customHeight="false" outlineLevel="0" collapsed="false">
      <c r="A16" s="9" t="s">
        <v>467</v>
      </c>
      <c r="B16" s="4" t="s">
        <v>468</v>
      </c>
      <c r="C16" s="49"/>
      <c r="D16" s="49" t="n">
        <f aca="false">流程1_月結表!AY9</f>
        <v>12021</v>
      </c>
      <c r="E16" s="9" t="s">
        <v>466</v>
      </c>
    </row>
    <row r="17" customFormat="false" ht="15" hidden="false" customHeight="false" outlineLevel="0" collapsed="false">
      <c r="A17" s="9" t="s">
        <v>469</v>
      </c>
      <c r="B17" s="4" t="s">
        <v>178</v>
      </c>
      <c r="C17" s="49" t="n">
        <f aca="false">流程1_月結表!BK9</f>
        <v>8681</v>
      </c>
      <c r="D17" s="49"/>
      <c r="E17" s="9" t="s">
        <v>466</v>
      </c>
    </row>
    <row r="18" customFormat="false" ht="15" hidden="false" customHeight="false" outlineLevel="0" collapsed="false">
      <c r="A18" s="9" t="s">
        <v>467</v>
      </c>
      <c r="B18" s="4" t="s">
        <v>468</v>
      </c>
      <c r="C18" s="49"/>
      <c r="D18" s="49" t="n">
        <f aca="false">流程1_月結表!BK9</f>
        <v>8681</v>
      </c>
      <c r="E18" s="9" t="s">
        <v>466</v>
      </c>
    </row>
    <row r="19" customFormat="false" ht="15" hidden="false" customHeight="false" outlineLevel="0" collapsed="false">
      <c r="A19" s="9" t="s">
        <v>470</v>
      </c>
      <c r="B19" s="4" t="s">
        <v>471</v>
      </c>
      <c r="C19" s="49" t="n">
        <f aca="false">流程1_月結表!BE9</f>
        <v>10764</v>
      </c>
      <c r="D19" s="49"/>
      <c r="E19" s="9" t="s">
        <v>472</v>
      </c>
    </row>
    <row r="20" customFormat="false" ht="15" hidden="false" customHeight="false" outlineLevel="0" collapsed="false">
      <c r="A20" s="9" t="s">
        <v>473</v>
      </c>
      <c r="B20" s="4" t="s">
        <v>474</v>
      </c>
      <c r="C20" s="49"/>
      <c r="D20" s="49" t="n">
        <f aca="false">流程1_月結表!BE9</f>
        <v>10764</v>
      </c>
      <c r="E20" s="9" t="s">
        <v>472</v>
      </c>
    </row>
    <row r="21" customFormat="false" ht="15" hidden="false" customHeight="false" outlineLevel="0" collapsed="false">
      <c r="A21" s="9" t="s">
        <v>465</v>
      </c>
      <c r="B21" s="4" t="s">
        <v>167</v>
      </c>
      <c r="C21" s="50" t="n">
        <v>0</v>
      </c>
      <c r="D21" s="49"/>
      <c r="E21" s="9" t="s">
        <v>475</v>
      </c>
    </row>
    <row r="22" customFormat="false" ht="15" hidden="false" customHeight="false" outlineLevel="0" collapsed="false">
      <c r="A22" s="9" t="s">
        <v>467</v>
      </c>
      <c r="B22" s="4" t="s">
        <v>468</v>
      </c>
      <c r="C22" s="49"/>
      <c r="D22" s="49" t="n">
        <f aca="false">C21</f>
        <v>0</v>
      </c>
      <c r="E22" s="9" t="s">
        <v>475</v>
      </c>
    </row>
    <row r="23" customFormat="false" ht="15" hidden="false" customHeight="false" outlineLevel="0" collapsed="false">
      <c r="A23" s="9" t="s">
        <v>469</v>
      </c>
      <c r="B23" s="4" t="s">
        <v>178</v>
      </c>
      <c r="C23" s="50" t="n">
        <v>0</v>
      </c>
      <c r="D23" s="49"/>
      <c r="E23" s="9" t="s">
        <v>476</v>
      </c>
    </row>
    <row r="24" customFormat="false" ht="15" hidden="false" customHeight="false" outlineLevel="0" collapsed="false">
      <c r="A24" s="9" t="s">
        <v>467</v>
      </c>
      <c r="B24" s="4" t="s">
        <v>468</v>
      </c>
      <c r="C24" s="49"/>
      <c r="D24" s="49" t="n">
        <f aca="false">C23</f>
        <v>0</v>
      </c>
      <c r="E24" s="9" t="s">
        <v>476</v>
      </c>
    </row>
    <row r="26" customFormat="false" ht="15" hidden="false" customHeight="false" outlineLevel="0" collapsed="false">
      <c r="B26" s="51" t="s">
        <v>477</v>
      </c>
      <c r="C26" s="51" t="n">
        <f aca="false">SUM(C5:C24)</f>
        <v>211619</v>
      </c>
      <c r="D26" s="51"/>
    </row>
    <row r="27" customFormat="false" ht="15" hidden="false" customHeight="false" outlineLevel="0" collapsed="false">
      <c r="B27" s="51" t="s">
        <v>478</v>
      </c>
      <c r="C27" s="51"/>
      <c r="D27" s="51" t="n">
        <f aca="false">SUM(D5:D24)</f>
        <v>211619</v>
      </c>
    </row>
    <row r="28" customFormat="false" ht="15" hidden="false" customHeight="false" outlineLevel="0" collapsed="false">
      <c r="B28" s="51" t="s">
        <v>479</v>
      </c>
      <c r="C28" s="51" t="n">
        <f aca="false">C26-D27</f>
        <v>0</v>
      </c>
      <c r="D28" s="51"/>
    </row>
    <row r="30" customFormat="false" ht="15" hidden="false" customHeight="false" outlineLevel="0" collapsed="false">
      <c r="A30" s="2" t="s">
        <v>480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22"/>
    <col collapsed="false" customWidth="true" hidden="false" outlineLevel="0" max="12" min="12" style="0" width="10"/>
    <col collapsed="false" customWidth="true" hidden="false" outlineLevel="0" max="13" min="13" style="0" width="8"/>
    <col collapsed="false" customWidth="true" hidden="false" outlineLevel="0" max="14" min="14" style="0" width="10"/>
    <col collapsed="false" customWidth="true" hidden="false" outlineLevel="0" max="15" min="15" style="0" width="24"/>
    <col collapsed="false" customWidth="true" hidden="false" outlineLevel="0" max="16" min="16" style="0" width="28"/>
    <col collapsed="false" customWidth="true" hidden="false" outlineLevel="0" max="18" min="17" style="0" width="12"/>
    <col collapsed="false" customWidth="true" hidden="false" outlineLevel="0" max="19" min="19" style="0" width="14"/>
    <col collapsed="false" customWidth="true" hidden="false" outlineLevel="0" max="20" min="20" style="0" width="24"/>
    <col collapsed="false" customWidth="true" hidden="false" outlineLevel="0" max="21" min="21" style="0" width="14"/>
    <col collapsed="false" customWidth="true" hidden="false" outlineLevel="0" max="22" min="22" style="0" width="12"/>
    <col collapsed="false" customWidth="true" hidden="false" outlineLevel="0" max="23" min="23" style="0" width="9"/>
    <col collapsed="false" customWidth="true" hidden="false" outlineLevel="0" max="24" min="24" style="0" width="12"/>
  </cols>
  <sheetData>
    <row r="1" customFormat="false" ht="17.35" hidden="false" customHeight="false" outlineLevel="0" collapsed="false">
      <c r="A1" s="1" t="s">
        <v>481</v>
      </c>
    </row>
    <row r="2" customFormat="false" ht="15" hidden="false" customHeight="false" outlineLevel="0" collapsed="false">
      <c r="A2" s="2" t="s">
        <v>482</v>
      </c>
    </row>
    <row r="4" customFormat="false" ht="32.8" hidden="false" customHeight="false" outlineLevel="0" collapsed="false">
      <c r="A4" s="3" t="s">
        <v>319</v>
      </c>
      <c r="B4" s="3" t="s">
        <v>320</v>
      </c>
      <c r="C4" s="3" t="s">
        <v>321</v>
      </c>
      <c r="D4" s="3" t="s">
        <v>322</v>
      </c>
      <c r="E4" s="3" t="s">
        <v>323</v>
      </c>
      <c r="F4" s="3" t="s">
        <v>437</v>
      </c>
      <c r="G4" s="3" t="s">
        <v>436</v>
      </c>
      <c r="H4" s="3" t="s">
        <v>483</v>
      </c>
      <c r="I4" s="3" t="s">
        <v>484</v>
      </c>
      <c r="J4" s="3" t="s">
        <v>485</v>
      </c>
      <c r="K4" s="3" t="s">
        <v>486</v>
      </c>
      <c r="L4" s="3" t="s">
        <v>487</v>
      </c>
      <c r="M4" s="3" t="s">
        <v>488</v>
      </c>
      <c r="N4" s="3" t="s">
        <v>489</v>
      </c>
      <c r="O4" s="3" t="s">
        <v>490</v>
      </c>
      <c r="P4" s="3" t="s">
        <v>491</v>
      </c>
      <c r="Q4" s="3" t="s">
        <v>492</v>
      </c>
      <c r="R4" s="3" t="s">
        <v>493</v>
      </c>
      <c r="S4" s="3" t="s">
        <v>494</v>
      </c>
      <c r="T4" s="3" t="s">
        <v>495</v>
      </c>
      <c r="U4" s="3" t="s">
        <v>496</v>
      </c>
      <c r="V4" s="3" t="s">
        <v>497</v>
      </c>
      <c r="W4" s="3" t="s">
        <v>498</v>
      </c>
      <c r="X4" s="3" t="s">
        <v>499</v>
      </c>
    </row>
    <row r="5" customFormat="false" ht="15" hidden="false" customHeight="false" outlineLevel="0" collapsed="false">
      <c r="A5" s="9" t="s">
        <v>500</v>
      </c>
      <c r="B5" s="10" t="s">
        <v>337</v>
      </c>
      <c r="C5" s="36" t="n">
        <v>46303</v>
      </c>
      <c r="D5" s="10" t="s">
        <v>191</v>
      </c>
      <c r="E5" s="10" t="s">
        <v>342</v>
      </c>
      <c r="F5" s="10" t="s">
        <v>501</v>
      </c>
      <c r="G5" s="4" t="str">
        <f aca="false">IF(F5="","",IFERROR(VLOOKUP(F5,會計科目對照!$J$5:$K$30,2,FALSE()),""))</f>
        <v>6470</v>
      </c>
      <c r="H5" s="10" t="s">
        <v>502</v>
      </c>
      <c r="I5" s="36" t="n">
        <v>46302</v>
      </c>
      <c r="J5" s="9" t="s">
        <v>503</v>
      </c>
      <c r="K5" s="10" t="s">
        <v>504</v>
      </c>
      <c r="L5" s="52" t="n">
        <v>952</v>
      </c>
      <c r="M5" s="52" t="n">
        <v>48</v>
      </c>
      <c r="N5" s="53" t="n">
        <f aca="false">IF(L5="","",L5+M5)</f>
        <v>1000</v>
      </c>
      <c r="O5" s="10" t="s">
        <v>505</v>
      </c>
      <c r="P5" s="10" t="s">
        <v>506</v>
      </c>
      <c r="Q5" s="10" t="s">
        <v>507</v>
      </c>
      <c r="R5" s="36" t="n">
        <v>46331</v>
      </c>
      <c r="S5" s="10" t="s">
        <v>312</v>
      </c>
      <c r="T5" s="4" t="str">
        <f aca="false">IF(M5="","",IF(OR(S5&lt;&gt;"是",F5="交際費",F5="員工福利"),"不得扣抵，稅額併入費用，請會計確認","可扣抵進項稅額"))</f>
        <v>可扣抵進項稅額</v>
      </c>
      <c r="U5" s="9" t="s">
        <v>508</v>
      </c>
      <c r="V5" s="10" t="s">
        <v>509</v>
      </c>
      <c r="W5" s="10" t="s">
        <v>510</v>
      </c>
      <c r="X5" s="10" t="s">
        <v>511</v>
      </c>
    </row>
    <row r="6" customFormat="false" ht="15" hidden="false" customHeight="false" outlineLevel="0" collapsed="false">
      <c r="A6" s="31"/>
      <c r="B6" s="30"/>
      <c r="C6" s="29"/>
      <c r="D6" s="31"/>
      <c r="E6" s="31"/>
      <c r="F6" s="30"/>
      <c r="G6" s="34" t="str">
        <f aca="false">IF(F6="","",IFERROR(VLOOKUP(F6,會計科目對照!$J$5:$K$30,2,FALSE()),""))</f>
        <v/>
      </c>
      <c r="H6" s="30"/>
      <c r="I6" s="29"/>
      <c r="J6" s="31"/>
      <c r="K6" s="31"/>
      <c r="L6" s="54"/>
      <c r="M6" s="54"/>
      <c r="N6" s="55" t="str">
        <f aca="false">IF(L6="","",L6+M6)</f>
        <v/>
      </c>
      <c r="O6" s="31"/>
      <c r="P6" s="31"/>
      <c r="Q6" s="30"/>
      <c r="R6" s="29"/>
      <c r="S6" s="30"/>
      <c r="T6" s="34" t="str">
        <f aca="false">IF(M6="","",IF(OR(S6&lt;&gt;"是",F6="交際費",F6="員工福利"),"不得扣抵，稅額併入費用，請會計確認","可扣抵進項稅額"))</f>
        <v/>
      </c>
      <c r="U6" s="31"/>
      <c r="V6" s="30"/>
      <c r="W6" s="30"/>
      <c r="X6" s="30"/>
    </row>
    <row r="7" customFormat="false" ht="15" hidden="false" customHeight="false" outlineLevel="0" collapsed="false">
      <c r="A7" s="31"/>
      <c r="B7" s="30"/>
      <c r="C7" s="29"/>
      <c r="D7" s="31"/>
      <c r="E7" s="31"/>
      <c r="F7" s="30"/>
      <c r="G7" s="34" t="str">
        <f aca="false">IF(F7="","",IFERROR(VLOOKUP(F7,會計科目對照!$J$5:$K$30,2,FALSE()),""))</f>
        <v/>
      </c>
      <c r="H7" s="30"/>
      <c r="I7" s="29"/>
      <c r="J7" s="31"/>
      <c r="K7" s="31"/>
      <c r="L7" s="54"/>
      <c r="M7" s="54"/>
      <c r="N7" s="55" t="str">
        <f aca="false">IF(L7="","",L7+M7)</f>
        <v/>
      </c>
      <c r="O7" s="31"/>
      <c r="P7" s="31"/>
      <c r="Q7" s="30"/>
      <c r="R7" s="29"/>
      <c r="S7" s="30"/>
      <c r="T7" s="34" t="str">
        <f aca="false">IF(M7="","",IF(OR(S7&lt;&gt;"是",F7="交際費",F7="員工福利"),"不得扣抵，稅額併入費用，請會計確認","可扣抵進項稅額"))</f>
        <v/>
      </c>
      <c r="U7" s="31"/>
      <c r="V7" s="30"/>
      <c r="W7" s="30"/>
      <c r="X7" s="30"/>
    </row>
    <row r="8" customFormat="false" ht="15" hidden="false" customHeight="false" outlineLevel="0" collapsed="false">
      <c r="A8" s="31"/>
      <c r="B8" s="30"/>
      <c r="C8" s="29"/>
      <c r="D8" s="31"/>
      <c r="E8" s="31"/>
      <c r="F8" s="30"/>
      <c r="G8" s="34" t="str">
        <f aca="false">IF(F8="","",IFERROR(VLOOKUP(F8,會計科目對照!$J$5:$K$30,2,FALSE()),""))</f>
        <v/>
      </c>
      <c r="H8" s="30"/>
      <c r="I8" s="29"/>
      <c r="J8" s="31"/>
      <c r="K8" s="31"/>
      <c r="L8" s="54"/>
      <c r="M8" s="54"/>
      <c r="N8" s="55" t="str">
        <f aca="false">IF(L8="","",L8+M8)</f>
        <v/>
      </c>
      <c r="O8" s="31"/>
      <c r="P8" s="31"/>
      <c r="Q8" s="30"/>
      <c r="R8" s="29"/>
      <c r="S8" s="30"/>
      <c r="T8" s="34" t="str">
        <f aca="false">IF(M8="","",IF(OR(S8&lt;&gt;"是",F8="交際費",F8="員工福利"),"不得扣抵，稅額併入費用，請會計確認","可扣抵進項稅額"))</f>
        <v/>
      </c>
      <c r="U8" s="31"/>
      <c r="V8" s="30"/>
      <c r="W8" s="30"/>
      <c r="X8" s="30"/>
    </row>
    <row r="9" customFormat="false" ht="15" hidden="false" customHeight="false" outlineLevel="0" collapsed="false">
      <c r="A9" s="31"/>
      <c r="B9" s="30"/>
      <c r="C9" s="29"/>
      <c r="D9" s="31"/>
      <c r="E9" s="31"/>
      <c r="F9" s="30"/>
      <c r="G9" s="34" t="str">
        <f aca="false">IF(F9="","",IFERROR(VLOOKUP(F9,會計科目對照!$J$5:$K$30,2,FALSE()),""))</f>
        <v/>
      </c>
      <c r="H9" s="30"/>
      <c r="I9" s="29"/>
      <c r="J9" s="31"/>
      <c r="K9" s="31"/>
      <c r="L9" s="54"/>
      <c r="M9" s="54"/>
      <c r="N9" s="55" t="str">
        <f aca="false">IF(L9="","",L9+M9)</f>
        <v/>
      </c>
      <c r="O9" s="31"/>
      <c r="P9" s="31"/>
      <c r="Q9" s="30"/>
      <c r="R9" s="29"/>
      <c r="S9" s="30"/>
      <c r="T9" s="34" t="str">
        <f aca="false">IF(M9="","",IF(OR(S9&lt;&gt;"是",F9="交際費",F9="員工福利"),"不得扣抵，稅額併入費用，請會計確認","可扣抵進項稅額"))</f>
        <v/>
      </c>
      <c r="U9" s="31"/>
      <c r="V9" s="30"/>
      <c r="W9" s="30"/>
      <c r="X9" s="30"/>
    </row>
    <row r="10" customFormat="false" ht="15" hidden="false" customHeight="false" outlineLevel="0" collapsed="false">
      <c r="A10" s="31"/>
      <c r="B10" s="30"/>
      <c r="C10" s="29"/>
      <c r="D10" s="31"/>
      <c r="E10" s="31"/>
      <c r="F10" s="30"/>
      <c r="G10" s="34" t="str">
        <f aca="false">IF(F10="","",IFERROR(VLOOKUP(F10,會計科目對照!$J$5:$K$30,2,FALSE()),""))</f>
        <v/>
      </c>
      <c r="H10" s="30"/>
      <c r="I10" s="29"/>
      <c r="J10" s="31"/>
      <c r="K10" s="31"/>
      <c r="L10" s="54"/>
      <c r="M10" s="54"/>
      <c r="N10" s="55" t="str">
        <f aca="false">IF(L10="","",L10+M10)</f>
        <v/>
      </c>
      <c r="O10" s="31"/>
      <c r="P10" s="31"/>
      <c r="Q10" s="30"/>
      <c r="R10" s="29"/>
      <c r="S10" s="30"/>
      <c r="T10" s="34" t="str">
        <f aca="false">IF(M10="","",IF(OR(S10&lt;&gt;"是",F10="交際費",F10="員工福利"),"不得扣抵，稅額併入費用，請會計確認","可扣抵進項稅額"))</f>
        <v/>
      </c>
      <c r="U10" s="31"/>
      <c r="V10" s="30"/>
      <c r="W10" s="30"/>
      <c r="X10" s="30"/>
    </row>
    <row r="11" customFormat="false" ht="15" hidden="false" customHeight="false" outlineLevel="0" collapsed="false">
      <c r="A11" s="31"/>
      <c r="B11" s="30"/>
      <c r="C11" s="29"/>
      <c r="D11" s="31"/>
      <c r="E11" s="31"/>
      <c r="F11" s="30"/>
      <c r="G11" s="34" t="str">
        <f aca="false">IF(F11="","",IFERROR(VLOOKUP(F11,會計科目對照!$J$5:$K$30,2,FALSE()),""))</f>
        <v/>
      </c>
      <c r="H11" s="30"/>
      <c r="I11" s="29"/>
      <c r="J11" s="31"/>
      <c r="K11" s="31"/>
      <c r="L11" s="54"/>
      <c r="M11" s="54"/>
      <c r="N11" s="55" t="str">
        <f aca="false">IF(L11="","",L11+M11)</f>
        <v/>
      </c>
      <c r="O11" s="31"/>
      <c r="P11" s="31"/>
      <c r="Q11" s="30"/>
      <c r="R11" s="29"/>
      <c r="S11" s="30"/>
      <c r="T11" s="34" t="str">
        <f aca="false">IF(M11="","",IF(OR(S11&lt;&gt;"是",F11="交際費",F11="員工福利"),"不得扣抵，稅額併入費用，請會計確認","可扣抵進項稅額"))</f>
        <v/>
      </c>
      <c r="U11" s="31"/>
      <c r="V11" s="30"/>
      <c r="W11" s="30"/>
      <c r="X11" s="30"/>
    </row>
    <row r="12" customFormat="false" ht="15" hidden="false" customHeight="false" outlineLevel="0" collapsed="false">
      <c r="A12" s="31"/>
      <c r="B12" s="30"/>
      <c r="C12" s="29"/>
      <c r="D12" s="31"/>
      <c r="E12" s="31"/>
      <c r="F12" s="30"/>
      <c r="G12" s="34" t="str">
        <f aca="false">IF(F12="","",IFERROR(VLOOKUP(F12,會計科目對照!$J$5:$K$30,2,FALSE()),""))</f>
        <v/>
      </c>
      <c r="H12" s="30"/>
      <c r="I12" s="29"/>
      <c r="J12" s="31"/>
      <c r="K12" s="31"/>
      <c r="L12" s="54"/>
      <c r="M12" s="54"/>
      <c r="N12" s="55" t="str">
        <f aca="false">IF(L12="","",L12+M12)</f>
        <v/>
      </c>
      <c r="O12" s="31"/>
      <c r="P12" s="31"/>
      <c r="Q12" s="30"/>
      <c r="R12" s="29"/>
      <c r="S12" s="30"/>
      <c r="T12" s="34" t="str">
        <f aca="false">IF(M12="","",IF(OR(S12&lt;&gt;"是",F12="交際費",F12="員工福利"),"不得扣抵，稅額併入費用，請會計確認","可扣抵進項稅額"))</f>
        <v/>
      </c>
      <c r="U12" s="31"/>
      <c r="V12" s="30"/>
      <c r="W12" s="30"/>
      <c r="X12" s="30"/>
    </row>
    <row r="13" customFormat="false" ht="15" hidden="false" customHeight="false" outlineLevel="0" collapsed="false">
      <c r="A13" s="31"/>
      <c r="B13" s="30"/>
      <c r="C13" s="29"/>
      <c r="D13" s="31"/>
      <c r="E13" s="31"/>
      <c r="F13" s="30"/>
      <c r="G13" s="34" t="str">
        <f aca="false">IF(F13="","",IFERROR(VLOOKUP(F13,會計科目對照!$J$5:$K$30,2,FALSE()),""))</f>
        <v/>
      </c>
      <c r="H13" s="30"/>
      <c r="I13" s="29"/>
      <c r="J13" s="31"/>
      <c r="K13" s="31"/>
      <c r="L13" s="54"/>
      <c r="M13" s="54"/>
      <c r="N13" s="55" t="str">
        <f aca="false">IF(L13="","",L13+M13)</f>
        <v/>
      </c>
      <c r="O13" s="31"/>
      <c r="P13" s="31"/>
      <c r="Q13" s="30"/>
      <c r="R13" s="29"/>
      <c r="S13" s="30"/>
      <c r="T13" s="34" t="str">
        <f aca="false">IF(M13="","",IF(OR(S13&lt;&gt;"是",F13="交際費",F13="員工福利"),"不得扣抵，稅額併入費用，請會計確認","可扣抵進項稅額"))</f>
        <v/>
      </c>
      <c r="U13" s="31"/>
      <c r="V13" s="30"/>
      <c r="W13" s="30"/>
      <c r="X13" s="30"/>
    </row>
    <row r="14" customFormat="false" ht="15" hidden="false" customHeight="false" outlineLevel="0" collapsed="false">
      <c r="A14" s="31"/>
      <c r="B14" s="30"/>
      <c r="C14" s="29"/>
      <c r="D14" s="31"/>
      <c r="E14" s="31"/>
      <c r="F14" s="30"/>
      <c r="G14" s="34" t="str">
        <f aca="false">IF(F14="","",IFERROR(VLOOKUP(F14,會計科目對照!$J$5:$K$30,2,FALSE()),""))</f>
        <v/>
      </c>
      <c r="H14" s="30"/>
      <c r="I14" s="29"/>
      <c r="J14" s="31"/>
      <c r="K14" s="31"/>
      <c r="L14" s="54"/>
      <c r="M14" s="54"/>
      <c r="N14" s="55" t="str">
        <f aca="false">IF(L14="","",L14+M14)</f>
        <v/>
      </c>
      <c r="O14" s="31"/>
      <c r="P14" s="31"/>
      <c r="Q14" s="30"/>
      <c r="R14" s="29"/>
      <c r="S14" s="30"/>
      <c r="T14" s="34" t="str">
        <f aca="false">IF(M14="","",IF(OR(S14&lt;&gt;"是",F14="交際費",F14="員工福利"),"不得扣抵，稅額併入費用，請會計確認","可扣抵進項稅額"))</f>
        <v/>
      </c>
      <c r="U14" s="31"/>
      <c r="V14" s="30"/>
      <c r="W14" s="30"/>
      <c r="X14" s="30"/>
    </row>
    <row r="15" customFormat="false" ht="15" hidden="false" customHeight="false" outlineLevel="0" collapsed="false">
      <c r="A15" s="31"/>
      <c r="B15" s="30"/>
      <c r="C15" s="29"/>
      <c r="D15" s="31"/>
      <c r="E15" s="31"/>
      <c r="F15" s="30"/>
      <c r="G15" s="34" t="str">
        <f aca="false">IF(F15="","",IFERROR(VLOOKUP(F15,會計科目對照!$J$5:$K$30,2,FALSE()),""))</f>
        <v/>
      </c>
      <c r="H15" s="30"/>
      <c r="I15" s="29"/>
      <c r="J15" s="31"/>
      <c r="K15" s="31"/>
      <c r="L15" s="54"/>
      <c r="M15" s="54"/>
      <c r="N15" s="55" t="str">
        <f aca="false">IF(L15="","",L15+M15)</f>
        <v/>
      </c>
      <c r="O15" s="31"/>
      <c r="P15" s="31"/>
      <c r="Q15" s="30"/>
      <c r="R15" s="29"/>
      <c r="S15" s="30"/>
      <c r="T15" s="34" t="str">
        <f aca="false">IF(M15="","",IF(OR(S15&lt;&gt;"是",F15="交際費",F15="員工福利"),"不得扣抵，稅額併入費用，請會計確認","可扣抵進項稅額"))</f>
        <v/>
      </c>
      <c r="U15" s="31"/>
      <c r="V15" s="30"/>
      <c r="W15" s="30"/>
      <c r="X15" s="30"/>
    </row>
    <row r="16" customFormat="false" ht="15" hidden="false" customHeight="false" outlineLevel="0" collapsed="false">
      <c r="A16" s="31"/>
      <c r="B16" s="30"/>
      <c r="C16" s="29"/>
      <c r="D16" s="31"/>
      <c r="E16" s="31"/>
      <c r="F16" s="30"/>
      <c r="G16" s="34" t="str">
        <f aca="false">IF(F16="","",IFERROR(VLOOKUP(F16,會計科目對照!$J$5:$K$30,2,FALSE()),""))</f>
        <v/>
      </c>
      <c r="H16" s="30"/>
      <c r="I16" s="29"/>
      <c r="J16" s="31"/>
      <c r="K16" s="31"/>
      <c r="L16" s="54"/>
      <c r="M16" s="54"/>
      <c r="N16" s="55" t="str">
        <f aca="false">IF(L16="","",L16+M16)</f>
        <v/>
      </c>
      <c r="O16" s="31"/>
      <c r="P16" s="31"/>
      <c r="Q16" s="30"/>
      <c r="R16" s="29"/>
      <c r="S16" s="30"/>
      <c r="T16" s="34" t="str">
        <f aca="false">IF(M16="","",IF(OR(S16&lt;&gt;"是",F16="交際費",F16="員工福利"),"不得扣抵，稅額併入費用，請會計確認","可扣抵進項稅額"))</f>
        <v/>
      </c>
      <c r="U16" s="31"/>
      <c r="V16" s="30"/>
      <c r="W16" s="30"/>
      <c r="X16" s="30"/>
    </row>
    <row r="17" customFormat="false" ht="15" hidden="false" customHeight="false" outlineLevel="0" collapsed="false">
      <c r="A17" s="31"/>
      <c r="B17" s="30"/>
      <c r="C17" s="29"/>
      <c r="D17" s="31"/>
      <c r="E17" s="31"/>
      <c r="F17" s="30"/>
      <c r="G17" s="34" t="str">
        <f aca="false">IF(F17="","",IFERROR(VLOOKUP(F17,會計科目對照!$J$5:$K$30,2,FALSE()),""))</f>
        <v/>
      </c>
      <c r="H17" s="30"/>
      <c r="I17" s="29"/>
      <c r="J17" s="31"/>
      <c r="K17" s="31"/>
      <c r="L17" s="54"/>
      <c r="M17" s="54"/>
      <c r="N17" s="55" t="str">
        <f aca="false">IF(L17="","",L17+M17)</f>
        <v/>
      </c>
      <c r="O17" s="31"/>
      <c r="P17" s="31"/>
      <c r="Q17" s="30"/>
      <c r="R17" s="29"/>
      <c r="S17" s="30"/>
      <c r="T17" s="34" t="str">
        <f aca="false">IF(M17="","",IF(OR(S17&lt;&gt;"是",F17="交際費",F17="員工福利"),"不得扣抵，稅額併入費用，請會計確認","可扣抵進項稅額"))</f>
        <v/>
      </c>
      <c r="U17" s="31"/>
      <c r="V17" s="30"/>
      <c r="W17" s="30"/>
      <c r="X17" s="30"/>
    </row>
    <row r="18" customFormat="false" ht="15" hidden="false" customHeight="false" outlineLevel="0" collapsed="false">
      <c r="A18" s="31"/>
      <c r="B18" s="30"/>
      <c r="C18" s="29"/>
      <c r="D18" s="31"/>
      <c r="E18" s="31"/>
      <c r="F18" s="30"/>
      <c r="G18" s="34" t="str">
        <f aca="false">IF(F18="","",IFERROR(VLOOKUP(F18,會計科目對照!$J$5:$K$30,2,FALSE()),""))</f>
        <v/>
      </c>
      <c r="H18" s="30"/>
      <c r="I18" s="29"/>
      <c r="J18" s="31"/>
      <c r="K18" s="31"/>
      <c r="L18" s="54"/>
      <c r="M18" s="54"/>
      <c r="N18" s="55" t="str">
        <f aca="false">IF(L18="","",L18+M18)</f>
        <v/>
      </c>
      <c r="O18" s="31"/>
      <c r="P18" s="31"/>
      <c r="Q18" s="30"/>
      <c r="R18" s="29"/>
      <c r="S18" s="30"/>
      <c r="T18" s="34" t="str">
        <f aca="false">IF(M18="","",IF(OR(S18&lt;&gt;"是",F18="交際費",F18="員工福利"),"不得扣抵，稅額併入費用，請會計確認","可扣抵進項稅額"))</f>
        <v/>
      </c>
      <c r="U18" s="31"/>
      <c r="V18" s="30"/>
      <c r="W18" s="30"/>
      <c r="X18" s="30"/>
    </row>
    <row r="19" customFormat="false" ht="15" hidden="false" customHeight="false" outlineLevel="0" collapsed="false">
      <c r="A19" s="31"/>
      <c r="B19" s="30"/>
      <c r="C19" s="29"/>
      <c r="D19" s="31"/>
      <c r="E19" s="31"/>
      <c r="F19" s="30"/>
      <c r="G19" s="34" t="str">
        <f aca="false">IF(F19="","",IFERROR(VLOOKUP(F19,會計科目對照!$J$5:$K$30,2,FALSE()),""))</f>
        <v/>
      </c>
      <c r="H19" s="30"/>
      <c r="I19" s="29"/>
      <c r="J19" s="31"/>
      <c r="K19" s="31"/>
      <c r="L19" s="54"/>
      <c r="M19" s="54"/>
      <c r="N19" s="55" t="str">
        <f aca="false">IF(L19="","",L19+M19)</f>
        <v/>
      </c>
      <c r="O19" s="31"/>
      <c r="P19" s="31"/>
      <c r="Q19" s="30"/>
      <c r="R19" s="29"/>
      <c r="S19" s="30"/>
      <c r="T19" s="34" t="str">
        <f aca="false">IF(M19="","",IF(OR(S19&lt;&gt;"是",F19="交際費",F19="員工福利"),"不得扣抵，稅額併入費用，請會計確認","可扣抵進項稅額"))</f>
        <v/>
      </c>
      <c r="U19" s="31"/>
      <c r="V19" s="30"/>
      <c r="W19" s="30"/>
      <c r="X19" s="30"/>
    </row>
    <row r="20" customFormat="false" ht="15" hidden="false" customHeight="false" outlineLevel="0" collapsed="false">
      <c r="A20" s="31"/>
      <c r="B20" s="30"/>
      <c r="C20" s="29"/>
      <c r="D20" s="31"/>
      <c r="E20" s="31"/>
      <c r="F20" s="30"/>
      <c r="G20" s="34" t="str">
        <f aca="false">IF(F20="","",IFERROR(VLOOKUP(F20,會計科目對照!$J$5:$K$30,2,FALSE()),""))</f>
        <v/>
      </c>
      <c r="H20" s="30"/>
      <c r="I20" s="29"/>
      <c r="J20" s="31"/>
      <c r="K20" s="31"/>
      <c r="L20" s="54"/>
      <c r="M20" s="54"/>
      <c r="N20" s="55" t="str">
        <f aca="false">IF(L20="","",L20+M20)</f>
        <v/>
      </c>
      <c r="O20" s="31"/>
      <c r="P20" s="31"/>
      <c r="Q20" s="30"/>
      <c r="R20" s="29"/>
      <c r="S20" s="30"/>
      <c r="T20" s="34" t="str">
        <f aca="false">IF(M20="","",IF(OR(S20&lt;&gt;"是",F20="交際費",F20="員工福利"),"不得扣抵，稅額併入費用，請會計確認","可扣抵進項稅額"))</f>
        <v/>
      </c>
      <c r="U20" s="31"/>
      <c r="V20" s="30"/>
      <c r="W20" s="30"/>
      <c r="X20" s="30"/>
    </row>
    <row r="21" customFormat="false" ht="15" hidden="false" customHeight="false" outlineLevel="0" collapsed="false">
      <c r="A21" s="31"/>
      <c r="B21" s="30"/>
      <c r="C21" s="29"/>
      <c r="D21" s="31"/>
      <c r="E21" s="31"/>
      <c r="F21" s="30"/>
      <c r="G21" s="34" t="str">
        <f aca="false">IF(F21="","",IFERROR(VLOOKUP(F21,會計科目對照!$J$5:$K$30,2,FALSE()),""))</f>
        <v/>
      </c>
      <c r="H21" s="30"/>
      <c r="I21" s="29"/>
      <c r="J21" s="31"/>
      <c r="K21" s="31"/>
      <c r="L21" s="54"/>
      <c r="M21" s="54"/>
      <c r="N21" s="55" t="str">
        <f aca="false">IF(L21="","",L21+M21)</f>
        <v/>
      </c>
      <c r="O21" s="31"/>
      <c r="P21" s="31"/>
      <c r="Q21" s="30"/>
      <c r="R21" s="29"/>
      <c r="S21" s="30"/>
      <c r="T21" s="34" t="str">
        <f aca="false">IF(M21="","",IF(OR(S21&lt;&gt;"是",F21="交際費",F21="員工福利"),"不得扣抵，稅額併入費用，請會計確認","可扣抵進項稅額"))</f>
        <v/>
      </c>
      <c r="U21" s="31"/>
      <c r="V21" s="30"/>
      <c r="W21" s="30"/>
      <c r="X21" s="30"/>
    </row>
    <row r="22" customFormat="false" ht="15" hidden="false" customHeight="false" outlineLevel="0" collapsed="false">
      <c r="A22" s="31"/>
      <c r="B22" s="30"/>
      <c r="C22" s="29"/>
      <c r="D22" s="31"/>
      <c r="E22" s="31"/>
      <c r="F22" s="30"/>
      <c r="G22" s="34" t="str">
        <f aca="false">IF(F22="","",IFERROR(VLOOKUP(F22,會計科目對照!$J$5:$K$30,2,FALSE()),""))</f>
        <v/>
      </c>
      <c r="H22" s="30"/>
      <c r="I22" s="29"/>
      <c r="J22" s="31"/>
      <c r="K22" s="31"/>
      <c r="L22" s="54"/>
      <c r="M22" s="54"/>
      <c r="N22" s="55" t="str">
        <f aca="false">IF(L22="","",L22+M22)</f>
        <v/>
      </c>
      <c r="O22" s="31"/>
      <c r="P22" s="31"/>
      <c r="Q22" s="30"/>
      <c r="R22" s="29"/>
      <c r="S22" s="30"/>
      <c r="T22" s="34" t="str">
        <f aca="false">IF(M22="","",IF(OR(S22&lt;&gt;"是",F22="交際費",F22="員工福利"),"不得扣抵，稅額併入費用，請會計確認","可扣抵進項稅額"))</f>
        <v/>
      </c>
      <c r="U22" s="31"/>
      <c r="V22" s="30"/>
      <c r="W22" s="30"/>
      <c r="X22" s="30"/>
    </row>
    <row r="23" customFormat="false" ht="15" hidden="false" customHeight="false" outlineLevel="0" collapsed="false">
      <c r="A23" s="31"/>
      <c r="B23" s="30"/>
      <c r="C23" s="29"/>
      <c r="D23" s="31"/>
      <c r="E23" s="31"/>
      <c r="F23" s="30"/>
      <c r="G23" s="34" t="str">
        <f aca="false">IF(F23="","",IFERROR(VLOOKUP(F23,會計科目對照!$J$5:$K$30,2,FALSE()),""))</f>
        <v/>
      </c>
      <c r="H23" s="30"/>
      <c r="I23" s="29"/>
      <c r="J23" s="31"/>
      <c r="K23" s="31"/>
      <c r="L23" s="54"/>
      <c r="M23" s="54"/>
      <c r="N23" s="55" t="str">
        <f aca="false">IF(L23="","",L23+M23)</f>
        <v/>
      </c>
      <c r="O23" s="31"/>
      <c r="P23" s="31"/>
      <c r="Q23" s="30"/>
      <c r="R23" s="29"/>
      <c r="S23" s="30"/>
      <c r="T23" s="34" t="str">
        <f aca="false">IF(M23="","",IF(OR(S23&lt;&gt;"是",F23="交際費",F23="員工福利"),"不得扣抵，稅額併入費用，請會計確認","可扣抵進項稅額"))</f>
        <v/>
      </c>
      <c r="U23" s="31"/>
      <c r="V23" s="30"/>
      <c r="W23" s="30"/>
      <c r="X23" s="30"/>
    </row>
    <row r="24" customFormat="false" ht="15" hidden="false" customHeight="false" outlineLevel="0" collapsed="false">
      <c r="A24" s="31"/>
      <c r="B24" s="30"/>
      <c r="C24" s="29"/>
      <c r="D24" s="31"/>
      <c r="E24" s="31"/>
      <c r="F24" s="30"/>
      <c r="G24" s="34" t="str">
        <f aca="false">IF(F24="","",IFERROR(VLOOKUP(F24,會計科目對照!$J$5:$K$30,2,FALSE()),""))</f>
        <v/>
      </c>
      <c r="H24" s="30"/>
      <c r="I24" s="29"/>
      <c r="J24" s="31"/>
      <c r="K24" s="31"/>
      <c r="L24" s="54"/>
      <c r="M24" s="54"/>
      <c r="N24" s="55" t="str">
        <f aca="false">IF(L24="","",L24+M24)</f>
        <v/>
      </c>
      <c r="O24" s="31"/>
      <c r="P24" s="31"/>
      <c r="Q24" s="30"/>
      <c r="R24" s="29"/>
      <c r="S24" s="30"/>
      <c r="T24" s="34" t="str">
        <f aca="false">IF(M24="","",IF(OR(S24&lt;&gt;"是",F24="交際費",F24="員工福利"),"不得扣抵，稅額併入費用，請會計確認","可扣抵進項稅額"))</f>
        <v/>
      </c>
      <c r="U24" s="31"/>
      <c r="V24" s="30"/>
      <c r="W24" s="30"/>
      <c r="X24" s="30"/>
    </row>
    <row r="25" customFormat="false" ht="15" hidden="false" customHeight="false" outlineLevel="0" collapsed="false">
      <c r="A25" s="31"/>
      <c r="B25" s="30"/>
      <c r="C25" s="29"/>
      <c r="D25" s="31"/>
      <c r="E25" s="31"/>
      <c r="F25" s="30"/>
      <c r="G25" s="34" t="str">
        <f aca="false">IF(F25="","",IFERROR(VLOOKUP(F25,會計科目對照!$J$5:$K$30,2,FALSE()),""))</f>
        <v/>
      </c>
      <c r="H25" s="30"/>
      <c r="I25" s="29"/>
      <c r="J25" s="31"/>
      <c r="K25" s="31"/>
      <c r="L25" s="54"/>
      <c r="M25" s="54"/>
      <c r="N25" s="55" t="str">
        <f aca="false">IF(L25="","",L25+M25)</f>
        <v/>
      </c>
      <c r="O25" s="31"/>
      <c r="P25" s="31"/>
      <c r="Q25" s="30"/>
      <c r="R25" s="29"/>
      <c r="S25" s="30"/>
      <c r="T25" s="34" t="str">
        <f aca="false">IF(M25="","",IF(OR(S25&lt;&gt;"是",F25="交際費",F25="員工福利"),"不得扣抵，稅額併入費用，請會計確認","可扣抵進項稅額"))</f>
        <v/>
      </c>
      <c r="U25" s="31"/>
      <c r="V25" s="30"/>
      <c r="W25" s="30"/>
      <c r="X25" s="30"/>
    </row>
    <row r="26" customFormat="false" ht="15" hidden="false" customHeight="false" outlineLevel="0" collapsed="false">
      <c r="A26" s="31"/>
      <c r="B26" s="30"/>
      <c r="C26" s="29"/>
      <c r="D26" s="31"/>
      <c r="E26" s="31"/>
      <c r="F26" s="30"/>
      <c r="G26" s="34" t="str">
        <f aca="false">IF(F26="","",IFERROR(VLOOKUP(F26,會計科目對照!$J$5:$K$30,2,FALSE()),""))</f>
        <v/>
      </c>
      <c r="H26" s="30"/>
      <c r="I26" s="29"/>
      <c r="J26" s="31"/>
      <c r="K26" s="31"/>
      <c r="L26" s="54"/>
      <c r="M26" s="54"/>
      <c r="N26" s="55" t="str">
        <f aca="false">IF(L26="","",L26+M26)</f>
        <v/>
      </c>
      <c r="O26" s="31"/>
      <c r="P26" s="31"/>
      <c r="Q26" s="30"/>
      <c r="R26" s="29"/>
      <c r="S26" s="30"/>
      <c r="T26" s="34" t="str">
        <f aca="false">IF(M26="","",IF(OR(S26&lt;&gt;"是",F26="交際費",F26="員工福利"),"不得扣抵，稅額併入費用，請會計確認","可扣抵進項稅額"))</f>
        <v/>
      </c>
      <c r="U26" s="31"/>
      <c r="V26" s="30"/>
      <c r="W26" s="30"/>
      <c r="X26" s="30"/>
    </row>
    <row r="27" customFormat="false" ht="15" hidden="false" customHeight="false" outlineLevel="0" collapsed="false">
      <c r="A27" s="31"/>
      <c r="B27" s="30"/>
      <c r="C27" s="29"/>
      <c r="D27" s="31"/>
      <c r="E27" s="31"/>
      <c r="F27" s="30"/>
      <c r="G27" s="34" t="str">
        <f aca="false">IF(F27="","",IFERROR(VLOOKUP(F27,會計科目對照!$J$5:$K$30,2,FALSE()),""))</f>
        <v/>
      </c>
      <c r="H27" s="30"/>
      <c r="I27" s="29"/>
      <c r="J27" s="31"/>
      <c r="K27" s="31"/>
      <c r="L27" s="54"/>
      <c r="M27" s="54"/>
      <c r="N27" s="55" t="str">
        <f aca="false">IF(L27="","",L27+M27)</f>
        <v/>
      </c>
      <c r="O27" s="31"/>
      <c r="P27" s="31"/>
      <c r="Q27" s="30"/>
      <c r="R27" s="29"/>
      <c r="S27" s="30"/>
      <c r="T27" s="34" t="str">
        <f aca="false">IF(M27="","",IF(OR(S27&lt;&gt;"是",F27="交際費",F27="員工福利"),"不得扣抵，稅額併入費用，請會計確認","可扣抵進項稅額"))</f>
        <v/>
      </c>
      <c r="U27" s="31"/>
      <c r="V27" s="30"/>
      <c r="W27" s="30"/>
      <c r="X27" s="30"/>
    </row>
    <row r="28" customFormat="false" ht="15" hidden="false" customHeight="false" outlineLevel="0" collapsed="false">
      <c r="A28" s="31"/>
      <c r="B28" s="30"/>
      <c r="C28" s="29"/>
      <c r="D28" s="31"/>
      <c r="E28" s="31"/>
      <c r="F28" s="30"/>
      <c r="G28" s="34" t="str">
        <f aca="false">IF(F28="","",IFERROR(VLOOKUP(F28,會計科目對照!$J$5:$K$30,2,FALSE()),""))</f>
        <v/>
      </c>
      <c r="H28" s="30"/>
      <c r="I28" s="29"/>
      <c r="J28" s="31"/>
      <c r="K28" s="31"/>
      <c r="L28" s="54"/>
      <c r="M28" s="54"/>
      <c r="N28" s="55" t="str">
        <f aca="false">IF(L28="","",L28+M28)</f>
        <v/>
      </c>
      <c r="O28" s="31"/>
      <c r="P28" s="31"/>
      <c r="Q28" s="30"/>
      <c r="R28" s="29"/>
      <c r="S28" s="30"/>
      <c r="T28" s="34" t="str">
        <f aca="false">IF(M28="","",IF(OR(S28&lt;&gt;"是",F28="交際費",F28="員工福利"),"不得扣抵，稅額併入費用，請會計確認","可扣抵進項稅額"))</f>
        <v/>
      </c>
      <c r="U28" s="31"/>
      <c r="V28" s="30"/>
      <c r="W28" s="30"/>
      <c r="X28" s="30"/>
    </row>
    <row r="29" customFormat="false" ht="15" hidden="false" customHeight="false" outlineLevel="0" collapsed="false">
      <c r="A29" s="31"/>
      <c r="B29" s="30"/>
      <c r="C29" s="29"/>
      <c r="D29" s="31"/>
      <c r="E29" s="31"/>
      <c r="F29" s="30"/>
      <c r="G29" s="34" t="str">
        <f aca="false">IF(F29="","",IFERROR(VLOOKUP(F29,會計科目對照!$J$5:$K$30,2,FALSE()),""))</f>
        <v/>
      </c>
      <c r="H29" s="30"/>
      <c r="I29" s="29"/>
      <c r="J29" s="31"/>
      <c r="K29" s="31"/>
      <c r="L29" s="54"/>
      <c r="M29" s="54"/>
      <c r="N29" s="55" t="str">
        <f aca="false">IF(L29="","",L29+M29)</f>
        <v/>
      </c>
      <c r="O29" s="31"/>
      <c r="P29" s="31"/>
      <c r="Q29" s="30"/>
      <c r="R29" s="29"/>
      <c r="S29" s="30"/>
      <c r="T29" s="34" t="str">
        <f aca="false">IF(M29="","",IF(OR(S29&lt;&gt;"是",F29="交際費",F29="員工福利"),"不得扣抵，稅額併入費用，請會計確認","可扣抵進項稅額"))</f>
        <v/>
      </c>
      <c r="U29" s="31"/>
      <c r="V29" s="30"/>
      <c r="W29" s="30"/>
      <c r="X29" s="30"/>
    </row>
    <row r="30" customFormat="false" ht="15" hidden="false" customHeight="false" outlineLevel="0" collapsed="false">
      <c r="A30" s="31"/>
      <c r="B30" s="30"/>
      <c r="C30" s="29"/>
      <c r="D30" s="31"/>
      <c r="E30" s="31"/>
      <c r="F30" s="30"/>
      <c r="G30" s="34" t="str">
        <f aca="false">IF(F30="","",IFERROR(VLOOKUP(F30,會計科目對照!$J$5:$K$30,2,FALSE()),""))</f>
        <v/>
      </c>
      <c r="H30" s="30"/>
      <c r="I30" s="29"/>
      <c r="J30" s="31"/>
      <c r="K30" s="31"/>
      <c r="L30" s="54"/>
      <c r="M30" s="54"/>
      <c r="N30" s="55" t="str">
        <f aca="false">IF(L30="","",L30+M30)</f>
        <v/>
      </c>
      <c r="O30" s="31"/>
      <c r="P30" s="31"/>
      <c r="Q30" s="30"/>
      <c r="R30" s="29"/>
      <c r="S30" s="30"/>
      <c r="T30" s="34" t="str">
        <f aca="false">IF(M30="","",IF(OR(S30&lt;&gt;"是",F30="交際費",F30="員工福利"),"不得扣抵，稅額併入費用，請會計確認","可扣抵進項稅額"))</f>
        <v/>
      </c>
      <c r="U30" s="31"/>
      <c r="V30" s="30"/>
      <c r="W30" s="30"/>
      <c r="X30" s="30"/>
    </row>
    <row r="31" customFormat="false" ht="15" hidden="false" customHeight="false" outlineLevel="0" collapsed="false">
      <c r="A31" s="31"/>
      <c r="B31" s="30"/>
      <c r="C31" s="29"/>
      <c r="D31" s="31"/>
      <c r="E31" s="31"/>
      <c r="F31" s="30"/>
      <c r="G31" s="34" t="str">
        <f aca="false">IF(F31="","",IFERROR(VLOOKUP(F31,會計科目對照!$J$5:$K$30,2,FALSE()),""))</f>
        <v/>
      </c>
      <c r="H31" s="30"/>
      <c r="I31" s="29"/>
      <c r="J31" s="31"/>
      <c r="K31" s="31"/>
      <c r="L31" s="54"/>
      <c r="M31" s="54"/>
      <c r="N31" s="55" t="str">
        <f aca="false">IF(L31="","",L31+M31)</f>
        <v/>
      </c>
      <c r="O31" s="31"/>
      <c r="P31" s="31"/>
      <c r="Q31" s="30"/>
      <c r="R31" s="29"/>
      <c r="S31" s="30"/>
      <c r="T31" s="34" t="str">
        <f aca="false">IF(M31="","",IF(OR(S31&lt;&gt;"是",F31="交際費",F31="員工福利"),"不得扣抵，稅額併入費用，請會計確認","可扣抵進項稅額"))</f>
        <v/>
      </c>
      <c r="U31" s="31"/>
      <c r="V31" s="30"/>
      <c r="W31" s="30"/>
      <c r="X31" s="30"/>
    </row>
    <row r="32" customFormat="false" ht="15" hidden="false" customHeight="false" outlineLevel="0" collapsed="false">
      <c r="A32" s="31"/>
      <c r="B32" s="30"/>
      <c r="C32" s="29"/>
      <c r="D32" s="31"/>
      <c r="E32" s="31"/>
      <c r="F32" s="30"/>
      <c r="G32" s="34" t="str">
        <f aca="false">IF(F32="","",IFERROR(VLOOKUP(F32,會計科目對照!$J$5:$K$30,2,FALSE()),""))</f>
        <v/>
      </c>
      <c r="H32" s="30"/>
      <c r="I32" s="29"/>
      <c r="J32" s="31"/>
      <c r="K32" s="31"/>
      <c r="L32" s="54"/>
      <c r="M32" s="54"/>
      <c r="N32" s="55" t="str">
        <f aca="false">IF(L32="","",L32+M32)</f>
        <v/>
      </c>
      <c r="O32" s="31"/>
      <c r="P32" s="31"/>
      <c r="Q32" s="30"/>
      <c r="R32" s="29"/>
      <c r="S32" s="30"/>
      <c r="T32" s="34" t="str">
        <f aca="false">IF(M32="","",IF(OR(S32&lt;&gt;"是",F32="交際費",F32="員工福利"),"不得扣抵，稅額併入費用，請會計確認","可扣抵進項稅額"))</f>
        <v/>
      </c>
      <c r="U32" s="31"/>
      <c r="V32" s="30"/>
      <c r="W32" s="30"/>
      <c r="X32" s="30"/>
    </row>
    <row r="33" customFormat="false" ht="15" hidden="false" customHeight="false" outlineLevel="0" collapsed="false">
      <c r="A33" s="31"/>
      <c r="B33" s="30"/>
      <c r="C33" s="29"/>
      <c r="D33" s="31"/>
      <c r="E33" s="31"/>
      <c r="F33" s="30"/>
      <c r="G33" s="34" t="str">
        <f aca="false">IF(F33="","",IFERROR(VLOOKUP(F33,會計科目對照!$J$5:$K$30,2,FALSE()),""))</f>
        <v/>
      </c>
      <c r="H33" s="30"/>
      <c r="I33" s="29"/>
      <c r="J33" s="31"/>
      <c r="K33" s="31"/>
      <c r="L33" s="54"/>
      <c r="M33" s="54"/>
      <c r="N33" s="55" t="str">
        <f aca="false">IF(L33="","",L33+M33)</f>
        <v/>
      </c>
      <c r="O33" s="31"/>
      <c r="P33" s="31"/>
      <c r="Q33" s="30"/>
      <c r="R33" s="29"/>
      <c r="S33" s="30"/>
      <c r="T33" s="34" t="str">
        <f aca="false">IF(M33="","",IF(OR(S33&lt;&gt;"是",F33="交際費",F33="員工福利"),"不得扣抵，稅額併入費用，請會計確認","可扣抵進項稅額"))</f>
        <v/>
      </c>
      <c r="U33" s="31"/>
      <c r="V33" s="30"/>
      <c r="W33" s="30"/>
      <c r="X33" s="30"/>
    </row>
    <row r="34" customFormat="false" ht="15" hidden="false" customHeight="false" outlineLevel="0" collapsed="false">
      <c r="A34" s="31"/>
      <c r="B34" s="30"/>
      <c r="C34" s="29"/>
      <c r="D34" s="31"/>
      <c r="E34" s="31"/>
      <c r="F34" s="30"/>
      <c r="G34" s="34" t="str">
        <f aca="false">IF(F34="","",IFERROR(VLOOKUP(F34,會計科目對照!$J$5:$K$30,2,FALSE()),""))</f>
        <v/>
      </c>
      <c r="H34" s="30"/>
      <c r="I34" s="29"/>
      <c r="J34" s="31"/>
      <c r="K34" s="31"/>
      <c r="L34" s="54"/>
      <c r="M34" s="54"/>
      <c r="N34" s="55" t="str">
        <f aca="false">IF(L34="","",L34+M34)</f>
        <v/>
      </c>
      <c r="O34" s="31"/>
      <c r="P34" s="31"/>
      <c r="Q34" s="30"/>
      <c r="R34" s="29"/>
      <c r="S34" s="30"/>
      <c r="T34" s="34" t="str">
        <f aca="false">IF(M34="","",IF(OR(S34&lt;&gt;"是",F34="交際費",F34="員工福利"),"不得扣抵，稅額併入費用，請會計確認","可扣抵進項稅額"))</f>
        <v/>
      </c>
      <c r="U34" s="31"/>
      <c r="V34" s="30"/>
      <c r="W34" s="30"/>
      <c r="X34" s="30"/>
    </row>
    <row r="35" customFormat="false" ht="15" hidden="false" customHeight="false" outlineLevel="0" collapsed="false">
      <c r="A35" s="31"/>
      <c r="B35" s="30"/>
      <c r="C35" s="29"/>
      <c r="D35" s="31"/>
      <c r="E35" s="31"/>
      <c r="F35" s="30"/>
      <c r="G35" s="34" t="str">
        <f aca="false">IF(F35="","",IFERROR(VLOOKUP(F35,會計科目對照!$J$5:$K$30,2,FALSE()),""))</f>
        <v/>
      </c>
      <c r="H35" s="30"/>
      <c r="I35" s="29"/>
      <c r="J35" s="31"/>
      <c r="K35" s="31"/>
      <c r="L35" s="54"/>
      <c r="M35" s="54"/>
      <c r="N35" s="55" t="str">
        <f aca="false">IF(L35="","",L35+M35)</f>
        <v/>
      </c>
      <c r="O35" s="31"/>
      <c r="P35" s="31"/>
      <c r="Q35" s="30"/>
      <c r="R35" s="29"/>
      <c r="S35" s="30"/>
      <c r="T35" s="34" t="str">
        <f aca="false">IF(M35="","",IF(OR(S35&lt;&gt;"是",F35="交際費",F35="員工福利"),"不得扣抵，稅額併入費用，請會計確認","可扣抵進項稅額"))</f>
        <v/>
      </c>
      <c r="U35" s="31"/>
      <c r="V35" s="30"/>
      <c r="W35" s="30"/>
      <c r="X35" s="30"/>
    </row>
    <row r="36" customFormat="false" ht="15" hidden="false" customHeight="false" outlineLevel="0" collapsed="false">
      <c r="A36" s="31"/>
      <c r="B36" s="30"/>
      <c r="C36" s="29"/>
      <c r="D36" s="31"/>
      <c r="E36" s="31"/>
      <c r="F36" s="30"/>
      <c r="G36" s="34" t="str">
        <f aca="false">IF(F36="","",IFERROR(VLOOKUP(F36,會計科目對照!$J$5:$K$30,2,FALSE()),""))</f>
        <v/>
      </c>
      <c r="H36" s="30"/>
      <c r="I36" s="29"/>
      <c r="J36" s="31"/>
      <c r="K36" s="31"/>
      <c r="L36" s="54"/>
      <c r="M36" s="54"/>
      <c r="N36" s="55" t="str">
        <f aca="false">IF(L36="","",L36+M36)</f>
        <v/>
      </c>
      <c r="O36" s="31"/>
      <c r="P36" s="31"/>
      <c r="Q36" s="30"/>
      <c r="R36" s="29"/>
      <c r="S36" s="30"/>
      <c r="T36" s="34" t="str">
        <f aca="false">IF(M36="","",IF(OR(S36&lt;&gt;"是",F36="交際費",F36="員工福利"),"不得扣抵，稅額併入費用，請會計確認","可扣抵進項稅額"))</f>
        <v/>
      </c>
      <c r="U36" s="31"/>
      <c r="V36" s="30"/>
      <c r="W36" s="30"/>
      <c r="X36" s="30"/>
    </row>
    <row r="37" customFormat="false" ht="15" hidden="false" customHeight="false" outlineLevel="0" collapsed="false">
      <c r="A37" s="31"/>
      <c r="B37" s="30"/>
      <c r="C37" s="29"/>
      <c r="D37" s="31"/>
      <c r="E37" s="31"/>
      <c r="F37" s="30"/>
      <c r="G37" s="34" t="str">
        <f aca="false">IF(F37="","",IFERROR(VLOOKUP(F37,會計科目對照!$J$5:$K$30,2,FALSE()),""))</f>
        <v/>
      </c>
      <c r="H37" s="30"/>
      <c r="I37" s="29"/>
      <c r="J37" s="31"/>
      <c r="K37" s="31"/>
      <c r="L37" s="54"/>
      <c r="M37" s="54"/>
      <c r="N37" s="55" t="str">
        <f aca="false">IF(L37="","",L37+M37)</f>
        <v/>
      </c>
      <c r="O37" s="31"/>
      <c r="P37" s="31"/>
      <c r="Q37" s="30"/>
      <c r="R37" s="29"/>
      <c r="S37" s="30"/>
      <c r="T37" s="34" t="str">
        <f aca="false">IF(M37="","",IF(OR(S37&lt;&gt;"是",F37="交際費",F37="員工福利"),"不得扣抵，稅額併入費用，請會計確認","可扣抵進項稅額"))</f>
        <v/>
      </c>
      <c r="U37" s="31"/>
      <c r="V37" s="30"/>
      <c r="W37" s="30"/>
      <c r="X37" s="30"/>
    </row>
    <row r="38" customFormat="false" ht="15" hidden="false" customHeight="false" outlineLevel="0" collapsed="false">
      <c r="A38" s="31"/>
      <c r="B38" s="30"/>
      <c r="C38" s="29"/>
      <c r="D38" s="31"/>
      <c r="E38" s="31"/>
      <c r="F38" s="30"/>
      <c r="G38" s="34" t="str">
        <f aca="false">IF(F38="","",IFERROR(VLOOKUP(F38,會計科目對照!$J$5:$K$30,2,FALSE()),""))</f>
        <v/>
      </c>
      <c r="H38" s="30"/>
      <c r="I38" s="29"/>
      <c r="J38" s="31"/>
      <c r="K38" s="31"/>
      <c r="L38" s="54"/>
      <c r="M38" s="54"/>
      <c r="N38" s="55" t="str">
        <f aca="false">IF(L38="","",L38+M38)</f>
        <v/>
      </c>
      <c r="O38" s="31"/>
      <c r="P38" s="31"/>
      <c r="Q38" s="30"/>
      <c r="R38" s="29"/>
      <c r="S38" s="30"/>
      <c r="T38" s="34" t="str">
        <f aca="false">IF(M38="","",IF(OR(S38&lt;&gt;"是",F38="交際費",F38="員工福利"),"不得扣抵，稅額併入費用，請會計確認","可扣抵進項稅額"))</f>
        <v/>
      </c>
      <c r="U38" s="31"/>
      <c r="V38" s="30"/>
      <c r="W38" s="30"/>
      <c r="X38" s="30"/>
    </row>
    <row r="39" customFormat="false" ht="15" hidden="false" customHeight="false" outlineLevel="0" collapsed="false">
      <c r="A39" s="31"/>
      <c r="B39" s="30"/>
      <c r="C39" s="29"/>
      <c r="D39" s="31"/>
      <c r="E39" s="31"/>
      <c r="F39" s="30"/>
      <c r="G39" s="34" t="str">
        <f aca="false">IF(F39="","",IFERROR(VLOOKUP(F39,會計科目對照!$J$5:$K$30,2,FALSE()),""))</f>
        <v/>
      </c>
      <c r="H39" s="30"/>
      <c r="I39" s="29"/>
      <c r="J39" s="31"/>
      <c r="K39" s="31"/>
      <c r="L39" s="54"/>
      <c r="M39" s="54"/>
      <c r="N39" s="55" t="str">
        <f aca="false">IF(L39="","",L39+M39)</f>
        <v/>
      </c>
      <c r="O39" s="31"/>
      <c r="P39" s="31"/>
      <c r="Q39" s="30"/>
      <c r="R39" s="29"/>
      <c r="S39" s="30"/>
      <c r="T39" s="34" t="str">
        <f aca="false">IF(M39="","",IF(OR(S39&lt;&gt;"是",F39="交際費",F39="員工福利"),"不得扣抵，稅額併入費用，請會計確認","可扣抵進項稅額"))</f>
        <v/>
      </c>
      <c r="U39" s="31"/>
      <c r="V39" s="30"/>
      <c r="W39" s="30"/>
      <c r="X39" s="30"/>
    </row>
    <row r="40" customFormat="false" ht="15" hidden="false" customHeight="false" outlineLevel="0" collapsed="false">
      <c r="A40" s="31"/>
      <c r="B40" s="30"/>
      <c r="C40" s="29"/>
      <c r="D40" s="31"/>
      <c r="E40" s="31"/>
      <c r="F40" s="30"/>
      <c r="G40" s="34" t="str">
        <f aca="false">IF(F40="","",IFERROR(VLOOKUP(F40,會計科目對照!$J$5:$K$30,2,FALSE()),""))</f>
        <v/>
      </c>
      <c r="H40" s="30"/>
      <c r="I40" s="29"/>
      <c r="J40" s="31"/>
      <c r="K40" s="31"/>
      <c r="L40" s="54"/>
      <c r="M40" s="54"/>
      <c r="N40" s="55" t="str">
        <f aca="false">IF(L40="","",L40+M40)</f>
        <v/>
      </c>
      <c r="O40" s="31"/>
      <c r="P40" s="31"/>
      <c r="Q40" s="30"/>
      <c r="R40" s="29"/>
      <c r="S40" s="30"/>
      <c r="T40" s="34" t="str">
        <f aca="false">IF(M40="","",IF(OR(S40&lt;&gt;"是",F40="交際費",F40="員工福利"),"不得扣抵，稅額併入費用，請會計確認","可扣抵進項稅額"))</f>
        <v/>
      </c>
      <c r="U40" s="31"/>
      <c r="V40" s="30"/>
      <c r="W40" s="30"/>
      <c r="X40" s="30"/>
    </row>
    <row r="41" customFormat="false" ht="15" hidden="false" customHeight="false" outlineLevel="0" collapsed="false">
      <c r="A41" s="31"/>
      <c r="B41" s="30"/>
      <c r="C41" s="29"/>
      <c r="D41" s="31"/>
      <c r="E41" s="31"/>
      <c r="F41" s="30"/>
      <c r="G41" s="34" t="str">
        <f aca="false">IF(F41="","",IFERROR(VLOOKUP(F41,會計科目對照!$J$5:$K$30,2,FALSE()),""))</f>
        <v/>
      </c>
      <c r="H41" s="30"/>
      <c r="I41" s="29"/>
      <c r="J41" s="31"/>
      <c r="K41" s="31"/>
      <c r="L41" s="54"/>
      <c r="M41" s="54"/>
      <c r="N41" s="55" t="str">
        <f aca="false">IF(L41="","",L41+M41)</f>
        <v/>
      </c>
      <c r="O41" s="31"/>
      <c r="P41" s="31"/>
      <c r="Q41" s="30"/>
      <c r="R41" s="29"/>
      <c r="S41" s="30"/>
      <c r="T41" s="34" t="str">
        <f aca="false">IF(M41="","",IF(OR(S41&lt;&gt;"是",F41="交際費",F41="員工福利"),"不得扣抵，稅額併入費用，請會計確認","可扣抵進項稅額"))</f>
        <v/>
      </c>
      <c r="U41" s="31"/>
      <c r="V41" s="30"/>
      <c r="W41" s="30"/>
      <c r="X41" s="30"/>
    </row>
    <row r="42" customFormat="false" ht="15" hidden="false" customHeight="false" outlineLevel="0" collapsed="false">
      <c r="A42" s="31"/>
      <c r="B42" s="30"/>
      <c r="C42" s="29"/>
      <c r="D42" s="31"/>
      <c r="E42" s="31"/>
      <c r="F42" s="30"/>
      <c r="G42" s="34" t="str">
        <f aca="false">IF(F42="","",IFERROR(VLOOKUP(F42,會計科目對照!$J$5:$K$30,2,FALSE()),""))</f>
        <v/>
      </c>
      <c r="H42" s="30"/>
      <c r="I42" s="29"/>
      <c r="J42" s="31"/>
      <c r="K42" s="31"/>
      <c r="L42" s="54"/>
      <c r="M42" s="54"/>
      <c r="N42" s="55" t="str">
        <f aca="false">IF(L42="","",L42+M42)</f>
        <v/>
      </c>
      <c r="O42" s="31"/>
      <c r="P42" s="31"/>
      <c r="Q42" s="30"/>
      <c r="R42" s="29"/>
      <c r="S42" s="30"/>
      <c r="T42" s="34" t="str">
        <f aca="false">IF(M42="","",IF(OR(S42&lt;&gt;"是",F42="交際費",F42="員工福利"),"不得扣抵，稅額併入費用，請會計確認","可扣抵進項稅額"))</f>
        <v/>
      </c>
      <c r="U42" s="31"/>
      <c r="V42" s="30"/>
      <c r="W42" s="30"/>
      <c r="X42" s="30"/>
    </row>
    <row r="43" customFormat="false" ht="15" hidden="false" customHeight="false" outlineLevel="0" collapsed="false">
      <c r="A43" s="31"/>
      <c r="B43" s="30"/>
      <c r="C43" s="29"/>
      <c r="D43" s="31"/>
      <c r="E43" s="31"/>
      <c r="F43" s="30"/>
      <c r="G43" s="34" t="str">
        <f aca="false">IF(F43="","",IFERROR(VLOOKUP(F43,會計科目對照!$J$5:$K$30,2,FALSE()),""))</f>
        <v/>
      </c>
      <c r="H43" s="30"/>
      <c r="I43" s="29"/>
      <c r="J43" s="31"/>
      <c r="K43" s="31"/>
      <c r="L43" s="54"/>
      <c r="M43" s="54"/>
      <c r="N43" s="55" t="str">
        <f aca="false">IF(L43="","",L43+M43)</f>
        <v/>
      </c>
      <c r="O43" s="31"/>
      <c r="P43" s="31"/>
      <c r="Q43" s="30"/>
      <c r="R43" s="29"/>
      <c r="S43" s="30"/>
      <c r="T43" s="34" t="str">
        <f aca="false">IF(M43="","",IF(OR(S43&lt;&gt;"是",F43="交際費",F43="員工福利"),"不得扣抵，稅額併入費用，請會計確認","可扣抵進項稅額"))</f>
        <v/>
      </c>
      <c r="U43" s="31"/>
      <c r="V43" s="30"/>
      <c r="W43" s="30"/>
      <c r="X43" s="30"/>
    </row>
    <row r="44" customFormat="false" ht="15" hidden="false" customHeight="false" outlineLevel="0" collapsed="false">
      <c r="A44" s="31"/>
      <c r="B44" s="30"/>
      <c r="C44" s="29"/>
      <c r="D44" s="31"/>
      <c r="E44" s="31"/>
      <c r="F44" s="30"/>
      <c r="G44" s="34" t="str">
        <f aca="false">IF(F44="","",IFERROR(VLOOKUP(F44,會計科目對照!$J$5:$K$30,2,FALSE()),""))</f>
        <v/>
      </c>
      <c r="H44" s="30"/>
      <c r="I44" s="29"/>
      <c r="J44" s="31"/>
      <c r="K44" s="31"/>
      <c r="L44" s="54"/>
      <c r="M44" s="54"/>
      <c r="N44" s="55" t="str">
        <f aca="false">IF(L44="","",L44+M44)</f>
        <v/>
      </c>
      <c r="O44" s="31"/>
      <c r="P44" s="31"/>
      <c r="Q44" s="30"/>
      <c r="R44" s="29"/>
      <c r="S44" s="30"/>
      <c r="T44" s="34" t="str">
        <f aca="false">IF(M44="","",IF(OR(S44&lt;&gt;"是",F44="交際費",F44="員工福利"),"不得扣抵，稅額併入費用，請會計確認","可扣抵進項稅額"))</f>
        <v/>
      </c>
      <c r="U44" s="31"/>
      <c r="V44" s="30"/>
      <c r="W44" s="30"/>
      <c r="X44" s="30"/>
    </row>
    <row r="45" customFormat="false" ht="15" hidden="false" customHeight="false" outlineLevel="0" collapsed="false">
      <c r="A45" s="31"/>
      <c r="B45" s="30"/>
      <c r="C45" s="29"/>
      <c r="D45" s="31"/>
      <c r="E45" s="31"/>
      <c r="F45" s="30"/>
      <c r="G45" s="34" t="str">
        <f aca="false">IF(F45="","",IFERROR(VLOOKUP(F45,會計科目對照!$J$5:$K$30,2,FALSE()),""))</f>
        <v/>
      </c>
      <c r="H45" s="30"/>
      <c r="I45" s="29"/>
      <c r="J45" s="31"/>
      <c r="K45" s="31"/>
      <c r="L45" s="54"/>
      <c r="M45" s="54"/>
      <c r="N45" s="55" t="str">
        <f aca="false">IF(L45="","",L45+M45)</f>
        <v/>
      </c>
      <c r="O45" s="31"/>
      <c r="P45" s="31"/>
      <c r="Q45" s="30"/>
      <c r="R45" s="29"/>
      <c r="S45" s="30"/>
      <c r="T45" s="34" t="str">
        <f aca="false">IF(M45="","",IF(OR(S45&lt;&gt;"是",F45="交際費",F45="員工福利"),"不得扣抵，稅額併入費用，請會計確認","可扣抵進項稅額"))</f>
        <v/>
      </c>
      <c r="U45" s="31"/>
      <c r="V45" s="30"/>
      <c r="W45" s="30"/>
      <c r="X45" s="30"/>
    </row>
    <row r="46" customFormat="false" ht="15" hidden="false" customHeight="false" outlineLevel="0" collapsed="false">
      <c r="A46" s="31"/>
      <c r="B46" s="30"/>
      <c r="C46" s="29"/>
      <c r="D46" s="31"/>
      <c r="E46" s="31"/>
      <c r="F46" s="30"/>
      <c r="G46" s="34" t="str">
        <f aca="false">IF(F46="","",IFERROR(VLOOKUP(F46,會計科目對照!$J$5:$K$30,2,FALSE()),""))</f>
        <v/>
      </c>
      <c r="H46" s="30"/>
      <c r="I46" s="29"/>
      <c r="J46" s="31"/>
      <c r="K46" s="31"/>
      <c r="L46" s="54"/>
      <c r="M46" s="54"/>
      <c r="N46" s="55" t="str">
        <f aca="false">IF(L46="","",L46+M46)</f>
        <v/>
      </c>
      <c r="O46" s="31"/>
      <c r="P46" s="31"/>
      <c r="Q46" s="30"/>
      <c r="R46" s="29"/>
      <c r="S46" s="30"/>
      <c r="T46" s="34" t="str">
        <f aca="false">IF(M46="","",IF(OR(S46&lt;&gt;"是",F46="交際費",F46="員工福利"),"不得扣抵，稅額併入費用，請會計確認","可扣抵進項稅額"))</f>
        <v/>
      </c>
      <c r="U46" s="31"/>
      <c r="V46" s="30"/>
      <c r="W46" s="30"/>
      <c r="X46" s="30"/>
    </row>
    <row r="47" customFormat="false" ht="15" hidden="false" customHeight="false" outlineLevel="0" collapsed="false">
      <c r="A47" s="31"/>
      <c r="B47" s="30"/>
      <c r="C47" s="29"/>
      <c r="D47" s="31"/>
      <c r="E47" s="31"/>
      <c r="F47" s="30"/>
      <c r="G47" s="34" t="str">
        <f aca="false">IF(F47="","",IFERROR(VLOOKUP(F47,會計科目對照!$J$5:$K$30,2,FALSE()),""))</f>
        <v/>
      </c>
      <c r="H47" s="30"/>
      <c r="I47" s="29"/>
      <c r="J47" s="31"/>
      <c r="K47" s="31"/>
      <c r="L47" s="54"/>
      <c r="M47" s="54"/>
      <c r="N47" s="55" t="str">
        <f aca="false">IF(L47="","",L47+M47)</f>
        <v/>
      </c>
      <c r="O47" s="31"/>
      <c r="P47" s="31"/>
      <c r="Q47" s="30"/>
      <c r="R47" s="29"/>
      <c r="S47" s="30"/>
      <c r="T47" s="34" t="str">
        <f aca="false">IF(M47="","",IF(OR(S47&lt;&gt;"是",F47="交際費",F47="員工福利"),"不得扣抵，稅額併入費用，請會計確認","可扣抵進項稅額"))</f>
        <v/>
      </c>
      <c r="U47" s="31"/>
      <c r="V47" s="30"/>
      <c r="W47" s="30"/>
      <c r="X47" s="30"/>
    </row>
    <row r="48" customFormat="false" ht="15" hidden="false" customHeight="false" outlineLevel="0" collapsed="false">
      <c r="A48" s="31"/>
      <c r="B48" s="30"/>
      <c r="C48" s="29"/>
      <c r="D48" s="31"/>
      <c r="E48" s="31"/>
      <c r="F48" s="30"/>
      <c r="G48" s="34" t="str">
        <f aca="false">IF(F48="","",IFERROR(VLOOKUP(F48,會計科目對照!$J$5:$K$30,2,FALSE()),""))</f>
        <v/>
      </c>
      <c r="H48" s="30"/>
      <c r="I48" s="29"/>
      <c r="J48" s="31"/>
      <c r="K48" s="31"/>
      <c r="L48" s="54"/>
      <c r="M48" s="54"/>
      <c r="N48" s="55" t="str">
        <f aca="false">IF(L48="","",L48+M48)</f>
        <v/>
      </c>
      <c r="O48" s="31"/>
      <c r="P48" s="31"/>
      <c r="Q48" s="30"/>
      <c r="R48" s="29"/>
      <c r="S48" s="30"/>
      <c r="T48" s="34" t="str">
        <f aca="false">IF(M48="","",IF(OR(S48&lt;&gt;"是",F48="交際費",F48="員工福利"),"不得扣抵，稅額併入費用，請會計確認","可扣抵進項稅額"))</f>
        <v/>
      </c>
      <c r="U48" s="31"/>
      <c r="V48" s="30"/>
      <c r="W48" s="30"/>
      <c r="X48" s="30"/>
    </row>
    <row r="49" customFormat="false" ht="15" hidden="false" customHeight="false" outlineLevel="0" collapsed="false">
      <c r="A49" s="31"/>
      <c r="B49" s="30"/>
      <c r="C49" s="29"/>
      <c r="D49" s="31"/>
      <c r="E49" s="31"/>
      <c r="F49" s="30"/>
      <c r="G49" s="34" t="str">
        <f aca="false">IF(F49="","",IFERROR(VLOOKUP(F49,會計科目對照!$J$5:$K$30,2,FALSE()),""))</f>
        <v/>
      </c>
      <c r="H49" s="30"/>
      <c r="I49" s="29"/>
      <c r="J49" s="31"/>
      <c r="K49" s="31"/>
      <c r="L49" s="54"/>
      <c r="M49" s="54"/>
      <c r="N49" s="55" t="str">
        <f aca="false">IF(L49="","",L49+M49)</f>
        <v/>
      </c>
      <c r="O49" s="31"/>
      <c r="P49" s="31"/>
      <c r="Q49" s="30"/>
      <c r="R49" s="29"/>
      <c r="S49" s="30"/>
      <c r="T49" s="34" t="str">
        <f aca="false">IF(M49="","",IF(OR(S49&lt;&gt;"是",F49="交際費",F49="員工福利"),"不得扣抵，稅額併入費用，請會計確認","可扣抵進項稅額"))</f>
        <v/>
      </c>
      <c r="U49" s="31"/>
      <c r="V49" s="30"/>
      <c r="W49" s="30"/>
      <c r="X49" s="30"/>
    </row>
    <row r="50" customFormat="false" ht="15" hidden="false" customHeight="false" outlineLevel="0" collapsed="false">
      <c r="A50" s="31"/>
      <c r="B50" s="30"/>
      <c r="C50" s="29"/>
      <c r="D50" s="31"/>
      <c r="E50" s="31"/>
      <c r="F50" s="30"/>
      <c r="G50" s="34" t="str">
        <f aca="false">IF(F50="","",IFERROR(VLOOKUP(F50,會計科目對照!$J$5:$K$30,2,FALSE()),""))</f>
        <v/>
      </c>
      <c r="H50" s="30"/>
      <c r="I50" s="29"/>
      <c r="J50" s="31"/>
      <c r="K50" s="31"/>
      <c r="L50" s="54"/>
      <c r="M50" s="54"/>
      <c r="N50" s="55" t="str">
        <f aca="false">IF(L50="","",L50+M50)</f>
        <v/>
      </c>
      <c r="O50" s="31"/>
      <c r="P50" s="31"/>
      <c r="Q50" s="30"/>
      <c r="R50" s="29"/>
      <c r="S50" s="30"/>
      <c r="T50" s="34" t="str">
        <f aca="false">IF(M50="","",IF(OR(S50&lt;&gt;"是",F50="交際費",F50="員工福利"),"不得扣抵，稅額併入費用，請會計確認","可扣抵進項稅額"))</f>
        <v/>
      </c>
      <c r="U50" s="31"/>
      <c r="V50" s="30"/>
      <c r="W50" s="30"/>
      <c r="X50" s="30"/>
    </row>
    <row r="51" customFormat="false" ht="15" hidden="false" customHeight="false" outlineLevel="0" collapsed="false">
      <c r="A51" s="31"/>
      <c r="B51" s="30"/>
      <c r="C51" s="29"/>
      <c r="D51" s="31"/>
      <c r="E51" s="31"/>
      <c r="F51" s="30"/>
      <c r="G51" s="34" t="str">
        <f aca="false">IF(F51="","",IFERROR(VLOOKUP(F51,會計科目對照!$J$5:$K$30,2,FALSE()),""))</f>
        <v/>
      </c>
      <c r="H51" s="30"/>
      <c r="I51" s="29"/>
      <c r="J51" s="31"/>
      <c r="K51" s="31"/>
      <c r="L51" s="54"/>
      <c r="M51" s="54"/>
      <c r="N51" s="55" t="str">
        <f aca="false">IF(L51="","",L51+M51)</f>
        <v/>
      </c>
      <c r="O51" s="31"/>
      <c r="P51" s="31"/>
      <c r="Q51" s="30"/>
      <c r="R51" s="29"/>
      <c r="S51" s="30"/>
      <c r="T51" s="34" t="str">
        <f aca="false">IF(M51="","",IF(OR(S51&lt;&gt;"是",F51="交際費",F51="員工福利"),"不得扣抵，稅額併入費用，請會計確認","可扣抵進項稅額"))</f>
        <v/>
      </c>
      <c r="U51" s="31"/>
      <c r="V51" s="30"/>
      <c r="W51" s="30"/>
      <c r="X51" s="30"/>
    </row>
    <row r="52" customFormat="false" ht="15" hidden="false" customHeight="false" outlineLevel="0" collapsed="false">
      <c r="A52" s="31"/>
      <c r="B52" s="30"/>
      <c r="C52" s="29"/>
      <c r="D52" s="31"/>
      <c r="E52" s="31"/>
      <c r="F52" s="30"/>
      <c r="G52" s="34" t="str">
        <f aca="false">IF(F52="","",IFERROR(VLOOKUP(F52,會計科目對照!$J$5:$K$30,2,FALSE()),""))</f>
        <v/>
      </c>
      <c r="H52" s="30"/>
      <c r="I52" s="29"/>
      <c r="J52" s="31"/>
      <c r="K52" s="31"/>
      <c r="L52" s="54"/>
      <c r="M52" s="54"/>
      <c r="N52" s="55" t="str">
        <f aca="false">IF(L52="","",L52+M52)</f>
        <v/>
      </c>
      <c r="O52" s="31"/>
      <c r="P52" s="31"/>
      <c r="Q52" s="30"/>
      <c r="R52" s="29"/>
      <c r="S52" s="30"/>
      <c r="T52" s="34" t="str">
        <f aca="false">IF(M52="","",IF(OR(S52&lt;&gt;"是",F52="交際費",F52="員工福利"),"不得扣抵，稅額併入費用，請會計確認","可扣抵進項稅額"))</f>
        <v/>
      </c>
      <c r="U52" s="31"/>
      <c r="V52" s="30"/>
      <c r="W52" s="30"/>
      <c r="X52" s="30"/>
    </row>
    <row r="53" customFormat="false" ht="15" hidden="false" customHeight="false" outlineLevel="0" collapsed="false">
      <c r="A53" s="31"/>
      <c r="B53" s="30"/>
      <c r="C53" s="29"/>
      <c r="D53" s="31"/>
      <c r="E53" s="31"/>
      <c r="F53" s="30"/>
      <c r="G53" s="34" t="str">
        <f aca="false">IF(F53="","",IFERROR(VLOOKUP(F53,會計科目對照!$J$5:$K$30,2,FALSE()),""))</f>
        <v/>
      </c>
      <c r="H53" s="30"/>
      <c r="I53" s="29"/>
      <c r="J53" s="31"/>
      <c r="K53" s="31"/>
      <c r="L53" s="54"/>
      <c r="M53" s="54"/>
      <c r="N53" s="55" t="str">
        <f aca="false">IF(L53="","",L53+M53)</f>
        <v/>
      </c>
      <c r="O53" s="31"/>
      <c r="P53" s="31"/>
      <c r="Q53" s="30"/>
      <c r="R53" s="29"/>
      <c r="S53" s="30"/>
      <c r="T53" s="34" t="str">
        <f aca="false">IF(M53="","",IF(OR(S53&lt;&gt;"是",F53="交際費",F53="員工福利"),"不得扣抵，稅額併入費用，請會計確認","可扣抵進項稅額"))</f>
        <v/>
      </c>
      <c r="U53" s="31"/>
      <c r="V53" s="30"/>
      <c r="W53" s="30"/>
      <c r="X53" s="30"/>
    </row>
    <row r="54" customFormat="false" ht="15" hidden="false" customHeight="false" outlineLevel="0" collapsed="false">
      <c r="A54" s="31"/>
      <c r="B54" s="30"/>
      <c r="C54" s="29"/>
      <c r="D54" s="31"/>
      <c r="E54" s="31"/>
      <c r="F54" s="30"/>
      <c r="G54" s="34" t="str">
        <f aca="false">IF(F54="","",IFERROR(VLOOKUP(F54,會計科目對照!$J$5:$K$30,2,FALSE()),""))</f>
        <v/>
      </c>
      <c r="H54" s="30"/>
      <c r="I54" s="29"/>
      <c r="J54" s="31"/>
      <c r="K54" s="31"/>
      <c r="L54" s="54"/>
      <c r="M54" s="54"/>
      <c r="N54" s="55" t="str">
        <f aca="false">IF(L54="","",L54+M54)</f>
        <v/>
      </c>
      <c r="O54" s="31"/>
      <c r="P54" s="31"/>
      <c r="Q54" s="30"/>
      <c r="R54" s="29"/>
      <c r="S54" s="30"/>
      <c r="T54" s="34" t="str">
        <f aca="false">IF(M54="","",IF(OR(S54&lt;&gt;"是",F54="交際費",F54="員工福利"),"不得扣抵，稅額併入費用，請會計確認","可扣抵進項稅額"))</f>
        <v/>
      </c>
      <c r="U54" s="31"/>
      <c r="V54" s="30"/>
      <c r="W54" s="30"/>
      <c r="X54" s="30"/>
    </row>
    <row r="55" customFormat="false" ht="15" hidden="false" customHeight="false" outlineLevel="0" collapsed="false">
      <c r="A55" s="31"/>
      <c r="B55" s="30"/>
      <c r="C55" s="29"/>
      <c r="D55" s="31"/>
      <c r="E55" s="31"/>
      <c r="F55" s="30"/>
      <c r="G55" s="34" t="str">
        <f aca="false">IF(F55="","",IFERROR(VLOOKUP(F55,會計科目對照!$J$5:$K$30,2,FALSE()),""))</f>
        <v/>
      </c>
      <c r="H55" s="30"/>
      <c r="I55" s="29"/>
      <c r="J55" s="31"/>
      <c r="K55" s="31"/>
      <c r="L55" s="54"/>
      <c r="M55" s="54"/>
      <c r="N55" s="55" t="str">
        <f aca="false">IF(L55="","",L55+M55)</f>
        <v/>
      </c>
      <c r="O55" s="31"/>
      <c r="P55" s="31"/>
      <c r="Q55" s="30"/>
      <c r="R55" s="29"/>
      <c r="S55" s="30"/>
      <c r="T55" s="34" t="str">
        <f aca="false">IF(M55="","",IF(OR(S55&lt;&gt;"是",F55="交際費",F55="員工福利"),"不得扣抵，稅額併入費用，請會計確認","可扣抵進項稅額"))</f>
        <v/>
      </c>
      <c r="U55" s="31"/>
      <c r="V55" s="30"/>
      <c r="W55" s="30"/>
      <c r="X55" s="30"/>
    </row>
    <row r="56" customFormat="false" ht="15" hidden="false" customHeight="false" outlineLevel="0" collapsed="false">
      <c r="A56" s="31"/>
      <c r="B56" s="30"/>
      <c r="C56" s="29"/>
      <c r="D56" s="31"/>
      <c r="E56" s="31"/>
      <c r="F56" s="30"/>
      <c r="G56" s="34" t="str">
        <f aca="false">IF(F56="","",IFERROR(VLOOKUP(F56,會計科目對照!$J$5:$K$30,2,FALSE()),""))</f>
        <v/>
      </c>
      <c r="H56" s="30"/>
      <c r="I56" s="29"/>
      <c r="J56" s="31"/>
      <c r="K56" s="31"/>
      <c r="L56" s="54"/>
      <c r="M56" s="54"/>
      <c r="N56" s="55" t="str">
        <f aca="false">IF(L56="","",L56+M56)</f>
        <v/>
      </c>
      <c r="O56" s="31"/>
      <c r="P56" s="31"/>
      <c r="Q56" s="30"/>
      <c r="R56" s="29"/>
      <c r="S56" s="30"/>
      <c r="T56" s="34" t="str">
        <f aca="false">IF(M56="","",IF(OR(S56&lt;&gt;"是",F56="交際費",F56="員工福利"),"不得扣抵，稅額併入費用，請會計確認","可扣抵進項稅額"))</f>
        <v/>
      </c>
      <c r="U56" s="31"/>
      <c r="V56" s="30"/>
      <c r="W56" s="30"/>
      <c r="X56" s="30"/>
    </row>
    <row r="57" customFormat="false" ht="15" hidden="false" customHeight="false" outlineLevel="0" collapsed="false">
      <c r="A57" s="31"/>
      <c r="B57" s="30"/>
      <c r="C57" s="29"/>
      <c r="D57" s="31"/>
      <c r="E57" s="31"/>
      <c r="F57" s="30"/>
      <c r="G57" s="34" t="str">
        <f aca="false">IF(F57="","",IFERROR(VLOOKUP(F57,會計科目對照!$J$5:$K$30,2,FALSE()),""))</f>
        <v/>
      </c>
      <c r="H57" s="30"/>
      <c r="I57" s="29"/>
      <c r="J57" s="31"/>
      <c r="K57" s="31"/>
      <c r="L57" s="54"/>
      <c r="M57" s="54"/>
      <c r="N57" s="55" t="str">
        <f aca="false">IF(L57="","",L57+M57)</f>
        <v/>
      </c>
      <c r="O57" s="31"/>
      <c r="P57" s="31"/>
      <c r="Q57" s="30"/>
      <c r="R57" s="29"/>
      <c r="S57" s="30"/>
      <c r="T57" s="34" t="str">
        <f aca="false">IF(M57="","",IF(OR(S57&lt;&gt;"是",F57="交際費",F57="員工福利"),"不得扣抵，稅額併入費用，請會計確認","可扣抵進項稅額"))</f>
        <v/>
      </c>
      <c r="U57" s="31"/>
      <c r="V57" s="30"/>
      <c r="W57" s="30"/>
      <c r="X57" s="30"/>
    </row>
    <row r="58" customFormat="false" ht="15" hidden="false" customHeight="false" outlineLevel="0" collapsed="false">
      <c r="A58" s="31"/>
      <c r="B58" s="30"/>
      <c r="C58" s="29"/>
      <c r="D58" s="31"/>
      <c r="E58" s="31"/>
      <c r="F58" s="30"/>
      <c r="G58" s="34" t="str">
        <f aca="false">IF(F58="","",IFERROR(VLOOKUP(F58,會計科目對照!$J$5:$K$30,2,FALSE()),""))</f>
        <v/>
      </c>
      <c r="H58" s="30"/>
      <c r="I58" s="29"/>
      <c r="J58" s="31"/>
      <c r="K58" s="31"/>
      <c r="L58" s="54"/>
      <c r="M58" s="54"/>
      <c r="N58" s="55" t="str">
        <f aca="false">IF(L58="","",L58+M58)</f>
        <v/>
      </c>
      <c r="O58" s="31"/>
      <c r="P58" s="31"/>
      <c r="Q58" s="30"/>
      <c r="R58" s="29"/>
      <c r="S58" s="30"/>
      <c r="T58" s="34" t="str">
        <f aca="false">IF(M58="","",IF(OR(S58&lt;&gt;"是",F58="交際費",F58="員工福利"),"不得扣抵，稅額併入費用，請會計確認","可扣抵進項稅額"))</f>
        <v/>
      </c>
      <c r="U58" s="31"/>
      <c r="V58" s="30"/>
      <c r="W58" s="30"/>
      <c r="X58" s="30"/>
    </row>
    <row r="59" customFormat="false" ht="15" hidden="false" customHeight="false" outlineLevel="0" collapsed="false">
      <c r="A59" s="31"/>
      <c r="B59" s="30"/>
      <c r="C59" s="29"/>
      <c r="D59" s="31"/>
      <c r="E59" s="31"/>
      <c r="F59" s="30"/>
      <c r="G59" s="34" t="str">
        <f aca="false">IF(F59="","",IFERROR(VLOOKUP(F59,會計科目對照!$J$5:$K$30,2,FALSE()),""))</f>
        <v/>
      </c>
      <c r="H59" s="30"/>
      <c r="I59" s="29"/>
      <c r="J59" s="31"/>
      <c r="K59" s="31"/>
      <c r="L59" s="54"/>
      <c r="M59" s="54"/>
      <c r="N59" s="55" t="str">
        <f aca="false">IF(L59="","",L59+M59)</f>
        <v/>
      </c>
      <c r="O59" s="31"/>
      <c r="P59" s="31"/>
      <c r="Q59" s="30"/>
      <c r="R59" s="29"/>
      <c r="S59" s="30"/>
      <c r="T59" s="34" t="str">
        <f aca="false">IF(M59="","",IF(OR(S59&lt;&gt;"是",F59="交際費",F59="員工福利"),"不得扣抵，稅額併入費用，請會計確認","可扣抵進項稅額"))</f>
        <v/>
      </c>
      <c r="U59" s="31"/>
      <c r="V59" s="30"/>
      <c r="W59" s="30"/>
      <c r="X59" s="30"/>
    </row>
    <row r="60" customFormat="false" ht="15" hidden="false" customHeight="false" outlineLevel="0" collapsed="false">
      <c r="A60" s="31"/>
      <c r="B60" s="30"/>
      <c r="C60" s="29"/>
      <c r="D60" s="31"/>
      <c r="E60" s="31"/>
      <c r="F60" s="30"/>
      <c r="G60" s="34" t="str">
        <f aca="false">IF(F60="","",IFERROR(VLOOKUP(F60,會計科目對照!$J$5:$K$30,2,FALSE()),""))</f>
        <v/>
      </c>
      <c r="H60" s="30"/>
      <c r="I60" s="29"/>
      <c r="J60" s="31"/>
      <c r="K60" s="31"/>
      <c r="L60" s="54"/>
      <c r="M60" s="54"/>
      <c r="N60" s="55" t="str">
        <f aca="false">IF(L60="","",L60+M60)</f>
        <v/>
      </c>
      <c r="O60" s="31"/>
      <c r="P60" s="31"/>
      <c r="Q60" s="30"/>
      <c r="R60" s="29"/>
      <c r="S60" s="30"/>
      <c r="T60" s="34" t="str">
        <f aca="false">IF(M60="","",IF(OR(S60&lt;&gt;"是",F60="交際費",F60="員工福利"),"不得扣抵，稅額併入費用，請會計確認","可扣抵進項稅額"))</f>
        <v/>
      </c>
      <c r="U60" s="31"/>
      <c r="V60" s="30"/>
      <c r="W60" s="30"/>
      <c r="X60" s="30"/>
    </row>
    <row r="61" customFormat="false" ht="15" hidden="false" customHeight="false" outlineLevel="0" collapsed="false">
      <c r="A61" s="31"/>
      <c r="B61" s="30"/>
      <c r="C61" s="29"/>
      <c r="D61" s="31"/>
      <c r="E61" s="31"/>
      <c r="F61" s="30"/>
      <c r="G61" s="34" t="str">
        <f aca="false">IF(F61="","",IFERROR(VLOOKUP(F61,會計科目對照!$J$5:$K$30,2,FALSE()),""))</f>
        <v/>
      </c>
      <c r="H61" s="30"/>
      <c r="I61" s="29"/>
      <c r="J61" s="31"/>
      <c r="K61" s="31"/>
      <c r="L61" s="54"/>
      <c r="M61" s="54"/>
      <c r="N61" s="55" t="str">
        <f aca="false">IF(L61="","",L61+M61)</f>
        <v/>
      </c>
      <c r="O61" s="31"/>
      <c r="P61" s="31"/>
      <c r="Q61" s="30"/>
      <c r="R61" s="29"/>
      <c r="S61" s="30"/>
      <c r="T61" s="34" t="str">
        <f aca="false">IF(M61="","",IF(OR(S61&lt;&gt;"是",F61="交際費",F61="員工福利"),"不得扣抵，稅額併入費用，請會計確認","可扣抵進項稅額"))</f>
        <v/>
      </c>
      <c r="U61" s="31"/>
      <c r="V61" s="30"/>
      <c r="W61" s="30"/>
      <c r="X61" s="30"/>
    </row>
    <row r="62" customFormat="false" ht="15" hidden="false" customHeight="false" outlineLevel="0" collapsed="false">
      <c r="A62" s="31"/>
      <c r="B62" s="30"/>
      <c r="C62" s="29"/>
      <c r="D62" s="31"/>
      <c r="E62" s="31"/>
      <c r="F62" s="30"/>
      <c r="G62" s="34" t="str">
        <f aca="false">IF(F62="","",IFERROR(VLOOKUP(F62,會計科目對照!$J$5:$K$30,2,FALSE()),""))</f>
        <v/>
      </c>
      <c r="H62" s="30"/>
      <c r="I62" s="29"/>
      <c r="J62" s="31"/>
      <c r="K62" s="31"/>
      <c r="L62" s="54"/>
      <c r="M62" s="54"/>
      <c r="N62" s="55" t="str">
        <f aca="false">IF(L62="","",L62+M62)</f>
        <v/>
      </c>
      <c r="O62" s="31"/>
      <c r="P62" s="31"/>
      <c r="Q62" s="30"/>
      <c r="R62" s="29"/>
      <c r="S62" s="30"/>
      <c r="T62" s="34" t="str">
        <f aca="false">IF(M62="","",IF(OR(S62&lt;&gt;"是",F62="交際費",F62="員工福利"),"不得扣抵，稅額併入費用，請會計確認","可扣抵進項稅額"))</f>
        <v/>
      </c>
      <c r="U62" s="31"/>
      <c r="V62" s="30"/>
      <c r="W62" s="30"/>
      <c r="X62" s="30"/>
    </row>
    <row r="63" customFormat="false" ht="15" hidden="false" customHeight="false" outlineLevel="0" collapsed="false">
      <c r="A63" s="31"/>
      <c r="B63" s="30"/>
      <c r="C63" s="29"/>
      <c r="D63" s="31"/>
      <c r="E63" s="31"/>
      <c r="F63" s="30"/>
      <c r="G63" s="34" t="str">
        <f aca="false">IF(F63="","",IFERROR(VLOOKUP(F63,會計科目對照!$J$5:$K$30,2,FALSE()),""))</f>
        <v/>
      </c>
      <c r="H63" s="30"/>
      <c r="I63" s="29"/>
      <c r="J63" s="31"/>
      <c r="K63" s="31"/>
      <c r="L63" s="54"/>
      <c r="M63" s="54"/>
      <c r="N63" s="55" t="str">
        <f aca="false">IF(L63="","",L63+M63)</f>
        <v/>
      </c>
      <c r="O63" s="31"/>
      <c r="P63" s="31"/>
      <c r="Q63" s="30"/>
      <c r="R63" s="29"/>
      <c r="S63" s="30"/>
      <c r="T63" s="34" t="str">
        <f aca="false">IF(M63="","",IF(OR(S63&lt;&gt;"是",F63="交際費",F63="員工福利"),"不得扣抵，稅額併入費用，請會計確認","可扣抵進項稅額"))</f>
        <v/>
      </c>
      <c r="U63" s="31"/>
      <c r="V63" s="30"/>
      <c r="W63" s="30"/>
      <c r="X63" s="30"/>
    </row>
    <row r="64" customFormat="false" ht="15" hidden="false" customHeight="false" outlineLevel="0" collapsed="false">
      <c r="A64" s="31"/>
      <c r="B64" s="30"/>
      <c r="C64" s="29"/>
      <c r="D64" s="31"/>
      <c r="E64" s="31"/>
      <c r="F64" s="30"/>
      <c r="G64" s="34" t="str">
        <f aca="false">IF(F64="","",IFERROR(VLOOKUP(F64,會計科目對照!$J$5:$K$30,2,FALSE()),""))</f>
        <v/>
      </c>
      <c r="H64" s="30"/>
      <c r="I64" s="29"/>
      <c r="J64" s="31"/>
      <c r="K64" s="31"/>
      <c r="L64" s="54"/>
      <c r="M64" s="54"/>
      <c r="N64" s="55" t="str">
        <f aca="false">IF(L64="","",L64+M64)</f>
        <v/>
      </c>
      <c r="O64" s="31"/>
      <c r="P64" s="31"/>
      <c r="Q64" s="30"/>
      <c r="R64" s="29"/>
      <c r="S64" s="30"/>
      <c r="T64" s="34" t="str">
        <f aca="false">IF(M64="","",IF(OR(S64&lt;&gt;"是",F64="交際費",F64="員工福利"),"不得扣抵，稅額併入費用，請會計確認","可扣抵進項稅額"))</f>
        <v/>
      </c>
      <c r="U64" s="31"/>
      <c r="V64" s="30"/>
      <c r="W64" s="30"/>
      <c r="X64" s="30"/>
    </row>
    <row r="66" customFormat="false" ht="15" hidden="false" customHeight="false" outlineLevel="0" collapsed="false">
      <c r="A66" s="2" t="s">
        <v>512</v>
      </c>
    </row>
  </sheetData>
  <dataValidations count="8">
    <dataValidation allowBlank="true" errorStyle="stop" operator="between" showDropDown="false" showErrorMessage="false" showInputMessage="false" sqref="B5:B64" type="list">
      <formula1>"文創科技股份有限公司,小貓,知識產權"</formula1>
      <formula2>0</formula2>
    </dataValidation>
    <dataValidation allowBlank="true" errorStyle="stop" operator="between" showDropDown="false" showErrorMessage="false" showInputMessage="false" sqref="Q5:Q64" type="list">
      <formula1>"待主管簽核,會計審核中,待付款,已付款,已退件,已歸檔"</formula1>
      <formula2>0</formula2>
    </dataValidation>
    <dataValidation allowBlank="true" error="請從下拉選單選擇會計科目" errorStyle="stop" errorTitle="會計科目" operator="between" showDropDown="false" showErrorMessage="true" showInputMessage="false" sqref="F5:F64" type="list">
      <formula1>會計科目對照!$J$5:$J$30</formula1>
      <formula2>0</formula2>
    </dataValidation>
    <dataValidation allowBlank="true" errorStyle="stop" operator="between" showDropDown="false" showErrorMessage="false" showInputMessage="false" sqref="S5:S64" type="list">
      <formula1>"是,否,免用發票"</formula1>
      <formula2>0</formula2>
    </dataValidation>
    <dataValidation allowBlank="true" errorStyle="stop" operator="between" showDropDown="false" showErrorMessage="false" showInputMessage="false" sqref="H5:H64" type="list">
      <formula1>"電子發票,統一發票(三聯式),二聯式收銀機發票,收據,免用發票"</formula1>
      <formula2>0</formula2>
    </dataValidation>
    <dataValidation allowBlank="true" errorStyle="stop" operator="between" showDropDown="false" showErrorMessage="false" showInputMessage="false" sqref="V5:V64" type="list">
      <formula1>"進貨及費用,固定資產"</formula1>
      <formula2>0</formula2>
    </dataValidation>
    <dataValidation allowBlank="true" errorStyle="stop" operator="between" showDropDown="false" showErrorMessage="false" showInputMessage="false" sqref="W5:W64" type="list">
      <formula1>"應稅,零稅率,免稅"</formula1>
      <formula2>0</formula2>
    </dataValidation>
    <dataValidation allowBlank="true" errorStyle="stop" operator="between" showDropDown="false" showErrorMessage="false" showInputMessage="false" sqref="X5:X64" type="list">
      <formula1>"未申報,已申報"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48"/>
    <col collapsed="false" customWidth="true" hidden="false" outlineLevel="0" max="5" min="5" style="0" width="3"/>
    <col collapsed="false" customWidth="true" hidden="false" outlineLevel="0" max="6" min="6" style="0" width="10"/>
    <col collapsed="false" customWidth="true" hidden="false" outlineLevel="0" max="7" min="7" style="0" width="28"/>
    <col collapsed="false" customWidth="true" hidden="false" outlineLevel="0" max="8" min="8" style="0" width="40"/>
    <col collapsed="false" customWidth="true" hidden="false" outlineLevel="0" max="9" min="9" style="0" width="3"/>
    <col collapsed="false" customWidth="true" hidden="false" outlineLevel="0" max="10" min="10" style="0" width="22"/>
    <col collapsed="false" customWidth="true" hidden="false" outlineLevel="0" max="11" min="11" style="0" width="12"/>
  </cols>
  <sheetData>
    <row r="1" customFormat="false" ht="17.35" hidden="false" customHeight="false" outlineLevel="0" collapsed="false">
      <c r="A1" s="1" t="s">
        <v>513</v>
      </c>
    </row>
    <row r="2" customFormat="false" ht="15" hidden="false" customHeight="false" outlineLevel="0" collapsed="false">
      <c r="A2" s="2" t="s">
        <v>514</v>
      </c>
    </row>
    <row r="4" customFormat="false" ht="17.15" hidden="false" customHeight="false" outlineLevel="0" collapsed="false">
      <c r="A4" s="3" t="s">
        <v>515</v>
      </c>
      <c r="B4" s="3" t="s">
        <v>437</v>
      </c>
      <c r="C4" s="3" t="s">
        <v>436</v>
      </c>
      <c r="D4" s="3" t="s">
        <v>189</v>
      </c>
      <c r="F4" s="21" t="s">
        <v>436</v>
      </c>
      <c r="G4" s="21" t="s">
        <v>516</v>
      </c>
      <c r="H4" s="21" t="s">
        <v>517</v>
      </c>
      <c r="J4" s="21" t="s">
        <v>518</v>
      </c>
      <c r="K4" s="21" t="s">
        <v>436</v>
      </c>
    </row>
    <row r="5" customFormat="false" ht="15" hidden="false" customHeight="false" outlineLevel="0" collapsed="false">
      <c r="A5" s="4" t="s">
        <v>501</v>
      </c>
      <c r="B5" s="4" t="s">
        <v>501</v>
      </c>
      <c r="C5" s="9" t="s">
        <v>519</v>
      </c>
      <c r="D5" s="4" t="s">
        <v>520</v>
      </c>
      <c r="F5" s="34" t="s">
        <v>521</v>
      </c>
      <c r="G5" s="56" t="s">
        <v>522</v>
      </c>
      <c r="H5" s="56" t="s">
        <v>523</v>
      </c>
      <c r="J5" s="31" t="s">
        <v>501</v>
      </c>
      <c r="K5" s="30" t="s">
        <v>519</v>
      </c>
    </row>
    <row r="6" customFormat="false" ht="15" hidden="false" customHeight="false" outlineLevel="0" collapsed="false">
      <c r="A6" s="4" t="s">
        <v>524</v>
      </c>
      <c r="B6" s="4" t="s">
        <v>525</v>
      </c>
      <c r="C6" s="9" t="s">
        <v>526</v>
      </c>
      <c r="D6" s="4" t="s">
        <v>527</v>
      </c>
      <c r="F6" s="34" t="s">
        <v>528</v>
      </c>
      <c r="G6" s="56" t="s">
        <v>529</v>
      </c>
      <c r="H6" s="56"/>
      <c r="J6" s="31" t="s">
        <v>525</v>
      </c>
      <c r="K6" s="30" t="s">
        <v>526</v>
      </c>
    </row>
    <row r="7" customFormat="false" ht="15" hidden="false" customHeight="false" outlineLevel="0" collapsed="false">
      <c r="A7" s="4" t="s">
        <v>530</v>
      </c>
      <c r="B7" s="4" t="s">
        <v>531</v>
      </c>
      <c r="C7" s="9" t="s">
        <v>532</v>
      </c>
      <c r="D7" s="4" t="s">
        <v>533</v>
      </c>
      <c r="F7" s="34" t="s">
        <v>534</v>
      </c>
      <c r="G7" s="56" t="s">
        <v>535</v>
      </c>
      <c r="H7" s="56"/>
      <c r="J7" s="31" t="s">
        <v>531</v>
      </c>
      <c r="K7" s="30" t="s">
        <v>532</v>
      </c>
    </row>
    <row r="8" customFormat="false" ht="15" hidden="false" customHeight="false" outlineLevel="0" collapsed="false">
      <c r="A8" s="4" t="s">
        <v>536</v>
      </c>
      <c r="B8" s="4" t="s">
        <v>536</v>
      </c>
      <c r="C8" s="9" t="s">
        <v>537</v>
      </c>
      <c r="D8" s="4" t="s">
        <v>538</v>
      </c>
      <c r="F8" s="34" t="s">
        <v>539</v>
      </c>
      <c r="G8" s="56" t="s">
        <v>540</v>
      </c>
      <c r="H8" s="56"/>
      <c r="J8" s="31" t="s">
        <v>536</v>
      </c>
      <c r="K8" s="30" t="s">
        <v>537</v>
      </c>
    </row>
    <row r="9" customFormat="false" ht="15" hidden="false" customHeight="false" outlineLevel="0" collapsed="false">
      <c r="A9" s="4" t="s">
        <v>541</v>
      </c>
      <c r="B9" s="4" t="s">
        <v>541</v>
      </c>
      <c r="C9" s="9" t="s">
        <v>542</v>
      </c>
      <c r="D9" s="4" t="s">
        <v>543</v>
      </c>
      <c r="F9" s="34" t="s">
        <v>544</v>
      </c>
      <c r="G9" s="56" t="s">
        <v>103</v>
      </c>
      <c r="H9" s="56" t="s">
        <v>545</v>
      </c>
      <c r="J9" s="31" t="s">
        <v>541</v>
      </c>
      <c r="K9" s="30" t="s">
        <v>542</v>
      </c>
    </row>
    <row r="10" customFormat="false" ht="15" hidden="false" customHeight="false" outlineLevel="0" collapsed="false">
      <c r="A10" s="4" t="s">
        <v>546</v>
      </c>
      <c r="B10" s="4" t="s">
        <v>546</v>
      </c>
      <c r="C10" s="9" t="s">
        <v>547</v>
      </c>
      <c r="D10" s="4" t="s">
        <v>548</v>
      </c>
      <c r="F10" s="34" t="s">
        <v>549</v>
      </c>
      <c r="G10" s="56" t="s">
        <v>550</v>
      </c>
      <c r="H10" s="56"/>
      <c r="J10" s="31" t="s">
        <v>546</v>
      </c>
      <c r="K10" s="30" t="s">
        <v>547</v>
      </c>
    </row>
    <row r="11" customFormat="false" ht="15" hidden="false" customHeight="false" outlineLevel="0" collapsed="false">
      <c r="A11" s="4" t="s">
        <v>551</v>
      </c>
      <c r="B11" s="4" t="s">
        <v>551</v>
      </c>
      <c r="C11" s="9" t="s">
        <v>552</v>
      </c>
      <c r="D11" s="4" t="s">
        <v>553</v>
      </c>
      <c r="F11" s="34" t="s">
        <v>554</v>
      </c>
      <c r="G11" s="56" t="s">
        <v>555</v>
      </c>
      <c r="H11" s="56"/>
      <c r="J11" s="31" t="s">
        <v>551</v>
      </c>
      <c r="K11" s="30" t="s">
        <v>552</v>
      </c>
    </row>
    <row r="12" customFormat="false" ht="15" hidden="false" customHeight="false" outlineLevel="0" collapsed="false">
      <c r="A12" s="4" t="s">
        <v>556</v>
      </c>
      <c r="B12" s="4" t="s">
        <v>556</v>
      </c>
      <c r="C12" s="9" t="s">
        <v>557</v>
      </c>
      <c r="D12" s="4"/>
      <c r="F12" s="34" t="s">
        <v>558</v>
      </c>
      <c r="G12" s="56" t="s">
        <v>559</v>
      </c>
      <c r="H12" s="56"/>
      <c r="J12" s="31" t="s">
        <v>556</v>
      </c>
      <c r="K12" s="30" t="s">
        <v>557</v>
      </c>
    </row>
    <row r="13" customFormat="false" ht="15" hidden="false" customHeight="false" outlineLevel="0" collapsed="false">
      <c r="A13" s="4" t="s">
        <v>560</v>
      </c>
      <c r="B13" s="4" t="s">
        <v>561</v>
      </c>
      <c r="C13" s="9" t="s">
        <v>562</v>
      </c>
      <c r="D13" s="4"/>
      <c r="F13" s="34" t="s">
        <v>563</v>
      </c>
      <c r="G13" s="56" t="s">
        <v>564</v>
      </c>
      <c r="H13" s="56"/>
      <c r="J13" s="31" t="s">
        <v>561</v>
      </c>
      <c r="K13" s="30" t="s">
        <v>562</v>
      </c>
    </row>
    <row r="14" customFormat="false" ht="15" hidden="false" customHeight="false" outlineLevel="0" collapsed="false">
      <c r="A14" s="4" t="s">
        <v>565</v>
      </c>
      <c r="B14" s="4" t="s">
        <v>566</v>
      </c>
      <c r="C14" s="9" t="s">
        <v>567</v>
      </c>
      <c r="D14" s="4"/>
      <c r="F14" s="34" t="s">
        <v>568</v>
      </c>
      <c r="G14" s="56" t="s">
        <v>569</v>
      </c>
      <c r="H14" s="56"/>
      <c r="J14" s="31" t="s">
        <v>566</v>
      </c>
      <c r="K14" s="30" t="s">
        <v>567</v>
      </c>
    </row>
    <row r="15" customFormat="false" ht="15" hidden="false" customHeight="false" outlineLevel="0" collapsed="false">
      <c r="A15" s="4" t="s">
        <v>570</v>
      </c>
      <c r="B15" s="4" t="s">
        <v>571</v>
      </c>
      <c r="C15" s="9" t="s">
        <v>572</v>
      </c>
      <c r="D15" s="4"/>
      <c r="F15" s="34" t="s">
        <v>573</v>
      </c>
      <c r="G15" s="56" t="s">
        <v>574</v>
      </c>
      <c r="H15" s="56"/>
      <c r="J15" s="31" t="s">
        <v>571</v>
      </c>
      <c r="K15" s="30" t="s">
        <v>572</v>
      </c>
    </row>
    <row r="16" customFormat="false" ht="15" hidden="false" customHeight="false" outlineLevel="0" collapsed="false">
      <c r="A16" s="4" t="s">
        <v>575</v>
      </c>
      <c r="B16" s="4" t="s">
        <v>575</v>
      </c>
      <c r="C16" s="9" t="s">
        <v>576</v>
      </c>
      <c r="D16" s="4" t="s">
        <v>577</v>
      </c>
      <c r="F16" s="34" t="s">
        <v>578</v>
      </c>
      <c r="G16" s="56" t="s">
        <v>579</v>
      </c>
      <c r="H16" s="56"/>
      <c r="J16" s="31" t="s">
        <v>575</v>
      </c>
      <c r="K16" s="30" t="s">
        <v>576</v>
      </c>
    </row>
    <row r="17" customFormat="false" ht="15" hidden="false" customHeight="false" outlineLevel="0" collapsed="false">
      <c r="A17" s="4" t="s">
        <v>580</v>
      </c>
      <c r="B17" s="4" t="s">
        <v>581</v>
      </c>
      <c r="C17" s="9" t="s">
        <v>582</v>
      </c>
      <c r="D17" s="4" t="s">
        <v>583</v>
      </c>
      <c r="F17" s="34" t="s">
        <v>473</v>
      </c>
      <c r="G17" s="56" t="s">
        <v>474</v>
      </c>
      <c r="H17" s="56" t="s">
        <v>584</v>
      </c>
      <c r="J17" s="31" t="s">
        <v>581</v>
      </c>
      <c r="K17" s="30" t="s">
        <v>582</v>
      </c>
    </row>
    <row r="18" customFormat="false" ht="15" hidden="false" customHeight="false" outlineLevel="0" collapsed="false">
      <c r="A18" s="4" t="s">
        <v>585</v>
      </c>
      <c r="B18" s="4" t="s">
        <v>586</v>
      </c>
      <c r="C18" s="9" t="s">
        <v>587</v>
      </c>
      <c r="D18" s="4" t="s">
        <v>583</v>
      </c>
      <c r="F18" s="34" t="s">
        <v>588</v>
      </c>
      <c r="G18" s="56" t="s">
        <v>589</v>
      </c>
      <c r="H18" s="56" t="s">
        <v>590</v>
      </c>
      <c r="J18" s="31" t="s">
        <v>586</v>
      </c>
      <c r="K18" s="30" t="s">
        <v>587</v>
      </c>
    </row>
    <row r="19" customFormat="false" ht="15" hidden="false" customHeight="false" outlineLevel="0" collapsed="false">
      <c r="A19" s="4" t="s">
        <v>591</v>
      </c>
      <c r="B19" s="4" t="s">
        <v>525</v>
      </c>
      <c r="C19" s="9" t="s">
        <v>526</v>
      </c>
      <c r="D19" s="4" t="s">
        <v>592</v>
      </c>
      <c r="F19" s="34" t="s">
        <v>462</v>
      </c>
      <c r="G19" s="56" t="s">
        <v>463</v>
      </c>
      <c r="H19" s="56" t="s">
        <v>593</v>
      </c>
    </row>
    <row r="20" customFormat="false" ht="15" hidden="false" customHeight="false" outlineLevel="0" collapsed="false">
      <c r="F20" s="34" t="s">
        <v>467</v>
      </c>
      <c r="G20" s="56" t="s">
        <v>468</v>
      </c>
      <c r="H20" s="56" t="s">
        <v>594</v>
      </c>
    </row>
    <row r="21" customFormat="false" ht="15" hidden="false" customHeight="false" outlineLevel="0" collapsed="false">
      <c r="F21" s="34" t="s">
        <v>595</v>
      </c>
      <c r="G21" s="56" t="s">
        <v>596</v>
      </c>
      <c r="H21" s="56"/>
    </row>
    <row r="22" customFormat="false" ht="15" hidden="false" customHeight="false" outlineLevel="0" collapsed="false">
      <c r="F22" s="34" t="s">
        <v>597</v>
      </c>
      <c r="G22" s="56" t="s">
        <v>598</v>
      </c>
      <c r="H22" s="56"/>
    </row>
    <row r="23" customFormat="false" ht="15" hidden="false" customHeight="false" outlineLevel="0" collapsed="false">
      <c r="F23" s="34" t="s">
        <v>447</v>
      </c>
      <c r="G23" s="56" t="s">
        <v>448</v>
      </c>
      <c r="H23" s="56" t="s">
        <v>448</v>
      </c>
    </row>
    <row r="24" customFormat="false" ht="15" hidden="false" customHeight="false" outlineLevel="0" collapsed="false">
      <c r="F24" s="34" t="s">
        <v>450</v>
      </c>
      <c r="G24" s="56" t="s">
        <v>451</v>
      </c>
      <c r="H24" s="56" t="s">
        <v>451</v>
      </c>
    </row>
    <row r="25" customFormat="false" ht="15" hidden="false" customHeight="false" outlineLevel="0" collapsed="false">
      <c r="F25" s="34" t="s">
        <v>455</v>
      </c>
      <c r="G25" s="56" t="s">
        <v>456</v>
      </c>
      <c r="H25" s="56" t="s">
        <v>599</v>
      </c>
    </row>
    <row r="26" customFormat="false" ht="15" hidden="false" customHeight="false" outlineLevel="0" collapsed="false">
      <c r="F26" s="34" t="s">
        <v>452</v>
      </c>
      <c r="G26" s="56" t="s">
        <v>600</v>
      </c>
      <c r="H26" s="56" t="s">
        <v>453</v>
      </c>
    </row>
    <row r="27" customFormat="false" ht="15" hidden="false" customHeight="false" outlineLevel="0" collapsed="false">
      <c r="F27" s="34" t="s">
        <v>457</v>
      </c>
      <c r="G27" s="56" t="s">
        <v>458</v>
      </c>
      <c r="H27" s="56" t="s">
        <v>458</v>
      </c>
    </row>
    <row r="28" customFormat="false" ht="15" hidden="false" customHeight="false" outlineLevel="0" collapsed="false">
      <c r="F28" s="34" t="s">
        <v>601</v>
      </c>
      <c r="G28" s="56" t="s">
        <v>602</v>
      </c>
      <c r="H28" s="56"/>
    </row>
    <row r="29" customFormat="false" ht="15" hidden="false" customHeight="false" outlineLevel="0" collapsed="false">
      <c r="F29" s="34" t="s">
        <v>603</v>
      </c>
      <c r="G29" s="56" t="s">
        <v>604</v>
      </c>
      <c r="H29" s="56"/>
    </row>
    <row r="30" customFormat="false" ht="15" hidden="false" customHeight="false" outlineLevel="0" collapsed="false">
      <c r="F30" s="34" t="s">
        <v>605</v>
      </c>
      <c r="G30" s="56" t="s">
        <v>606</v>
      </c>
      <c r="H30" s="56"/>
    </row>
    <row r="31" customFormat="false" ht="15" hidden="false" customHeight="false" outlineLevel="0" collapsed="false">
      <c r="F31" s="34" t="s">
        <v>441</v>
      </c>
      <c r="G31" s="56" t="s">
        <v>442</v>
      </c>
      <c r="H31" s="56" t="s">
        <v>607</v>
      </c>
    </row>
    <row r="32" customFormat="false" ht="15" hidden="false" customHeight="false" outlineLevel="0" collapsed="false">
      <c r="F32" s="34" t="s">
        <v>552</v>
      </c>
      <c r="G32" s="56" t="s">
        <v>551</v>
      </c>
      <c r="H32" s="56"/>
    </row>
    <row r="33" customFormat="false" ht="15" hidden="false" customHeight="false" outlineLevel="0" collapsed="false">
      <c r="F33" s="34" t="s">
        <v>465</v>
      </c>
      <c r="G33" s="56" t="s">
        <v>167</v>
      </c>
      <c r="H33" s="56" t="s">
        <v>608</v>
      </c>
    </row>
    <row r="34" customFormat="false" ht="15" hidden="false" customHeight="false" outlineLevel="0" collapsed="false">
      <c r="F34" s="34" t="s">
        <v>469</v>
      </c>
      <c r="G34" s="56" t="s">
        <v>178</v>
      </c>
      <c r="H34" s="56" t="s">
        <v>609</v>
      </c>
    </row>
    <row r="35" customFormat="false" ht="15" hidden="false" customHeight="false" outlineLevel="0" collapsed="false">
      <c r="F35" s="34" t="s">
        <v>470</v>
      </c>
      <c r="G35" s="56" t="s">
        <v>471</v>
      </c>
      <c r="H35" s="56" t="s">
        <v>610</v>
      </c>
    </row>
    <row r="36" customFormat="false" ht="15" hidden="false" customHeight="false" outlineLevel="0" collapsed="false">
      <c r="F36" s="34" t="s">
        <v>445</v>
      </c>
      <c r="G36" s="56" t="s">
        <v>127</v>
      </c>
      <c r="H36" s="56" t="s">
        <v>611</v>
      </c>
    </row>
    <row r="37" customFormat="false" ht="15" hidden="false" customHeight="false" outlineLevel="0" collapsed="false">
      <c r="F37" s="34" t="s">
        <v>532</v>
      </c>
      <c r="G37" s="56" t="s">
        <v>531</v>
      </c>
      <c r="H37" s="56"/>
    </row>
    <row r="38" customFormat="false" ht="15" hidden="false" customHeight="false" outlineLevel="0" collapsed="false">
      <c r="F38" s="34" t="s">
        <v>537</v>
      </c>
      <c r="G38" s="56" t="s">
        <v>536</v>
      </c>
      <c r="H38" s="56"/>
    </row>
    <row r="39" customFormat="false" ht="15" hidden="false" customHeight="false" outlineLevel="0" collapsed="false">
      <c r="F39" s="34" t="s">
        <v>557</v>
      </c>
      <c r="G39" s="56" t="s">
        <v>556</v>
      </c>
      <c r="H39" s="56"/>
    </row>
    <row r="40" customFormat="false" ht="15" hidden="false" customHeight="false" outlineLevel="0" collapsed="false">
      <c r="F40" s="34" t="s">
        <v>562</v>
      </c>
      <c r="G40" s="56" t="s">
        <v>561</v>
      </c>
      <c r="H40" s="56"/>
    </row>
    <row r="41" customFormat="false" ht="15" hidden="false" customHeight="false" outlineLevel="0" collapsed="false">
      <c r="F41" s="34" t="s">
        <v>567</v>
      </c>
      <c r="G41" s="56" t="s">
        <v>566</v>
      </c>
      <c r="H41" s="56"/>
    </row>
    <row r="42" customFormat="false" ht="15" hidden="false" customHeight="false" outlineLevel="0" collapsed="false">
      <c r="F42" s="34" t="s">
        <v>612</v>
      </c>
      <c r="G42" s="56" t="s">
        <v>613</v>
      </c>
      <c r="H42" s="56"/>
    </row>
    <row r="43" customFormat="false" ht="15" hidden="false" customHeight="false" outlineLevel="0" collapsed="false">
      <c r="F43" s="34" t="s">
        <v>572</v>
      </c>
      <c r="G43" s="56" t="s">
        <v>571</v>
      </c>
      <c r="H43" s="56"/>
    </row>
    <row r="44" customFormat="false" ht="15" hidden="false" customHeight="false" outlineLevel="0" collapsed="false">
      <c r="F44" s="34" t="s">
        <v>526</v>
      </c>
      <c r="G44" s="56" t="s">
        <v>525</v>
      </c>
      <c r="H44" s="56"/>
    </row>
    <row r="45" customFormat="false" ht="15" hidden="false" customHeight="false" outlineLevel="0" collapsed="false">
      <c r="F45" s="34" t="s">
        <v>576</v>
      </c>
      <c r="G45" s="56" t="s">
        <v>575</v>
      </c>
      <c r="H45" s="56"/>
    </row>
    <row r="46" customFormat="false" ht="15" hidden="false" customHeight="false" outlineLevel="0" collapsed="false">
      <c r="F46" s="34" t="s">
        <v>582</v>
      </c>
      <c r="G46" s="56" t="s">
        <v>581</v>
      </c>
      <c r="H46" s="56"/>
    </row>
    <row r="47" customFormat="false" ht="15" hidden="false" customHeight="false" outlineLevel="0" collapsed="false">
      <c r="F47" s="34" t="s">
        <v>587</v>
      </c>
      <c r="G47" s="56" t="s">
        <v>586</v>
      </c>
      <c r="H47" s="56"/>
    </row>
    <row r="48" customFormat="false" ht="15" hidden="false" customHeight="false" outlineLevel="0" collapsed="false">
      <c r="F48" s="34" t="s">
        <v>542</v>
      </c>
      <c r="G48" s="56" t="s">
        <v>541</v>
      </c>
      <c r="H48" s="56"/>
    </row>
    <row r="49" customFormat="false" ht="15" hidden="false" customHeight="false" outlineLevel="0" collapsed="false">
      <c r="F49" s="34" t="s">
        <v>547</v>
      </c>
      <c r="G49" s="56" t="s">
        <v>546</v>
      </c>
      <c r="H49" s="56"/>
    </row>
    <row r="50" customFormat="false" ht="15" hidden="false" customHeight="false" outlineLevel="0" collapsed="false">
      <c r="F50" s="34" t="s">
        <v>519</v>
      </c>
      <c r="G50" s="56" t="s">
        <v>501</v>
      </c>
      <c r="H50" s="56"/>
    </row>
    <row r="51" customFormat="false" ht="15" hidden="false" customHeight="false" outlineLevel="0" collapsed="false">
      <c r="F51" s="34" t="s">
        <v>614</v>
      </c>
      <c r="G51" s="56" t="s">
        <v>615</v>
      </c>
      <c r="H51" s="56"/>
    </row>
    <row r="52" customFormat="false" ht="15" hidden="false" customHeight="false" outlineLevel="0" collapsed="false">
      <c r="F52" s="34" t="s">
        <v>616</v>
      </c>
      <c r="G52" s="56" t="s">
        <v>617</v>
      </c>
      <c r="H52" s="56"/>
    </row>
    <row r="53" customFormat="false" ht="15" hidden="false" customHeight="false" outlineLevel="0" collapsed="false">
      <c r="F53" s="34" t="s">
        <v>618</v>
      </c>
      <c r="G53" s="56" t="s">
        <v>619</v>
      </c>
      <c r="H53" s="5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8" min="6" style="0" width="12"/>
    <col collapsed="false" customWidth="true" hidden="false" outlineLevel="0" max="9" min="9" style="0" width="18"/>
    <col collapsed="false" customWidth="true" hidden="false" outlineLevel="0" max="10" min="10" style="0" width="9"/>
    <col collapsed="false" customWidth="true" hidden="false" outlineLevel="0" max="11" min="11" style="0" width="14"/>
    <col collapsed="false" customWidth="true" hidden="false" outlineLevel="0" max="12" min="12" style="0" width="36"/>
    <col collapsed="false" customWidth="true" hidden="false" outlineLevel="0" max="13" min="13" style="0" width="24"/>
    <col collapsed="false" customWidth="true" hidden="false" outlineLevel="0" max="15" min="14" style="0" width="10"/>
    <col collapsed="false" customWidth="true" hidden="false" outlineLevel="0" max="16" min="16" style="0" width="12"/>
    <col collapsed="false" customWidth="true" hidden="false" outlineLevel="0" max="17" min="17" style="0" width="10"/>
    <col collapsed="false" customWidth="true" hidden="false" outlineLevel="0" max="18" min="18" style="0" width="12"/>
    <col collapsed="false" customWidth="true" hidden="false" outlineLevel="0" max="19" min="19" style="0" width="8"/>
    <col collapsed="false" customWidth="true" hidden="false" outlineLevel="0" max="20" min="20" style="0" width="32"/>
    <col collapsed="false" customWidth="true" hidden="false" outlineLevel="0" max="21" min="21" style="0" width="12"/>
  </cols>
  <sheetData>
    <row r="1" customFormat="false" ht="17.35" hidden="false" customHeight="false" outlineLevel="0" collapsed="false">
      <c r="A1" s="1" t="s">
        <v>620</v>
      </c>
    </row>
    <row r="2" customFormat="false" ht="15" hidden="false" customHeight="false" outlineLevel="0" collapsed="false">
      <c r="A2" s="2" t="s">
        <v>621</v>
      </c>
    </row>
    <row r="4" customFormat="false" ht="31.5" hidden="false" customHeight="true" outlineLevel="0" collapsed="false">
      <c r="A4" s="3" t="s">
        <v>319</v>
      </c>
      <c r="B4" s="3" t="s">
        <v>320</v>
      </c>
      <c r="C4" s="3" t="s">
        <v>622</v>
      </c>
      <c r="D4" s="3" t="s">
        <v>623</v>
      </c>
      <c r="E4" s="3" t="s">
        <v>624</v>
      </c>
      <c r="F4" s="3" t="s">
        <v>625</v>
      </c>
      <c r="G4" s="3" t="s">
        <v>626</v>
      </c>
      <c r="H4" s="3" t="s">
        <v>627</v>
      </c>
      <c r="I4" s="3" t="s">
        <v>628</v>
      </c>
      <c r="J4" s="3" t="s">
        <v>629</v>
      </c>
      <c r="K4" s="3" t="s">
        <v>630</v>
      </c>
      <c r="L4" s="3" t="s">
        <v>631</v>
      </c>
      <c r="M4" s="3" t="s">
        <v>632</v>
      </c>
      <c r="N4" s="3" t="s">
        <v>633</v>
      </c>
      <c r="O4" s="3" t="s">
        <v>322</v>
      </c>
      <c r="P4" s="3" t="s">
        <v>321</v>
      </c>
      <c r="Q4" s="3" t="s">
        <v>634</v>
      </c>
      <c r="R4" s="3" t="s">
        <v>635</v>
      </c>
      <c r="S4" s="3" t="s">
        <v>636</v>
      </c>
      <c r="T4" s="3" t="s">
        <v>637</v>
      </c>
      <c r="U4" s="3" t="s">
        <v>638</v>
      </c>
    </row>
    <row r="5" customFormat="false" ht="29.85" hidden="false" customHeight="false" outlineLevel="0" collapsed="false">
      <c r="A5" s="9" t="s">
        <v>639</v>
      </c>
      <c r="B5" s="10" t="s">
        <v>337</v>
      </c>
      <c r="C5" s="10" t="s">
        <v>640</v>
      </c>
      <c r="D5" s="10" t="s">
        <v>641</v>
      </c>
      <c r="E5" s="10" t="s">
        <v>642</v>
      </c>
      <c r="F5" s="36" t="n">
        <v>46308</v>
      </c>
      <c r="G5" s="36" t="n">
        <v>46672</v>
      </c>
      <c r="H5" s="4" t="str">
        <f aca="false">IF(OR(F5="",G5=""),"",DATEDIF(F5,G5+1,"y")&amp;"年"&amp;DATEDIF(F5,G5+1,"ym")&amp;"個月")</f>
        <v>1年0個月</v>
      </c>
      <c r="I5" s="4" t="str">
        <f aca="true">IF(G5="","",IF(G5&lt;TODAY(),"已到期",IF(G5-TODAY()&lt;=60,"60日內到期（"&amp;(G5-TODAY())&amp;"日）","")))</f>
        <v/>
      </c>
      <c r="J5" s="10" t="s">
        <v>313</v>
      </c>
      <c r="K5" s="52"/>
      <c r="L5" s="10" t="s">
        <v>643</v>
      </c>
      <c r="M5" s="10" t="s">
        <v>644</v>
      </c>
      <c r="N5" s="10" t="s">
        <v>645</v>
      </c>
      <c r="O5" s="10" t="s">
        <v>196</v>
      </c>
      <c r="P5" s="36" t="n">
        <v>46307</v>
      </c>
      <c r="Q5" s="10" t="s">
        <v>646</v>
      </c>
      <c r="R5" s="36" t="n">
        <v>46308</v>
      </c>
      <c r="S5" s="10" t="s">
        <v>647</v>
      </c>
      <c r="T5" s="10" t="s">
        <v>648</v>
      </c>
      <c r="U5" s="9" t="s">
        <v>649</v>
      </c>
    </row>
    <row r="6" customFormat="false" ht="15" hidden="false" customHeight="false" outlineLevel="0" collapsed="false">
      <c r="A6" s="10"/>
      <c r="B6" s="10"/>
      <c r="C6" s="10"/>
      <c r="D6" s="10"/>
      <c r="E6" s="10"/>
      <c r="F6" s="36"/>
      <c r="G6" s="36"/>
      <c r="H6" s="4" t="str">
        <f aca="false">IF(OR(F6="",G6=""),"",DATEDIF(F6,G6+1,"y")&amp;"年"&amp;DATEDIF(F6,G6+1,"ym")&amp;"個月")</f>
        <v/>
      </c>
      <c r="I6" s="4" t="str">
        <f aca="true">IF(G6="","",IF(G6&lt;TODAY(),"已到期",IF(G6-TODAY()&lt;=60,"60日內到期（"&amp;(G6-TODAY())&amp;"日）","")))</f>
        <v/>
      </c>
      <c r="J6" s="10"/>
      <c r="K6" s="52"/>
      <c r="L6" s="10"/>
      <c r="M6" s="10"/>
      <c r="N6" s="10"/>
      <c r="O6" s="10"/>
      <c r="P6" s="36"/>
      <c r="Q6" s="10"/>
      <c r="R6" s="36"/>
      <c r="S6" s="10"/>
      <c r="T6" s="10"/>
      <c r="U6" s="10"/>
    </row>
    <row r="7" customFormat="false" ht="15" hidden="false" customHeight="false" outlineLevel="0" collapsed="false">
      <c r="A7" s="10"/>
      <c r="B7" s="10"/>
      <c r="C7" s="10"/>
      <c r="D7" s="10"/>
      <c r="E7" s="10"/>
      <c r="F7" s="36"/>
      <c r="G7" s="36"/>
      <c r="H7" s="4" t="str">
        <f aca="false">IF(OR(F7="",G7=""),"",DATEDIF(F7,G7+1,"y")&amp;"年"&amp;DATEDIF(F7,G7+1,"ym")&amp;"個月")</f>
        <v/>
      </c>
      <c r="I7" s="4" t="str">
        <f aca="true">IF(G7="","",IF(G7&lt;TODAY(),"已到期",IF(G7-TODAY()&lt;=60,"60日內到期（"&amp;(G7-TODAY())&amp;"日）","")))</f>
        <v/>
      </c>
      <c r="J7" s="10"/>
      <c r="K7" s="52"/>
      <c r="L7" s="10"/>
      <c r="M7" s="10"/>
      <c r="N7" s="10"/>
      <c r="O7" s="10"/>
      <c r="P7" s="36"/>
      <c r="Q7" s="10"/>
      <c r="R7" s="36"/>
      <c r="S7" s="10"/>
      <c r="T7" s="10"/>
      <c r="U7" s="10"/>
    </row>
    <row r="8" customFormat="false" ht="15" hidden="false" customHeight="false" outlineLevel="0" collapsed="false">
      <c r="A8" s="10"/>
      <c r="B8" s="10"/>
      <c r="C8" s="10"/>
      <c r="D8" s="10"/>
      <c r="E8" s="10"/>
      <c r="F8" s="36"/>
      <c r="G8" s="36"/>
      <c r="H8" s="4" t="str">
        <f aca="false">IF(OR(F8="",G8=""),"",DATEDIF(F8,G8+1,"y")&amp;"年"&amp;DATEDIF(F8,G8+1,"ym")&amp;"個月")</f>
        <v/>
      </c>
      <c r="I8" s="4" t="str">
        <f aca="true">IF(G8="","",IF(G8&lt;TODAY(),"已到期",IF(G8-TODAY()&lt;=60,"60日內到期（"&amp;(G8-TODAY())&amp;"日）","")))</f>
        <v/>
      </c>
      <c r="J8" s="10"/>
      <c r="K8" s="52"/>
      <c r="L8" s="10"/>
      <c r="M8" s="10"/>
      <c r="N8" s="10"/>
      <c r="O8" s="10"/>
      <c r="P8" s="36"/>
      <c r="Q8" s="10"/>
      <c r="R8" s="36"/>
      <c r="S8" s="10"/>
      <c r="T8" s="10"/>
      <c r="U8" s="10"/>
    </row>
    <row r="9" customFormat="false" ht="15" hidden="false" customHeight="false" outlineLevel="0" collapsed="false">
      <c r="A9" s="10"/>
      <c r="B9" s="10"/>
      <c r="C9" s="10"/>
      <c r="D9" s="10"/>
      <c r="E9" s="10"/>
      <c r="F9" s="36"/>
      <c r="G9" s="36"/>
      <c r="H9" s="4" t="str">
        <f aca="false">IF(OR(F9="",G9=""),"",DATEDIF(F9,G9+1,"y")&amp;"年"&amp;DATEDIF(F9,G9+1,"ym")&amp;"個月")</f>
        <v/>
      </c>
      <c r="I9" s="4" t="str">
        <f aca="true">IF(G9="","",IF(G9&lt;TODAY(),"已到期",IF(G9-TODAY()&lt;=60,"60日內到期（"&amp;(G9-TODAY())&amp;"日）","")))</f>
        <v/>
      </c>
      <c r="J9" s="10"/>
      <c r="K9" s="52"/>
      <c r="L9" s="10"/>
      <c r="M9" s="10"/>
      <c r="N9" s="10"/>
      <c r="O9" s="10"/>
      <c r="P9" s="36"/>
      <c r="Q9" s="10"/>
      <c r="R9" s="36"/>
      <c r="S9" s="10"/>
      <c r="T9" s="10"/>
      <c r="U9" s="10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36"/>
      <c r="G10" s="36"/>
      <c r="H10" s="4" t="str">
        <f aca="false">IF(OR(F10="",G10=""),"",DATEDIF(F10,G10+1,"y")&amp;"年"&amp;DATEDIF(F10,G10+1,"ym")&amp;"個月")</f>
        <v/>
      </c>
      <c r="I10" s="4" t="str">
        <f aca="true">IF(G10="","",IF(G10&lt;TODAY(),"已到期",IF(G10-TODAY()&lt;=60,"60日內到期（"&amp;(G10-TODAY())&amp;"日）","")))</f>
        <v/>
      </c>
      <c r="J10" s="10"/>
      <c r="K10" s="52"/>
      <c r="L10" s="10"/>
      <c r="M10" s="10"/>
      <c r="N10" s="10"/>
      <c r="O10" s="10"/>
      <c r="P10" s="36"/>
      <c r="Q10" s="10"/>
      <c r="R10" s="36"/>
      <c r="S10" s="10"/>
      <c r="T10" s="10"/>
      <c r="U10" s="10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36"/>
      <c r="G11" s="36"/>
      <c r="H11" s="4" t="str">
        <f aca="false">IF(OR(F11="",G11=""),"",DATEDIF(F11,G11+1,"y")&amp;"年"&amp;DATEDIF(F11,G11+1,"ym")&amp;"個月")</f>
        <v/>
      </c>
      <c r="I11" s="4" t="str">
        <f aca="true">IF(G11="","",IF(G11&lt;TODAY(),"已到期",IF(G11-TODAY()&lt;=60,"60日內到期（"&amp;(G11-TODAY())&amp;"日）","")))</f>
        <v/>
      </c>
      <c r="J11" s="10"/>
      <c r="K11" s="52"/>
      <c r="L11" s="10"/>
      <c r="M11" s="10"/>
      <c r="N11" s="10"/>
      <c r="O11" s="10"/>
      <c r="P11" s="36"/>
      <c r="Q11" s="10"/>
      <c r="R11" s="36"/>
      <c r="S11" s="10"/>
      <c r="T11" s="10"/>
      <c r="U11" s="10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36"/>
      <c r="G12" s="36"/>
      <c r="H12" s="4" t="str">
        <f aca="false">IF(OR(F12="",G12=""),"",DATEDIF(F12,G12+1,"y")&amp;"年"&amp;DATEDIF(F12,G12+1,"ym")&amp;"個月")</f>
        <v/>
      </c>
      <c r="I12" s="4" t="str">
        <f aca="true">IF(G12="","",IF(G12&lt;TODAY(),"已到期",IF(G12-TODAY()&lt;=60,"60日內到期（"&amp;(G12-TODAY())&amp;"日）","")))</f>
        <v/>
      </c>
      <c r="J12" s="10"/>
      <c r="K12" s="52"/>
      <c r="L12" s="10"/>
      <c r="M12" s="10"/>
      <c r="N12" s="10"/>
      <c r="O12" s="10"/>
      <c r="P12" s="36"/>
      <c r="Q12" s="10"/>
      <c r="R12" s="36"/>
      <c r="S12" s="10"/>
      <c r="T12" s="10"/>
      <c r="U12" s="10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36"/>
      <c r="G13" s="36"/>
      <c r="H13" s="4" t="str">
        <f aca="false">IF(OR(F13="",G13=""),"",DATEDIF(F13,G13+1,"y")&amp;"年"&amp;DATEDIF(F13,G13+1,"ym")&amp;"個月")</f>
        <v/>
      </c>
      <c r="I13" s="4" t="str">
        <f aca="true">IF(G13="","",IF(G13&lt;TODAY(),"已到期",IF(G13-TODAY()&lt;=60,"60日內到期（"&amp;(G13-TODAY())&amp;"日）","")))</f>
        <v/>
      </c>
      <c r="J13" s="10"/>
      <c r="K13" s="52"/>
      <c r="L13" s="10"/>
      <c r="M13" s="10"/>
      <c r="N13" s="10"/>
      <c r="O13" s="10"/>
      <c r="P13" s="36"/>
      <c r="Q13" s="10"/>
      <c r="R13" s="36"/>
      <c r="S13" s="10"/>
      <c r="T13" s="10"/>
      <c r="U13" s="10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36"/>
      <c r="G14" s="36"/>
      <c r="H14" s="4" t="str">
        <f aca="false">IF(OR(F14="",G14=""),"",DATEDIF(F14,G14+1,"y")&amp;"年"&amp;DATEDIF(F14,G14+1,"ym")&amp;"個月")</f>
        <v/>
      </c>
      <c r="I14" s="4" t="str">
        <f aca="true">IF(G14="","",IF(G14&lt;TODAY(),"已到期",IF(G14-TODAY()&lt;=60,"60日內到期（"&amp;(G14-TODAY())&amp;"日）","")))</f>
        <v/>
      </c>
      <c r="J14" s="10"/>
      <c r="K14" s="52"/>
      <c r="L14" s="10"/>
      <c r="M14" s="10"/>
      <c r="N14" s="10"/>
      <c r="O14" s="10"/>
      <c r="P14" s="36"/>
      <c r="Q14" s="10"/>
      <c r="R14" s="36"/>
      <c r="S14" s="10"/>
      <c r="T14" s="10"/>
      <c r="U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36"/>
      <c r="G15" s="36"/>
      <c r="H15" s="4" t="str">
        <f aca="false">IF(OR(F15="",G15=""),"",DATEDIF(F15,G15+1,"y")&amp;"年"&amp;DATEDIF(F15,G15+1,"ym")&amp;"個月")</f>
        <v/>
      </c>
      <c r="I15" s="4" t="str">
        <f aca="true">IF(G15="","",IF(G15&lt;TODAY(),"已到期",IF(G15-TODAY()&lt;=60,"60日內到期（"&amp;(G15-TODAY())&amp;"日）","")))</f>
        <v/>
      </c>
      <c r="J15" s="10"/>
      <c r="K15" s="52"/>
      <c r="L15" s="10"/>
      <c r="M15" s="10"/>
      <c r="N15" s="10"/>
      <c r="O15" s="10"/>
      <c r="P15" s="36"/>
      <c r="Q15" s="10"/>
      <c r="R15" s="36"/>
      <c r="S15" s="10"/>
      <c r="T15" s="10"/>
      <c r="U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36"/>
      <c r="G16" s="36"/>
      <c r="H16" s="4" t="str">
        <f aca="false">IF(OR(F16="",G16=""),"",DATEDIF(F16,G16+1,"y")&amp;"年"&amp;DATEDIF(F16,G16+1,"ym")&amp;"個月")</f>
        <v/>
      </c>
      <c r="I16" s="4" t="str">
        <f aca="true">IF(G16="","",IF(G16&lt;TODAY(),"已到期",IF(G16-TODAY()&lt;=60,"60日內到期（"&amp;(G16-TODAY())&amp;"日）","")))</f>
        <v/>
      </c>
      <c r="J16" s="10"/>
      <c r="K16" s="52"/>
      <c r="L16" s="10"/>
      <c r="M16" s="10"/>
      <c r="N16" s="10"/>
      <c r="O16" s="10"/>
      <c r="P16" s="36"/>
      <c r="Q16" s="10"/>
      <c r="R16" s="36"/>
      <c r="S16" s="10"/>
      <c r="T16" s="10"/>
      <c r="U16" s="10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36"/>
      <c r="G17" s="36"/>
      <c r="H17" s="4" t="str">
        <f aca="false">IF(OR(F17="",G17=""),"",DATEDIF(F17,G17+1,"y")&amp;"年"&amp;DATEDIF(F17,G17+1,"ym")&amp;"個月")</f>
        <v/>
      </c>
      <c r="I17" s="4" t="str">
        <f aca="true">IF(G17="","",IF(G17&lt;TODAY(),"已到期",IF(G17-TODAY()&lt;=60,"60日內到期（"&amp;(G17-TODAY())&amp;"日）","")))</f>
        <v/>
      </c>
      <c r="J17" s="10"/>
      <c r="K17" s="52"/>
      <c r="L17" s="10"/>
      <c r="M17" s="10"/>
      <c r="N17" s="10"/>
      <c r="O17" s="10"/>
      <c r="P17" s="36"/>
      <c r="Q17" s="10"/>
      <c r="R17" s="36"/>
      <c r="S17" s="10"/>
      <c r="T17" s="10"/>
      <c r="U17" s="10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36"/>
      <c r="G18" s="36"/>
      <c r="H18" s="4" t="str">
        <f aca="false">IF(OR(F18="",G18=""),"",DATEDIF(F18,G18+1,"y")&amp;"年"&amp;DATEDIF(F18,G18+1,"ym")&amp;"個月")</f>
        <v/>
      </c>
      <c r="I18" s="4" t="str">
        <f aca="true">IF(G18="","",IF(G18&lt;TODAY(),"已到期",IF(G18-TODAY()&lt;=60,"60日內到期（"&amp;(G18-TODAY())&amp;"日）","")))</f>
        <v/>
      </c>
      <c r="J18" s="10"/>
      <c r="K18" s="52"/>
      <c r="L18" s="10"/>
      <c r="M18" s="10"/>
      <c r="N18" s="10"/>
      <c r="O18" s="10"/>
      <c r="P18" s="36"/>
      <c r="Q18" s="10"/>
      <c r="R18" s="36"/>
      <c r="S18" s="10"/>
      <c r="T18" s="10"/>
      <c r="U18" s="10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36"/>
      <c r="G19" s="36"/>
      <c r="H19" s="4" t="str">
        <f aca="false">IF(OR(F19="",G19=""),"",DATEDIF(F19,G19+1,"y")&amp;"年"&amp;DATEDIF(F19,G19+1,"ym")&amp;"個月")</f>
        <v/>
      </c>
      <c r="I19" s="4" t="str">
        <f aca="true">IF(G19="","",IF(G19&lt;TODAY(),"已到期",IF(G19-TODAY()&lt;=60,"60日內到期（"&amp;(G19-TODAY())&amp;"日）","")))</f>
        <v/>
      </c>
      <c r="J19" s="10"/>
      <c r="K19" s="52"/>
      <c r="L19" s="10"/>
      <c r="M19" s="10"/>
      <c r="N19" s="10"/>
      <c r="O19" s="10"/>
      <c r="P19" s="36"/>
      <c r="Q19" s="10"/>
      <c r="R19" s="36"/>
      <c r="S19" s="10"/>
      <c r="T19" s="10"/>
      <c r="U19" s="10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36"/>
      <c r="G20" s="36"/>
      <c r="H20" s="4" t="str">
        <f aca="false">IF(OR(F20="",G20=""),"",DATEDIF(F20,G20+1,"y")&amp;"年"&amp;DATEDIF(F20,G20+1,"ym")&amp;"個月")</f>
        <v/>
      </c>
      <c r="I20" s="4" t="str">
        <f aca="true">IF(G20="","",IF(G20&lt;TODAY(),"已到期",IF(G20-TODAY()&lt;=60,"60日內到期（"&amp;(G20-TODAY())&amp;"日）","")))</f>
        <v/>
      </c>
      <c r="J20" s="10"/>
      <c r="K20" s="52"/>
      <c r="L20" s="10"/>
      <c r="M20" s="10"/>
      <c r="N20" s="10"/>
      <c r="O20" s="10"/>
      <c r="P20" s="36"/>
      <c r="Q20" s="10"/>
      <c r="R20" s="36"/>
      <c r="S20" s="10"/>
      <c r="T20" s="10"/>
      <c r="U20" s="10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36"/>
      <c r="G21" s="36"/>
      <c r="H21" s="4" t="str">
        <f aca="false">IF(OR(F21="",G21=""),"",DATEDIF(F21,G21+1,"y")&amp;"年"&amp;DATEDIF(F21,G21+1,"ym")&amp;"個月")</f>
        <v/>
      </c>
      <c r="I21" s="4" t="str">
        <f aca="true">IF(G21="","",IF(G21&lt;TODAY(),"已到期",IF(G21-TODAY()&lt;=60,"60日內到期（"&amp;(G21-TODAY())&amp;"日）","")))</f>
        <v/>
      </c>
      <c r="J21" s="10"/>
      <c r="K21" s="52"/>
      <c r="L21" s="10"/>
      <c r="M21" s="10"/>
      <c r="N21" s="10"/>
      <c r="O21" s="10"/>
      <c r="P21" s="36"/>
      <c r="Q21" s="10"/>
      <c r="R21" s="36"/>
      <c r="S21" s="10"/>
      <c r="T21" s="10"/>
      <c r="U21" s="10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36"/>
      <c r="G22" s="36"/>
      <c r="H22" s="4" t="str">
        <f aca="false">IF(OR(F22="",G22=""),"",DATEDIF(F22,G22+1,"y")&amp;"年"&amp;DATEDIF(F22,G22+1,"ym")&amp;"個月")</f>
        <v/>
      </c>
      <c r="I22" s="4" t="str">
        <f aca="true">IF(G22="","",IF(G22&lt;TODAY(),"已到期",IF(G22-TODAY()&lt;=60,"60日內到期（"&amp;(G22-TODAY())&amp;"日）","")))</f>
        <v/>
      </c>
      <c r="J22" s="10"/>
      <c r="K22" s="52"/>
      <c r="L22" s="10"/>
      <c r="M22" s="10"/>
      <c r="N22" s="10"/>
      <c r="O22" s="10"/>
      <c r="P22" s="36"/>
      <c r="Q22" s="10"/>
      <c r="R22" s="36"/>
      <c r="S22" s="10"/>
      <c r="T22" s="10"/>
      <c r="U22" s="10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36"/>
      <c r="G23" s="36"/>
      <c r="H23" s="4" t="str">
        <f aca="false">IF(OR(F23="",G23=""),"",DATEDIF(F23,G23+1,"y")&amp;"年"&amp;DATEDIF(F23,G23+1,"ym")&amp;"個月")</f>
        <v/>
      </c>
      <c r="I23" s="4" t="str">
        <f aca="true">IF(G23="","",IF(G23&lt;TODAY(),"已到期",IF(G23-TODAY()&lt;=60,"60日內到期（"&amp;(G23-TODAY())&amp;"日）","")))</f>
        <v/>
      </c>
      <c r="J23" s="10"/>
      <c r="K23" s="52"/>
      <c r="L23" s="10"/>
      <c r="M23" s="10"/>
      <c r="N23" s="10"/>
      <c r="O23" s="10"/>
      <c r="P23" s="36"/>
      <c r="Q23" s="10"/>
      <c r="R23" s="36"/>
      <c r="S23" s="10"/>
      <c r="T23" s="10"/>
      <c r="U23" s="10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36"/>
      <c r="G24" s="36"/>
      <c r="H24" s="4" t="str">
        <f aca="false">IF(OR(F24="",G24=""),"",DATEDIF(F24,G24+1,"y")&amp;"年"&amp;DATEDIF(F24,G24+1,"ym")&amp;"個月")</f>
        <v/>
      </c>
      <c r="I24" s="4" t="str">
        <f aca="true">IF(G24="","",IF(G24&lt;TODAY(),"已到期",IF(G24-TODAY()&lt;=60,"60日內到期（"&amp;(G24-TODAY())&amp;"日）","")))</f>
        <v/>
      </c>
      <c r="J24" s="10"/>
      <c r="K24" s="52"/>
      <c r="L24" s="10"/>
      <c r="M24" s="10"/>
      <c r="N24" s="10"/>
      <c r="O24" s="10"/>
      <c r="P24" s="36"/>
      <c r="Q24" s="10"/>
      <c r="R24" s="36"/>
      <c r="S24" s="10"/>
      <c r="T24" s="10"/>
      <c r="U24" s="10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36"/>
      <c r="G25" s="36"/>
      <c r="H25" s="4" t="str">
        <f aca="false">IF(OR(F25="",G25=""),"",DATEDIF(F25,G25+1,"y")&amp;"年"&amp;DATEDIF(F25,G25+1,"ym")&amp;"個月")</f>
        <v/>
      </c>
      <c r="I25" s="4" t="str">
        <f aca="true">IF(G25="","",IF(G25&lt;TODAY(),"已到期",IF(G25-TODAY()&lt;=60,"60日內到期（"&amp;(G25-TODAY())&amp;"日）","")))</f>
        <v/>
      </c>
      <c r="J25" s="10"/>
      <c r="K25" s="52"/>
      <c r="L25" s="10"/>
      <c r="M25" s="10"/>
      <c r="N25" s="10"/>
      <c r="O25" s="10"/>
      <c r="P25" s="36"/>
      <c r="Q25" s="10"/>
      <c r="R25" s="36"/>
      <c r="S25" s="10"/>
      <c r="T25" s="10"/>
      <c r="U25" s="10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36"/>
      <c r="G26" s="36"/>
      <c r="H26" s="4" t="str">
        <f aca="false">IF(OR(F26="",G26=""),"",DATEDIF(F26,G26+1,"y")&amp;"年"&amp;DATEDIF(F26,G26+1,"ym")&amp;"個月")</f>
        <v/>
      </c>
      <c r="I26" s="4" t="str">
        <f aca="true">IF(G26="","",IF(G26&lt;TODAY(),"已到期",IF(G26-TODAY()&lt;=60,"60日內到期（"&amp;(G26-TODAY())&amp;"日）","")))</f>
        <v/>
      </c>
      <c r="J26" s="10"/>
      <c r="K26" s="52"/>
      <c r="L26" s="10"/>
      <c r="M26" s="10"/>
      <c r="N26" s="10"/>
      <c r="O26" s="10"/>
      <c r="P26" s="36"/>
      <c r="Q26" s="10"/>
      <c r="R26" s="36"/>
      <c r="S26" s="10"/>
      <c r="T26" s="10"/>
      <c r="U26" s="10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36"/>
      <c r="G27" s="36"/>
      <c r="H27" s="4" t="str">
        <f aca="false">IF(OR(F27="",G27=""),"",DATEDIF(F27,G27+1,"y")&amp;"年"&amp;DATEDIF(F27,G27+1,"ym")&amp;"個月")</f>
        <v/>
      </c>
      <c r="I27" s="4" t="str">
        <f aca="true">IF(G27="","",IF(G27&lt;TODAY(),"已到期",IF(G27-TODAY()&lt;=60,"60日內到期（"&amp;(G27-TODAY())&amp;"日）","")))</f>
        <v/>
      </c>
      <c r="J27" s="10"/>
      <c r="K27" s="52"/>
      <c r="L27" s="10"/>
      <c r="M27" s="10"/>
      <c r="N27" s="10"/>
      <c r="O27" s="10"/>
      <c r="P27" s="36"/>
      <c r="Q27" s="10"/>
      <c r="R27" s="36"/>
      <c r="S27" s="10"/>
      <c r="T27" s="10"/>
      <c r="U27" s="10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36"/>
      <c r="G28" s="36"/>
      <c r="H28" s="4" t="str">
        <f aca="false">IF(OR(F28="",G28=""),"",DATEDIF(F28,G28+1,"y")&amp;"年"&amp;DATEDIF(F28,G28+1,"ym")&amp;"個月")</f>
        <v/>
      </c>
      <c r="I28" s="4" t="str">
        <f aca="true">IF(G28="","",IF(G28&lt;TODAY(),"已到期",IF(G28-TODAY()&lt;=60,"60日內到期（"&amp;(G28-TODAY())&amp;"日）","")))</f>
        <v/>
      </c>
      <c r="J28" s="10"/>
      <c r="K28" s="52"/>
      <c r="L28" s="10"/>
      <c r="M28" s="10"/>
      <c r="N28" s="10"/>
      <c r="O28" s="10"/>
      <c r="P28" s="36"/>
      <c r="Q28" s="10"/>
      <c r="R28" s="36"/>
      <c r="S28" s="10"/>
      <c r="T28" s="10"/>
      <c r="U28" s="10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36"/>
      <c r="G29" s="36"/>
      <c r="H29" s="4" t="str">
        <f aca="false">IF(OR(F29="",G29=""),"",DATEDIF(F29,G29+1,"y")&amp;"年"&amp;DATEDIF(F29,G29+1,"ym")&amp;"個月")</f>
        <v/>
      </c>
      <c r="I29" s="4" t="str">
        <f aca="true">IF(G29="","",IF(G29&lt;TODAY(),"已到期",IF(G29-TODAY()&lt;=60,"60日內到期（"&amp;(G29-TODAY())&amp;"日）","")))</f>
        <v/>
      </c>
      <c r="J29" s="10"/>
      <c r="K29" s="52"/>
      <c r="L29" s="10"/>
      <c r="M29" s="10"/>
      <c r="N29" s="10"/>
      <c r="O29" s="10"/>
      <c r="P29" s="36"/>
      <c r="Q29" s="10"/>
      <c r="R29" s="36"/>
      <c r="S29" s="10"/>
      <c r="T29" s="10"/>
      <c r="U29" s="10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36"/>
      <c r="G30" s="36"/>
      <c r="H30" s="4" t="str">
        <f aca="false">IF(OR(F30="",G30=""),"",DATEDIF(F30,G30+1,"y")&amp;"年"&amp;DATEDIF(F30,G30+1,"ym")&amp;"個月")</f>
        <v/>
      </c>
      <c r="I30" s="4" t="str">
        <f aca="true">IF(G30="","",IF(G30&lt;TODAY(),"已到期",IF(G30-TODAY()&lt;=60,"60日內到期（"&amp;(G30-TODAY())&amp;"日）","")))</f>
        <v/>
      </c>
      <c r="J30" s="10"/>
      <c r="K30" s="52"/>
      <c r="L30" s="10"/>
      <c r="M30" s="10"/>
      <c r="N30" s="10"/>
      <c r="O30" s="10"/>
      <c r="P30" s="36"/>
      <c r="Q30" s="10"/>
      <c r="R30" s="36"/>
      <c r="S30" s="10"/>
      <c r="T30" s="10"/>
      <c r="U30" s="10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36"/>
      <c r="G31" s="36"/>
      <c r="H31" s="4" t="str">
        <f aca="false">IF(OR(F31="",G31=""),"",DATEDIF(F31,G31+1,"y")&amp;"年"&amp;DATEDIF(F31,G31+1,"ym")&amp;"個月")</f>
        <v/>
      </c>
      <c r="I31" s="4" t="str">
        <f aca="true">IF(G31="","",IF(G31&lt;TODAY(),"已到期",IF(G31-TODAY()&lt;=60,"60日內到期（"&amp;(G31-TODAY())&amp;"日）","")))</f>
        <v/>
      </c>
      <c r="J31" s="10"/>
      <c r="K31" s="52"/>
      <c r="L31" s="10"/>
      <c r="M31" s="10"/>
      <c r="N31" s="10"/>
      <c r="O31" s="10"/>
      <c r="P31" s="36"/>
      <c r="Q31" s="10"/>
      <c r="R31" s="36"/>
      <c r="S31" s="10"/>
      <c r="T31" s="10"/>
      <c r="U31" s="10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36"/>
      <c r="G32" s="36"/>
      <c r="H32" s="4" t="str">
        <f aca="false">IF(OR(F32="",G32=""),"",DATEDIF(F32,G32+1,"y")&amp;"年"&amp;DATEDIF(F32,G32+1,"ym")&amp;"個月")</f>
        <v/>
      </c>
      <c r="I32" s="4" t="str">
        <f aca="true">IF(G32="","",IF(G32&lt;TODAY(),"已到期",IF(G32-TODAY()&lt;=60,"60日內到期（"&amp;(G32-TODAY())&amp;"日）","")))</f>
        <v/>
      </c>
      <c r="J32" s="10"/>
      <c r="K32" s="52"/>
      <c r="L32" s="10"/>
      <c r="M32" s="10"/>
      <c r="N32" s="10"/>
      <c r="O32" s="10"/>
      <c r="P32" s="36"/>
      <c r="Q32" s="10"/>
      <c r="R32" s="36"/>
      <c r="S32" s="10"/>
      <c r="T32" s="10"/>
      <c r="U32" s="10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36"/>
      <c r="G33" s="36"/>
      <c r="H33" s="4" t="str">
        <f aca="false">IF(OR(F33="",G33=""),"",DATEDIF(F33,G33+1,"y")&amp;"年"&amp;DATEDIF(F33,G33+1,"ym")&amp;"個月")</f>
        <v/>
      </c>
      <c r="I33" s="4" t="str">
        <f aca="true">IF(G33="","",IF(G33&lt;TODAY(),"已到期",IF(G33-TODAY()&lt;=60,"60日內到期（"&amp;(G33-TODAY())&amp;"日）","")))</f>
        <v/>
      </c>
      <c r="J33" s="10"/>
      <c r="K33" s="52"/>
      <c r="L33" s="10"/>
      <c r="M33" s="10"/>
      <c r="N33" s="10"/>
      <c r="O33" s="10"/>
      <c r="P33" s="36"/>
      <c r="Q33" s="10"/>
      <c r="R33" s="36"/>
      <c r="S33" s="10"/>
      <c r="T33" s="10"/>
      <c r="U33" s="10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36"/>
      <c r="G34" s="36"/>
      <c r="H34" s="4" t="str">
        <f aca="false">IF(OR(F34="",G34=""),"",DATEDIF(F34,G34+1,"y")&amp;"年"&amp;DATEDIF(F34,G34+1,"ym")&amp;"個月")</f>
        <v/>
      </c>
      <c r="I34" s="4" t="str">
        <f aca="true">IF(G34="","",IF(G34&lt;TODAY(),"已到期",IF(G34-TODAY()&lt;=60,"60日內到期（"&amp;(G34-TODAY())&amp;"日）","")))</f>
        <v/>
      </c>
      <c r="J34" s="10"/>
      <c r="K34" s="52"/>
      <c r="L34" s="10"/>
      <c r="M34" s="10"/>
      <c r="N34" s="10"/>
      <c r="O34" s="10"/>
      <c r="P34" s="36"/>
      <c r="Q34" s="10"/>
      <c r="R34" s="36"/>
      <c r="S34" s="10"/>
      <c r="T34" s="10"/>
      <c r="U34" s="10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36"/>
      <c r="G35" s="36"/>
      <c r="H35" s="4" t="str">
        <f aca="false">IF(OR(F35="",G35=""),"",DATEDIF(F35,G35+1,"y")&amp;"年"&amp;DATEDIF(F35,G35+1,"ym")&amp;"個月")</f>
        <v/>
      </c>
      <c r="I35" s="4" t="str">
        <f aca="true">IF(G35="","",IF(G35&lt;TODAY(),"已到期",IF(G35-TODAY()&lt;=60,"60日內到期（"&amp;(G35-TODAY())&amp;"日）","")))</f>
        <v/>
      </c>
      <c r="J35" s="10"/>
      <c r="K35" s="52"/>
      <c r="L35" s="10"/>
      <c r="M35" s="10"/>
      <c r="N35" s="10"/>
      <c r="O35" s="10"/>
      <c r="P35" s="36"/>
      <c r="Q35" s="10"/>
      <c r="R35" s="36"/>
      <c r="S35" s="10"/>
      <c r="T35" s="10"/>
      <c r="U35" s="10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36"/>
      <c r="G36" s="36"/>
      <c r="H36" s="4" t="str">
        <f aca="false">IF(OR(F36="",G36=""),"",DATEDIF(F36,G36+1,"y")&amp;"年"&amp;DATEDIF(F36,G36+1,"ym")&amp;"個月")</f>
        <v/>
      </c>
      <c r="I36" s="4" t="str">
        <f aca="true">IF(G36="","",IF(G36&lt;TODAY(),"已到期",IF(G36-TODAY()&lt;=60,"60日內到期（"&amp;(G36-TODAY())&amp;"日）","")))</f>
        <v/>
      </c>
      <c r="J36" s="10"/>
      <c r="K36" s="52"/>
      <c r="L36" s="10"/>
      <c r="M36" s="10"/>
      <c r="N36" s="10"/>
      <c r="O36" s="10"/>
      <c r="P36" s="36"/>
      <c r="Q36" s="10"/>
      <c r="R36" s="36"/>
      <c r="S36" s="10"/>
      <c r="T36" s="10"/>
      <c r="U36" s="10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36"/>
      <c r="G37" s="36"/>
      <c r="H37" s="4" t="str">
        <f aca="false">IF(OR(F37="",G37=""),"",DATEDIF(F37,G37+1,"y")&amp;"年"&amp;DATEDIF(F37,G37+1,"ym")&amp;"個月")</f>
        <v/>
      </c>
      <c r="I37" s="4" t="str">
        <f aca="true">IF(G37="","",IF(G37&lt;TODAY(),"已到期",IF(G37-TODAY()&lt;=60,"60日內到期（"&amp;(G37-TODAY())&amp;"日）","")))</f>
        <v/>
      </c>
      <c r="J37" s="10"/>
      <c r="K37" s="52"/>
      <c r="L37" s="10"/>
      <c r="M37" s="10"/>
      <c r="N37" s="10"/>
      <c r="O37" s="10"/>
      <c r="P37" s="36"/>
      <c r="Q37" s="10"/>
      <c r="R37" s="36"/>
      <c r="S37" s="10"/>
      <c r="T37" s="10"/>
      <c r="U37" s="10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36"/>
      <c r="G38" s="36"/>
      <c r="H38" s="4" t="str">
        <f aca="false">IF(OR(F38="",G38=""),"",DATEDIF(F38,G38+1,"y")&amp;"年"&amp;DATEDIF(F38,G38+1,"ym")&amp;"個月")</f>
        <v/>
      </c>
      <c r="I38" s="4" t="str">
        <f aca="true">IF(G38="","",IF(G38&lt;TODAY(),"已到期",IF(G38-TODAY()&lt;=60,"60日內到期（"&amp;(G38-TODAY())&amp;"日）","")))</f>
        <v/>
      </c>
      <c r="J38" s="10"/>
      <c r="K38" s="52"/>
      <c r="L38" s="10"/>
      <c r="M38" s="10"/>
      <c r="N38" s="10"/>
      <c r="O38" s="10"/>
      <c r="P38" s="36"/>
      <c r="Q38" s="10"/>
      <c r="R38" s="36"/>
      <c r="S38" s="10"/>
      <c r="T38" s="10"/>
      <c r="U38" s="10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36"/>
      <c r="G39" s="36"/>
      <c r="H39" s="4" t="str">
        <f aca="false">IF(OR(F39="",G39=""),"",DATEDIF(F39,G39+1,"y")&amp;"年"&amp;DATEDIF(F39,G39+1,"ym")&amp;"個月")</f>
        <v/>
      </c>
      <c r="I39" s="4" t="str">
        <f aca="true">IF(G39="","",IF(G39&lt;TODAY(),"已到期",IF(G39-TODAY()&lt;=60,"60日內到期（"&amp;(G39-TODAY())&amp;"日）","")))</f>
        <v/>
      </c>
      <c r="J39" s="10"/>
      <c r="K39" s="52"/>
      <c r="L39" s="10"/>
      <c r="M39" s="10"/>
      <c r="N39" s="10"/>
      <c r="O39" s="10"/>
      <c r="P39" s="36"/>
      <c r="Q39" s="10"/>
      <c r="R39" s="36"/>
      <c r="S39" s="10"/>
      <c r="T39" s="10"/>
      <c r="U39" s="10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36"/>
      <c r="G40" s="36"/>
      <c r="H40" s="4" t="str">
        <f aca="false">IF(OR(F40="",G40=""),"",DATEDIF(F40,G40+1,"y")&amp;"年"&amp;DATEDIF(F40,G40+1,"ym")&amp;"個月")</f>
        <v/>
      </c>
      <c r="I40" s="4" t="str">
        <f aca="true">IF(G40="","",IF(G40&lt;TODAY(),"已到期",IF(G40-TODAY()&lt;=60,"60日內到期（"&amp;(G40-TODAY())&amp;"日）","")))</f>
        <v/>
      </c>
      <c r="J40" s="10"/>
      <c r="K40" s="52"/>
      <c r="L40" s="10"/>
      <c r="M40" s="10"/>
      <c r="N40" s="10"/>
      <c r="O40" s="10"/>
      <c r="P40" s="36"/>
      <c r="Q40" s="10"/>
      <c r="R40" s="36"/>
      <c r="S40" s="10"/>
      <c r="T40" s="10"/>
      <c r="U40" s="10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36"/>
      <c r="G41" s="36"/>
      <c r="H41" s="4" t="str">
        <f aca="false">IF(OR(F41="",G41=""),"",DATEDIF(F41,G41+1,"y")&amp;"年"&amp;DATEDIF(F41,G41+1,"ym")&amp;"個月")</f>
        <v/>
      </c>
      <c r="I41" s="4" t="str">
        <f aca="true">IF(G41="","",IF(G41&lt;TODAY(),"已到期",IF(G41-TODAY()&lt;=60,"60日內到期（"&amp;(G41-TODAY())&amp;"日）","")))</f>
        <v/>
      </c>
      <c r="J41" s="10"/>
      <c r="K41" s="52"/>
      <c r="L41" s="10"/>
      <c r="M41" s="10"/>
      <c r="N41" s="10"/>
      <c r="O41" s="10"/>
      <c r="P41" s="36"/>
      <c r="Q41" s="10"/>
      <c r="R41" s="36"/>
      <c r="S41" s="10"/>
      <c r="T41" s="10"/>
      <c r="U41" s="10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36"/>
      <c r="G42" s="36"/>
      <c r="H42" s="4" t="str">
        <f aca="false">IF(OR(F42="",G42=""),"",DATEDIF(F42,G42+1,"y")&amp;"年"&amp;DATEDIF(F42,G42+1,"ym")&amp;"個月")</f>
        <v/>
      </c>
      <c r="I42" s="4" t="str">
        <f aca="true">IF(G42="","",IF(G42&lt;TODAY(),"已到期",IF(G42-TODAY()&lt;=60,"60日內到期（"&amp;(G42-TODAY())&amp;"日）","")))</f>
        <v/>
      </c>
      <c r="J42" s="10"/>
      <c r="K42" s="52"/>
      <c r="L42" s="10"/>
      <c r="M42" s="10"/>
      <c r="N42" s="10"/>
      <c r="O42" s="10"/>
      <c r="P42" s="36"/>
      <c r="Q42" s="10"/>
      <c r="R42" s="36"/>
      <c r="S42" s="10"/>
      <c r="T42" s="10"/>
      <c r="U42" s="10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36"/>
      <c r="G43" s="36"/>
      <c r="H43" s="4" t="str">
        <f aca="false">IF(OR(F43="",G43=""),"",DATEDIF(F43,G43+1,"y")&amp;"年"&amp;DATEDIF(F43,G43+1,"ym")&amp;"個月")</f>
        <v/>
      </c>
      <c r="I43" s="4" t="str">
        <f aca="true">IF(G43="","",IF(G43&lt;TODAY(),"已到期",IF(G43-TODAY()&lt;=60,"60日內到期（"&amp;(G43-TODAY())&amp;"日）","")))</f>
        <v/>
      </c>
      <c r="J43" s="10"/>
      <c r="K43" s="52"/>
      <c r="L43" s="10"/>
      <c r="M43" s="10"/>
      <c r="N43" s="10"/>
      <c r="O43" s="10"/>
      <c r="P43" s="36"/>
      <c r="Q43" s="10"/>
      <c r="R43" s="36"/>
      <c r="S43" s="10"/>
      <c r="T43" s="10"/>
      <c r="U43" s="10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36"/>
      <c r="G44" s="36"/>
      <c r="H44" s="4" t="str">
        <f aca="false">IF(OR(F44="",G44=""),"",DATEDIF(F44,G44+1,"y")&amp;"年"&amp;DATEDIF(F44,G44+1,"ym")&amp;"個月")</f>
        <v/>
      </c>
      <c r="I44" s="4" t="str">
        <f aca="true">IF(G44="","",IF(G44&lt;TODAY(),"已到期",IF(G44-TODAY()&lt;=60,"60日內到期（"&amp;(G44-TODAY())&amp;"日）","")))</f>
        <v/>
      </c>
      <c r="J44" s="10"/>
      <c r="K44" s="52"/>
      <c r="L44" s="10"/>
      <c r="M44" s="10"/>
      <c r="N44" s="10"/>
      <c r="O44" s="10"/>
      <c r="P44" s="36"/>
      <c r="Q44" s="10"/>
      <c r="R44" s="36"/>
      <c r="S44" s="10"/>
      <c r="T44" s="10"/>
      <c r="U44" s="10"/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36"/>
      <c r="G45" s="36"/>
      <c r="H45" s="4" t="str">
        <f aca="false">IF(OR(F45="",G45=""),"",DATEDIF(F45,G45+1,"y")&amp;"年"&amp;DATEDIF(F45,G45+1,"ym")&amp;"個月")</f>
        <v/>
      </c>
      <c r="I45" s="4" t="str">
        <f aca="true">IF(G45="","",IF(G45&lt;TODAY(),"已到期",IF(G45-TODAY()&lt;=60,"60日內到期（"&amp;(G45-TODAY())&amp;"日）","")))</f>
        <v/>
      </c>
      <c r="J45" s="10"/>
      <c r="K45" s="52"/>
      <c r="L45" s="10"/>
      <c r="M45" s="10"/>
      <c r="N45" s="10"/>
      <c r="O45" s="10"/>
      <c r="P45" s="36"/>
      <c r="Q45" s="10"/>
      <c r="R45" s="36"/>
      <c r="S45" s="10"/>
      <c r="T45" s="10"/>
      <c r="U45" s="10"/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36"/>
      <c r="G46" s="36"/>
      <c r="H46" s="4" t="str">
        <f aca="false">IF(OR(F46="",G46=""),"",DATEDIF(F46,G46+1,"y")&amp;"年"&amp;DATEDIF(F46,G46+1,"ym")&amp;"個月")</f>
        <v/>
      </c>
      <c r="I46" s="4" t="str">
        <f aca="true">IF(G46="","",IF(G46&lt;TODAY(),"已到期",IF(G46-TODAY()&lt;=60,"60日內到期（"&amp;(G46-TODAY())&amp;"日）","")))</f>
        <v/>
      </c>
      <c r="J46" s="10"/>
      <c r="K46" s="52"/>
      <c r="L46" s="10"/>
      <c r="M46" s="10"/>
      <c r="N46" s="10"/>
      <c r="O46" s="10"/>
      <c r="P46" s="36"/>
      <c r="Q46" s="10"/>
      <c r="R46" s="36"/>
      <c r="S46" s="10"/>
      <c r="T46" s="10"/>
      <c r="U46" s="10"/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36"/>
      <c r="G47" s="36"/>
      <c r="H47" s="4" t="str">
        <f aca="false">IF(OR(F47="",G47=""),"",DATEDIF(F47,G47+1,"y")&amp;"年"&amp;DATEDIF(F47,G47+1,"ym")&amp;"個月")</f>
        <v/>
      </c>
      <c r="I47" s="4" t="str">
        <f aca="true">IF(G47="","",IF(G47&lt;TODAY(),"已到期",IF(G47-TODAY()&lt;=60,"60日內到期（"&amp;(G47-TODAY())&amp;"日）","")))</f>
        <v/>
      </c>
      <c r="J47" s="10"/>
      <c r="K47" s="52"/>
      <c r="L47" s="10"/>
      <c r="M47" s="10"/>
      <c r="N47" s="10"/>
      <c r="O47" s="10"/>
      <c r="P47" s="36"/>
      <c r="Q47" s="10"/>
      <c r="R47" s="36"/>
      <c r="S47" s="10"/>
      <c r="T47" s="10"/>
      <c r="U47" s="10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36"/>
      <c r="G48" s="36"/>
      <c r="H48" s="4" t="str">
        <f aca="false">IF(OR(F48="",G48=""),"",DATEDIF(F48,G48+1,"y")&amp;"年"&amp;DATEDIF(F48,G48+1,"ym")&amp;"個月")</f>
        <v/>
      </c>
      <c r="I48" s="4" t="str">
        <f aca="true">IF(G48="","",IF(G48&lt;TODAY(),"已到期",IF(G48-TODAY()&lt;=60,"60日內到期（"&amp;(G48-TODAY())&amp;"日）","")))</f>
        <v/>
      </c>
      <c r="J48" s="10"/>
      <c r="K48" s="52"/>
      <c r="L48" s="10"/>
      <c r="M48" s="10"/>
      <c r="N48" s="10"/>
      <c r="O48" s="10"/>
      <c r="P48" s="36"/>
      <c r="Q48" s="10"/>
      <c r="R48" s="36"/>
      <c r="S48" s="10"/>
      <c r="T48" s="10"/>
      <c r="U48" s="10"/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36"/>
      <c r="G49" s="36"/>
      <c r="H49" s="4" t="str">
        <f aca="false">IF(OR(F49="",G49=""),"",DATEDIF(F49,G49+1,"y")&amp;"年"&amp;DATEDIF(F49,G49+1,"ym")&amp;"個月")</f>
        <v/>
      </c>
      <c r="I49" s="4" t="str">
        <f aca="true">IF(G49="","",IF(G49&lt;TODAY(),"已到期",IF(G49-TODAY()&lt;=60,"60日內到期（"&amp;(G49-TODAY())&amp;"日）","")))</f>
        <v/>
      </c>
      <c r="J49" s="10"/>
      <c r="K49" s="52"/>
      <c r="L49" s="10"/>
      <c r="M49" s="10"/>
      <c r="N49" s="10"/>
      <c r="O49" s="10"/>
      <c r="P49" s="36"/>
      <c r="Q49" s="10"/>
      <c r="R49" s="36"/>
      <c r="S49" s="10"/>
      <c r="T49" s="10"/>
      <c r="U49" s="10"/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36"/>
      <c r="G50" s="36"/>
      <c r="H50" s="4" t="str">
        <f aca="false">IF(OR(F50="",G50=""),"",DATEDIF(F50,G50+1,"y")&amp;"年"&amp;DATEDIF(F50,G50+1,"ym")&amp;"個月")</f>
        <v/>
      </c>
      <c r="I50" s="4" t="str">
        <f aca="true">IF(G50="","",IF(G50&lt;TODAY(),"已到期",IF(G50-TODAY()&lt;=60,"60日內到期（"&amp;(G50-TODAY())&amp;"日）","")))</f>
        <v/>
      </c>
      <c r="J50" s="10"/>
      <c r="K50" s="52"/>
      <c r="L50" s="10"/>
      <c r="M50" s="10"/>
      <c r="N50" s="10"/>
      <c r="O50" s="10"/>
      <c r="P50" s="36"/>
      <c r="Q50" s="10"/>
      <c r="R50" s="36"/>
      <c r="S50" s="10"/>
      <c r="T50" s="10"/>
      <c r="U50" s="10"/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36"/>
      <c r="G51" s="36"/>
      <c r="H51" s="4" t="str">
        <f aca="false">IF(OR(F51="",G51=""),"",DATEDIF(F51,G51+1,"y")&amp;"年"&amp;DATEDIF(F51,G51+1,"ym")&amp;"個月")</f>
        <v/>
      </c>
      <c r="I51" s="4" t="str">
        <f aca="true">IF(G51="","",IF(G51&lt;TODAY(),"已到期",IF(G51-TODAY()&lt;=60,"60日內到期（"&amp;(G51-TODAY())&amp;"日）","")))</f>
        <v/>
      </c>
      <c r="J51" s="10"/>
      <c r="K51" s="52"/>
      <c r="L51" s="10"/>
      <c r="M51" s="10"/>
      <c r="N51" s="10"/>
      <c r="O51" s="10"/>
      <c r="P51" s="36"/>
      <c r="Q51" s="10"/>
      <c r="R51" s="36"/>
      <c r="S51" s="10"/>
      <c r="T51" s="10"/>
      <c r="U51" s="10"/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36"/>
      <c r="G52" s="36"/>
      <c r="H52" s="4" t="str">
        <f aca="false">IF(OR(F52="",G52=""),"",DATEDIF(F52,G52+1,"y")&amp;"年"&amp;DATEDIF(F52,G52+1,"ym")&amp;"個月")</f>
        <v/>
      </c>
      <c r="I52" s="4" t="str">
        <f aca="true">IF(G52="","",IF(G52&lt;TODAY(),"已到期",IF(G52-TODAY()&lt;=60,"60日內到期（"&amp;(G52-TODAY())&amp;"日）","")))</f>
        <v/>
      </c>
      <c r="J52" s="10"/>
      <c r="K52" s="52"/>
      <c r="L52" s="10"/>
      <c r="M52" s="10"/>
      <c r="N52" s="10"/>
      <c r="O52" s="10"/>
      <c r="P52" s="36"/>
      <c r="Q52" s="10"/>
      <c r="R52" s="36"/>
      <c r="S52" s="10"/>
      <c r="T52" s="10"/>
      <c r="U52" s="10"/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36"/>
      <c r="G53" s="36"/>
      <c r="H53" s="4" t="str">
        <f aca="false">IF(OR(F53="",G53=""),"",DATEDIF(F53,G53+1,"y")&amp;"年"&amp;DATEDIF(F53,G53+1,"ym")&amp;"個月")</f>
        <v/>
      </c>
      <c r="I53" s="4" t="str">
        <f aca="true">IF(G53="","",IF(G53&lt;TODAY(),"已到期",IF(G53-TODAY()&lt;=60,"60日內到期（"&amp;(G53-TODAY())&amp;"日）","")))</f>
        <v/>
      </c>
      <c r="J53" s="10"/>
      <c r="K53" s="52"/>
      <c r="L53" s="10"/>
      <c r="M53" s="10"/>
      <c r="N53" s="10"/>
      <c r="O53" s="10"/>
      <c r="P53" s="36"/>
      <c r="Q53" s="10"/>
      <c r="R53" s="36"/>
      <c r="S53" s="10"/>
      <c r="T53" s="10"/>
      <c r="U53" s="10"/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36"/>
      <c r="G54" s="36"/>
      <c r="H54" s="4" t="str">
        <f aca="false">IF(OR(F54="",G54=""),"",DATEDIF(F54,G54+1,"y")&amp;"年"&amp;DATEDIF(F54,G54+1,"ym")&amp;"個月")</f>
        <v/>
      </c>
      <c r="I54" s="4" t="str">
        <f aca="true">IF(G54="","",IF(G54&lt;TODAY(),"已到期",IF(G54-TODAY()&lt;=60,"60日內到期（"&amp;(G54-TODAY())&amp;"日）","")))</f>
        <v/>
      </c>
      <c r="J54" s="10"/>
      <c r="K54" s="52"/>
      <c r="L54" s="10"/>
      <c r="M54" s="10"/>
      <c r="N54" s="10"/>
      <c r="O54" s="10"/>
      <c r="P54" s="36"/>
      <c r="Q54" s="10"/>
      <c r="R54" s="36"/>
      <c r="S54" s="10"/>
      <c r="T54" s="10"/>
      <c r="U54" s="10"/>
    </row>
    <row r="55" customFormat="false" ht="15" hidden="false" customHeight="false" outlineLevel="0" collapsed="false">
      <c r="A55" s="10"/>
      <c r="B55" s="10"/>
      <c r="C55" s="10"/>
      <c r="D55" s="10"/>
      <c r="E55" s="10"/>
      <c r="F55" s="36"/>
      <c r="G55" s="36"/>
      <c r="H55" s="4" t="str">
        <f aca="false">IF(OR(F55="",G55=""),"",DATEDIF(F55,G55+1,"y")&amp;"年"&amp;DATEDIF(F55,G55+1,"ym")&amp;"個月")</f>
        <v/>
      </c>
      <c r="I55" s="4" t="str">
        <f aca="true">IF(G55="","",IF(G55&lt;TODAY(),"已到期",IF(G55-TODAY()&lt;=60,"60日內到期（"&amp;(G55-TODAY())&amp;"日）","")))</f>
        <v/>
      </c>
      <c r="J55" s="10"/>
      <c r="K55" s="52"/>
      <c r="L55" s="10"/>
      <c r="M55" s="10"/>
      <c r="N55" s="10"/>
      <c r="O55" s="10"/>
      <c r="P55" s="36"/>
      <c r="Q55" s="10"/>
      <c r="R55" s="36"/>
      <c r="S55" s="10"/>
      <c r="T55" s="10"/>
      <c r="U55" s="10"/>
    </row>
    <row r="56" customFormat="false" ht="15" hidden="false" customHeight="false" outlineLevel="0" collapsed="false">
      <c r="A56" s="10"/>
      <c r="B56" s="10"/>
      <c r="C56" s="10"/>
      <c r="D56" s="10"/>
      <c r="E56" s="10"/>
      <c r="F56" s="36"/>
      <c r="G56" s="36"/>
      <c r="H56" s="4" t="str">
        <f aca="false">IF(OR(F56="",G56=""),"",DATEDIF(F56,G56+1,"y")&amp;"年"&amp;DATEDIF(F56,G56+1,"ym")&amp;"個月")</f>
        <v/>
      </c>
      <c r="I56" s="4" t="str">
        <f aca="true">IF(G56="","",IF(G56&lt;TODAY(),"已到期",IF(G56-TODAY()&lt;=60,"60日內到期（"&amp;(G56-TODAY())&amp;"日）","")))</f>
        <v/>
      </c>
      <c r="J56" s="10"/>
      <c r="K56" s="52"/>
      <c r="L56" s="10"/>
      <c r="M56" s="10"/>
      <c r="N56" s="10"/>
      <c r="O56" s="10"/>
      <c r="P56" s="36"/>
      <c r="Q56" s="10"/>
      <c r="R56" s="36"/>
      <c r="S56" s="10"/>
      <c r="T56" s="10"/>
      <c r="U56" s="10"/>
    </row>
    <row r="57" customFormat="false" ht="15" hidden="false" customHeight="false" outlineLevel="0" collapsed="false">
      <c r="A57" s="10"/>
      <c r="B57" s="10"/>
      <c r="C57" s="10"/>
      <c r="D57" s="10"/>
      <c r="E57" s="10"/>
      <c r="F57" s="36"/>
      <c r="G57" s="36"/>
      <c r="H57" s="4" t="str">
        <f aca="false">IF(OR(F57="",G57=""),"",DATEDIF(F57,G57+1,"y")&amp;"年"&amp;DATEDIF(F57,G57+1,"ym")&amp;"個月")</f>
        <v/>
      </c>
      <c r="I57" s="4" t="str">
        <f aca="true">IF(G57="","",IF(G57&lt;TODAY(),"已到期",IF(G57-TODAY()&lt;=60,"60日內到期（"&amp;(G57-TODAY())&amp;"日）","")))</f>
        <v/>
      </c>
      <c r="J57" s="10"/>
      <c r="K57" s="52"/>
      <c r="L57" s="10"/>
      <c r="M57" s="10"/>
      <c r="N57" s="10"/>
      <c r="O57" s="10"/>
      <c r="P57" s="36"/>
      <c r="Q57" s="10"/>
      <c r="R57" s="36"/>
      <c r="S57" s="10"/>
      <c r="T57" s="10"/>
      <c r="U57" s="10"/>
    </row>
    <row r="58" customFormat="false" ht="15" hidden="false" customHeight="false" outlineLevel="0" collapsed="false">
      <c r="A58" s="10"/>
      <c r="B58" s="10"/>
      <c r="C58" s="10"/>
      <c r="D58" s="10"/>
      <c r="E58" s="10"/>
      <c r="F58" s="36"/>
      <c r="G58" s="36"/>
      <c r="H58" s="4" t="str">
        <f aca="false">IF(OR(F58="",G58=""),"",DATEDIF(F58,G58+1,"y")&amp;"年"&amp;DATEDIF(F58,G58+1,"ym")&amp;"個月")</f>
        <v/>
      </c>
      <c r="I58" s="4" t="str">
        <f aca="true">IF(G58="","",IF(G58&lt;TODAY(),"已到期",IF(G58-TODAY()&lt;=60,"60日內到期（"&amp;(G58-TODAY())&amp;"日）","")))</f>
        <v/>
      </c>
      <c r="J58" s="10"/>
      <c r="K58" s="52"/>
      <c r="L58" s="10"/>
      <c r="M58" s="10"/>
      <c r="N58" s="10"/>
      <c r="O58" s="10"/>
      <c r="P58" s="36"/>
      <c r="Q58" s="10"/>
      <c r="R58" s="36"/>
      <c r="S58" s="10"/>
      <c r="T58" s="10"/>
      <c r="U58" s="10"/>
    </row>
    <row r="59" customFormat="false" ht="15" hidden="false" customHeight="false" outlineLevel="0" collapsed="false">
      <c r="A59" s="10"/>
      <c r="B59" s="10"/>
      <c r="C59" s="10"/>
      <c r="D59" s="10"/>
      <c r="E59" s="10"/>
      <c r="F59" s="36"/>
      <c r="G59" s="36"/>
      <c r="H59" s="4" t="str">
        <f aca="false">IF(OR(F59="",G59=""),"",DATEDIF(F59,G59+1,"y")&amp;"年"&amp;DATEDIF(F59,G59+1,"ym")&amp;"個月")</f>
        <v/>
      </c>
      <c r="I59" s="4" t="str">
        <f aca="true">IF(G59="","",IF(G59&lt;TODAY(),"已到期",IF(G59-TODAY()&lt;=60,"60日內到期（"&amp;(G59-TODAY())&amp;"日）","")))</f>
        <v/>
      </c>
      <c r="J59" s="10"/>
      <c r="K59" s="52"/>
      <c r="L59" s="10"/>
      <c r="M59" s="10"/>
      <c r="N59" s="10"/>
      <c r="O59" s="10"/>
      <c r="P59" s="36"/>
      <c r="Q59" s="10"/>
      <c r="R59" s="36"/>
      <c r="S59" s="10"/>
      <c r="T59" s="10"/>
      <c r="U59" s="10"/>
    </row>
    <row r="60" customFormat="false" ht="15" hidden="false" customHeight="false" outlineLevel="0" collapsed="false">
      <c r="A60" s="10"/>
      <c r="B60" s="10"/>
      <c r="C60" s="10"/>
      <c r="D60" s="10"/>
      <c r="E60" s="10"/>
      <c r="F60" s="36"/>
      <c r="G60" s="36"/>
      <c r="H60" s="4" t="str">
        <f aca="false">IF(OR(F60="",G60=""),"",DATEDIF(F60,G60+1,"y")&amp;"年"&amp;DATEDIF(F60,G60+1,"ym")&amp;"個月")</f>
        <v/>
      </c>
      <c r="I60" s="4" t="str">
        <f aca="true">IF(G60="","",IF(G60&lt;TODAY(),"已到期",IF(G60-TODAY()&lt;=60,"60日內到期（"&amp;(G60-TODAY())&amp;"日）","")))</f>
        <v/>
      </c>
      <c r="J60" s="10"/>
      <c r="K60" s="52"/>
      <c r="L60" s="10"/>
      <c r="M60" s="10"/>
      <c r="N60" s="10"/>
      <c r="O60" s="10"/>
      <c r="P60" s="36"/>
      <c r="Q60" s="10"/>
      <c r="R60" s="36"/>
      <c r="S60" s="10"/>
      <c r="T60" s="10"/>
      <c r="U60" s="10"/>
    </row>
    <row r="61" customFormat="false" ht="15" hidden="false" customHeight="false" outlineLevel="0" collapsed="false">
      <c r="A61" s="10"/>
      <c r="B61" s="10"/>
      <c r="C61" s="10"/>
      <c r="D61" s="10"/>
      <c r="E61" s="10"/>
      <c r="F61" s="36"/>
      <c r="G61" s="36"/>
      <c r="H61" s="4" t="str">
        <f aca="false">IF(OR(F61="",G61=""),"",DATEDIF(F61,G61+1,"y")&amp;"年"&amp;DATEDIF(F61,G61+1,"ym")&amp;"個月")</f>
        <v/>
      </c>
      <c r="I61" s="4" t="str">
        <f aca="true">IF(G61="","",IF(G61&lt;TODAY(),"已到期",IF(G61-TODAY()&lt;=60,"60日內到期（"&amp;(G61-TODAY())&amp;"日）","")))</f>
        <v/>
      </c>
      <c r="J61" s="10"/>
      <c r="K61" s="52"/>
      <c r="L61" s="10"/>
      <c r="M61" s="10"/>
      <c r="N61" s="10"/>
      <c r="O61" s="10"/>
      <c r="P61" s="36"/>
      <c r="Q61" s="10"/>
      <c r="R61" s="36"/>
      <c r="S61" s="10"/>
      <c r="T61" s="10"/>
      <c r="U61" s="10"/>
    </row>
    <row r="62" customFormat="false" ht="15" hidden="false" customHeight="false" outlineLevel="0" collapsed="false">
      <c r="A62" s="10"/>
      <c r="B62" s="10"/>
      <c r="C62" s="10"/>
      <c r="D62" s="10"/>
      <c r="E62" s="10"/>
      <c r="F62" s="36"/>
      <c r="G62" s="36"/>
      <c r="H62" s="4" t="str">
        <f aca="false">IF(OR(F62="",G62=""),"",DATEDIF(F62,G62+1,"y")&amp;"年"&amp;DATEDIF(F62,G62+1,"ym")&amp;"個月")</f>
        <v/>
      </c>
      <c r="I62" s="4" t="str">
        <f aca="true">IF(G62="","",IF(G62&lt;TODAY(),"已到期",IF(G62-TODAY()&lt;=60,"60日內到期（"&amp;(G62-TODAY())&amp;"日）","")))</f>
        <v/>
      </c>
      <c r="J62" s="10"/>
      <c r="K62" s="52"/>
      <c r="L62" s="10"/>
      <c r="M62" s="10"/>
      <c r="N62" s="10"/>
      <c r="O62" s="10"/>
      <c r="P62" s="36"/>
      <c r="Q62" s="10"/>
      <c r="R62" s="36"/>
      <c r="S62" s="10"/>
      <c r="T62" s="10"/>
      <c r="U62" s="10"/>
    </row>
    <row r="63" customFormat="false" ht="15" hidden="false" customHeight="false" outlineLevel="0" collapsed="false">
      <c r="A63" s="10"/>
      <c r="B63" s="10"/>
      <c r="C63" s="10"/>
      <c r="D63" s="10"/>
      <c r="E63" s="10"/>
      <c r="F63" s="36"/>
      <c r="G63" s="36"/>
      <c r="H63" s="4" t="str">
        <f aca="false">IF(OR(F63="",G63=""),"",DATEDIF(F63,G63+1,"y")&amp;"年"&amp;DATEDIF(F63,G63+1,"ym")&amp;"個月")</f>
        <v/>
      </c>
      <c r="I63" s="4" t="str">
        <f aca="true">IF(G63="","",IF(G63&lt;TODAY(),"已到期",IF(G63-TODAY()&lt;=60,"60日內到期（"&amp;(G63-TODAY())&amp;"日）","")))</f>
        <v/>
      </c>
      <c r="J63" s="10"/>
      <c r="K63" s="52"/>
      <c r="L63" s="10"/>
      <c r="M63" s="10"/>
      <c r="N63" s="10"/>
      <c r="O63" s="10"/>
      <c r="P63" s="36"/>
      <c r="Q63" s="10"/>
      <c r="R63" s="36"/>
      <c r="S63" s="10"/>
      <c r="T63" s="10"/>
      <c r="U63" s="10"/>
    </row>
    <row r="64" customFormat="false" ht="15" hidden="false" customHeight="false" outlineLevel="0" collapsed="false">
      <c r="A64" s="10"/>
      <c r="B64" s="10"/>
      <c r="C64" s="10"/>
      <c r="D64" s="10"/>
      <c r="E64" s="10"/>
      <c r="F64" s="36"/>
      <c r="G64" s="36"/>
      <c r="H64" s="4" t="str">
        <f aca="false">IF(OR(F64="",G64=""),"",DATEDIF(F64,G64+1,"y")&amp;"年"&amp;DATEDIF(F64,G64+1,"ym")&amp;"個月")</f>
        <v/>
      </c>
      <c r="I64" s="4" t="str">
        <f aca="true">IF(G64="","",IF(G64&lt;TODAY(),"已到期",IF(G64-TODAY()&lt;=60,"60日內到期（"&amp;(G64-TODAY())&amp;"日）","")))</f>
        <v/>
      </c>
      <c r="J64" s="10"/>
      <c r="K64" s="52"/>
      <c r="L64" s="10"/>
      <c r="M64" s="10"/>
      <c r="N64" s="10"/>
      <c r="O64" s="10"/>
      <c r="P64" s="36"/>
      <c r="Q64" s="10"/>
      <c r="R64" s="36"/>
      <c r="S64" s="10"/>
      <c r="T64" s="10"/>
      <c r="U64" s="10"/>
    </row>
    <row r="65" customFormat="false" ht="15" hidden="false" customHeight="false" outlineLevel="0" collapsed="false">
      <c r="A65" s="10"/>
      <c r="B65" s="10"/>
      <c r="C65" s="10"/>
      <c r="D65" s="10"/>
      <c r="E65" s="10"/>
      <c r="F65" s="36"/>
      <c r="G65" s="36"/>
      <c r="H65" s="4" t="str">
        <f aca="false">IF(OR(F65="",G65=""),"",DATEDIF(F65,G65+1,"y")&amp;"年"&amp;DATEDIF(F65,G65+1,"ym")&amp;"個月")</f>
        <v/>
      </c>
      <c r="I65" s="4" t="str">
        <f aca="true">IF(G65="","",IF(G65&lt;TODAY(),"已到期",IF(G65-TODAY()&lt;=60,"60日內到期（"&amp;(G65-TODAY())&amp;"日）","")))</f>
        <v/>
      </c>
      <c r="J65" s="10"/>
      <c r="K65" s="52"/>
      <c r="L65" s="10"/>
      <c r="M65" s="10"/>
      <c r="N65" s="10"/>
      <c r="O65" s="10"/>
      <c r="P65" s="36"/>
      <c r="Q65" s="10"/>
      <c r="R65" s="36"/>
      <c r="S65" s="10"/>
      <c r="T65" s="10"/>
      <c r="U65" s="10"/>
    </row>
    <row r="66" customFormat="false" ht="15" hidden="false" customHeight="false" outlineLevel="0" collapsed="false">
      <c r="A66" s="10"/>
      <c r="B66" s="10"/>
      <c r="C66" s="10"/>
      <c r="D66" s="10"/>
      <c r="E66" s="10"/>
      <c r="F66" s="36"/>
      <c r="G66" s="36"/>
      <c r="H66" s="4" t="str">
        <f aca="false">IF(OR(F66="",G66=""),"",DATEDIF(F66,G66+1,"y")&amp;"年"&amp;DATEDIF(F66,G66+1,"ym")&amp;"個月")</f>
        <v/>
      </c>
      <c r="I66" s="4" t="str">
        <f aca="true">IF(G66="","",IF(G66&lt;TODAY(),"已到期",IF(G66-TODAY()&lt;=60,"60日內到期（"&amp;(G66-TODAY())&amp;"日）","")))</f>
        <v/>
      </c>
      <c r="J66" s="10"/>
      <c r="K66" s="52"/>
      <c r="L66" s="10"/>
      <c r="M66" s="10"/>
      <c r="N66" s="10"/>
      <c r="O66" s="10"/>
      <c r="P66" s="36"/>
      <c r="Q66" s="10"/>
      <c r="R66" s="36"/>
      <c r="S66" s="10"/>
      <c r="T66" s="10"/>
      <c r="U66" s="10"/>
    </row>
    <row r="67" customFormat="false" ht="15" hidden="false" customHeight="false" outlineLevel="0" collapsed="false">
      <c r="A67" s="10"/>
      <c r="B67" s="10"/>
      <c r="C67" s="10"/>
      <c r="D67" s="10"/>
      <c r="E67" s="10"/>
      <c r="F67" s="36"/>
      <c r="G67" s="36"/>
      <c r="H67" s="4" t="str">
        <f aca="false">IF(OR(F67="",G67=""),"",DATEDIF(F67,G67+1,"y")&amp;"年"&amp;DATEDIF(F67,G67+1,"ym")&amp;"個月")</f>
        <v/>
      </c>
      <c r="I67" s="4" t="str">
        <f aca="true">IF(G67="","",IF(G67&lt;TODAY(),"已到期",IF(G67-TODAY()&lt;=60,"60日內到期（"&amp;(G67-TODAY())&amp;"日）","")))</f>
        <v/>
      </c>
      <c r="J67" s="10"/>
      <c r="K67" s="52"/>
      <c r="L67" s="10"/>
      <c r="M67" s="10"/>
      <c r="N67" s="10"/>
      <c r="O67" s="10"/>
      <c r="P67" s="36"/>
      <c r="Q67" s="10"/>
      <c r="R67" s="36"/>
      <c r="S67" s="10"/>
      <c r="T67" s="10"/>
      <c r="U67" s="10"/>
    </row>
    <row r="68" customFormat="false" ht="15" hidden="false" customHeight="false" outlineLevel="0" collapsed="false">
      <c r="A68" s="10"/>
      <c r="B68" s="10"/>
      <c r="C68" s="10"/>
      <c r="D68" s="10"/>
      <c r="E68" s="10"/>
      <c r="F68" s="36"/>
      <c r="G68" s="36"/>
      <c r="H68" s="4" t="str">
        <f aca="false">IF(OR(F68="",G68=""),"",DATEDIF(F68,G68+1,"y")&amp;"年"&amp;DATEDIF(F68,G68+1,"ym")&amp;"個月")</f>
        <v/>
      </c>
      <c r="I68" s="4" t="str">
        <f aca="true">IF(G68="","",IF(G68&lt;TODAY(),"已到期",IF(G68-TODAY()&lt;=60,"60日內到期（"&amp;(G68-TODAY())&amp;"日）","")))</f>
        <v/>
      </c>
      <c r="J68" s="10"/>
      <c r="K68" s="52"/>
      <c r="L68" s="10"/>
      <c r="M68" s="10"/>
      <c r="N68" s="10"/>
      <c r="O68" s="10"/>
      <c r="P68" s="36"/>
      <c r="Q68" s="10"/>
      <c r="R68" s="36"/>
      <c r="S68" s="10"/>
      <c r="T68" s="10"/>
      <c r="U68" s="10"/>
    </row>
    <row r="69" customFormat="false" ht="15" hidden="false" customHeight="false" outlineLevel="0" collapsed="false">
      <c r="A69" s="10"/>
      <c r="B69" s="10"/>
      <c r="C69" s="10"/>
      <c r="D69" s="10"/>
      <c r="E69" s="10"/>
      <c r="F69" s="36"/>
      <c r="G69" s="36"/>
      <c r="H69" s="4" t="str">
        <f aca="false">IF(OR(F69="",G69=""),"",DATEDIF(F69,G69+1,"y")&amp;"年"&amp;DATEDIF(F69,G69+1,"ym")&amp;"個月")</f>
        <v/>
      </c>
      <c r="I69" s="4" t="str">
        <f aca="true">IF(G69="","",IF(G69&lt;TODAY(),"已到期",IF(G69-TODAY()&lt;=60,"60日內到期（"&amp;(G69-TODAY())&amp;"日）","")))</f>
        <v/>
      </c>
      <c r="J69" s="10"/>
      <c r="K69" s="52"/>
      <c r="L69" s="10"/>
      <c r="M69" s="10"/>
      <c r="N69" s="10"/>
      <c r="O69" s="10"/>
      <c r="P69" s="36"/>
      <c r="Q69" s="10"/>
      <c r="R69" s="36"/>
      <c r="S69" s="10"/>
      <c r="T69" s="10"/>
      <c r="U69" s="10"/>
    </row>
    <row r="70" customFormat="false" ht="15" hidden="false" customHeight="false" outlineLevel="0" collapsed="false">
      <c r="A70" s="10"/>
      <c r="B70" s="10"/>
      <c r="C70" s="10"/>
      <c r="D70" s="10"/>
      <c r="E70" s="10"/>
      <c r="F70" s="36"/>
      <c r="G70" s="36"/>
      <c r="H70" s="4" t="str">
        <f aca="false">IF(OR(F70="",G70=""),"",DATEDIF(F70,G70+1,"y")&amp;"年"&amp;DATEDIF(F70,G70+1,"ym")&amp;"個月")</f>
        <v/>
      </c>
      <c r="I70" s="4" t="str">
        <f aca="true">IF(G70="","",IF(G70&lt;TODAY(),"已到期",IF(G70-TODAY()&lt;=60,"60日內到期（"&amp;(G70-TODAY())&amp;"日）","")))</f>
        <v/>
      </c>
      <c r="J70" s="10"/>
      <c r="K70" s="52"/>
      <c r="L70" s="10"/>
      <c r="M70" s="10"/>
      <c r="N70" s="10"/>
      <c r="O70" s="10"/>
      <c r="P70" s="36"/>
      <c r="Q70" s="10"/>
      <c r="R70" s="36"/>
      <c r="S70" s="10"/>
      <c r="T70" s="10"/>
      <c r="U70" s="10"/>
    </row>
    <row r="71" customFormat="false" ht="15" hidden="false" customHeight="false" outlineLevel="0" collapsed="false">
      <c r="A71" s="10"/>
      <c r="B71" s="10"/>
      <c r="C71" s="10"/>
      <c r="D71" s="10"/>
      <c r="E71" s="10"/>
      <c r="F71" s="36"/>
      <c r="G71" s="36"/>
      <c r="H71" s="4" t="str">
        <f aca="false">IF(OR(F71="",G71=""),"",DATEDIF(F71,G71+1,"y")&amp;"年"&amp;DATEDIF(F71,G71+1,"ym")&amp;"個月")</f>
        <v/>
      </c>
      <c r="I71" s="4" t="str">
        <f aca="true">IF(G71="","",IF(G71&lt;TODAY(),"已到期",IF(G71-TODAY()&lt;=60,"60日內到期（"&amp;(G71-TODAY())&amp;"日）","")))</f>
        <v/>
      </c>
      <c r="J71" s="10"/>
      <c r="K71" s="52"/>
      <c r="L71" s="10"/>
      <c r="M71" s="10"/>
      <c r="N71" s="10"/>
      <c r="O71" s="10"/>
      <c r="P71" s="36"/>
      <c r="Q71" s="10"/>
      <c r="R71" s="36"/>
      <c r="S71" s="10"/>
      <c r="T71" s="10"/>
      <c r="U71" s="10"/>
    </row>
    <row r="72" customFormat="false" ht="15" hidden="false" customHeight="false" outlineLevel="0" collapsed="false">
      <c r="A72" s="10"/>
      <c r="B72" s="10"/>
      <c r="C72" s="10"/>
      <c r="D72" s="10"/>
      <c r="E72" s="10"/>
      <c r="F72" s="36"/>
      <c r="G72" s="36"/>
      <c r="H72" s="4" t="str">
        <f aca="false">IF(OR(F72="",G72=""),"",DATEDIF(F72,G72+1,"y")&amp;"年"&amp;DATEDIF(F72,G72+1,"ym")&amp;"個月")</f>
        <v/>
      </c>
      <c r="I72" s="4" t="str">
        <f aca="true">IF(G72="","",IF(G72&lt;TODAY(),"已到期",IF(G72-TODAY()&lt;=60,"60日內到期（"&amp;(G72-TODAY())&amp;"日）","")))</f>
        <v/>
      </c>
      <c r="J72" s="10"/>
      <c r="K72" s="52"/>
      <c r="L72" s="10"/>
      <c r="M72" s="10"/>
      <c r="N72" s="10"/>
      <c r="O72" s="10"/>
      <c r="P72" s="36"/>
      <c r="Q72" s="10"/>
      <c r="R72" s="36"/>
      <c r="S72" s="10"/>
      <c r="T72" s="10"/>
      <c r="U72" s="10"/>
    </row>
    <row r="73" customFormat="false" ht="15" hidden="false" customHeight="false" outlineLevel="0" collapsed="false">
      <c r="A73" s="10"/>
      <c r="B73" s="10"/>
      <c r="C73" s="10"/>
      <c r="D73" s="10"/>
      <c r="E73" s="10"/>
      <c r="F73" s="36"/>
      <c r="G73" s="36"/>
      <c r="H73" s="4" t="str">
        <f aca="false">IF(OR(F73="",G73=""),"",DATEDIF(F73,G73+1,"y")&amp;"年"&amp;DATEDIF(F73,G73+1,"ym")&amp;"個月")</f>
        <v/>
      </c>
      <c r="I73" s="4" t="str">
        <f aca="true">IF(G73="","",IF(G73&lt;TODAY(),"已到期",IF(G73-TODAY()&lt;=60,"60日內到期（"&amp;(G73-TODAY())&amp;"日）","")))</f>
        <v/>
      </c>
      <c r="J73" s="10"/>
      <c r="K73" s="52"/>
      <c r="L73" s="10"/>
      <c r="M73" s="10"/>
      <c r="N73" s="10"/>
      <c r="O73" s="10"/>
      <c r="P73" s="36"/>
      <c r="Q73" s="10"/>
      <c r="R73" s="36"/>
      <c r="S73" s="10"/>
      <c r="T73" s="10"/>
      <c r="U73" s="10"/>
    </row>
    <row r="74" customFormat="false" ht="15" hidden="false" customHeight="false" outlineLevel="0" collapsed="false">
      <c r="A74" s="10"/>
      <c r="B74" s="10"/>
      <c r="C74" s="10"/>
      <c r="D74" s="10"/>
      <c r="E74" s="10"/>
      <c r="F74" s="36"/>
      <c r="G74" s="36"/>
      <c r="H74" s="4" t="str">
        <f aca="false">IF(OR(F74="",G74=""),"",DATEDIF(F74,G74+1,"y")&amp;"年"&amp;DATEDIF(F74,G74+1,"ym")&amp;"個月")</f>
        <v/>
      </c>
      <c r="I74" s="4" t="str">
        <f aca="true">IF(G74="","",IF(G74&lt;TODAY(),"已到期",IF(G74-TODAY()&lt;=60,"60日內到期（"&amp;(G74-TODAY())&amp;"日）","")))</f>
        <v/>
      </c>
      <c r="J74" s="10"/>
      <c r="K74" s="52"/>
      <c r="L74" s="10"/>
      <c r="M74" s="10"/>
      <c r="N74" s="10"/>
      <c r="O74" s="10"/>
      <c r="P74" s="36"/>
      <c r="Q74" s="10"/>
      <c r="R74" s="36"/>
      <c r="S74" s="10"/>
      <c r="T74" s="10"/>
      <c r="U74" s="10"/>
    </row>
    <row r="75" customFormat="false" ht="15" hidden="false" customHeight="false" outlineLevel="0" collapsed="false">
      <c r="A75" s="10"/>
      <c r="B75" s="10"/>
      <c r="C75" s="10"/>
      <c r="D75" s="10"/>
      <c r="E75" s="10"/>
      <c r="F75" s="36"/>
      <c r="G75" s="36"/>
      <c r="H75" s="4" t="str">
        <f aca="false">IF(OR(F75="",G75=""),"",DATEDIF(F75,G75+1,"y")&amp;"年"&amp;DATEDIF(F75,G75+1,"ym")&amp;"個月")</f>
        <v/>
      </c>
      <c r="I75" s="4" t="str">
        <f aca="true">IF(G75="","",IF(G75&lt;TODAY(),"已到期",IF(G75-TODAY()&lt;=60,"60日內到期（"&amp;(G75-TODAY())&amp;"日）","")))</f>
        <v/>
      </c>
      <c r="J75" s="10"/>
      <c r="K75" s="52"/>
      <c r="L75" s="10"/>
      <c r="M75" s="10"/>
      <c r="N75" s="10"/>
      <c r="O75" s="10"/>
      <c r="P75" s="36"/>
      <c r="Q75" s="10"/>
      <c r="R75" s="36"/>
      <c r="S75" s="10"/>
      <c r="T75" s="10"/>
      <c r="U75" s="10"/>
    </row>
    <row r="76" customFormat="false" ht="15" hidden="false" customHeight="false" outlineLevel="0" collapsed="false">
      <c r="A76" s="10"/>
      <c r="B76" s="10"/>
      <c r="C76" s="10"/>
      <c r="D76" s="10"/>
      <c r="E76" s="10"/>
      <c r="F76" s="36"/>
      <c r="G76" s="36"/>
      <c r="H76" s="4" t="str">
        <f aca="false">IF(OR(F76="",G76=""),"",DATEDIF(F76,G76+1,"y")&amp;"年"&amp;DATEDIF(F76,G76+1,"ym")&amp;"個月")</f>
        <v/>
      </c>
      <c r="I76" s="4" t="str">
        <f aca="true">IF(G76="","",IF(G76&lt;TODAY(),"已到期",IF(G76-TODAY()&lt;=60,"60日內到期（"&amp;(G76-TODAY())&amp;"日）","")))</f>
        <v/>
      </c>
      <c r="J76" s="10"/>
      <c r="K76" s="52"/>
      <c r="L76" s="10"/>
      <c r="M76" s="10"/>
      <c r="N76" s="10"/>
      <c r="O76" s="10"/>
      <c r="P76" s="36"/>
      <c r="Q76" s="10"/>
      <c r="R76" s="36"/>
      <c r="S76" s="10"/>
      <c r="T76" s="10"/>
      <c r="U76" s="10"/>
    </row>
    <row r="77" customFormat="false" ht="15" hidden="false" customHeight="false" outlineLevel="0" collapsed="false">
      <c r="A77" s="10"/>
      <c r="B77" s="10"/>
      <c r="C77" s="10"/>
      <c r="D77" s="10"/>
      <c r="E77" s="10"/>
      <c r="F77" s="36"/>
      <c r="G77" s="36"/>
      <c r="H77" s="4" t="str">
        <f aca="false">IF(OR(F77="",G77=""),"",DATEDIF(F77,G77+1,"y")&amp;"年"&amp;DATEDIF(F77,G77+1,"ym")&amp;"個月")</f>
        <v/>
      </c>
      <c r="I77" s="4" t="str">
        <f aca="true">IF(G77="","",IF(G77&lt;TODAY(),"已到期",IF(G77-TODAY()&lt;=60,"60日內到期（"&amp;(G77-TODAY())&amp;"日）","")))</f>
        <v/>
      </c>
      <c r="J77" s="10"/>
      <c r="K77" s="52"/>
      <c r="L77" s="10"/>
      <c r="M77" s="10"/>
      <c r="N77" s="10"/>
      <c r="O77" s="10"/>
      <c r="P77" s="36"/>
      <c r="Q77" s="10"/>
      <c r="R77" s="36"/>
      <c r="S77" s="10"/>
      <c r="T77" s="10"/>
      <c r="U77" s="10"/>
    </row>
    <row r="78" customFormat="false" ht="15" hidden="false" customHeight="false" outlineLevel="0" collapsed="false">
      <c r="A78" s="10"/>
      <c r="B78" s="10"/>
      <c r="C78" s="10"/>
      <c r="D78" s="10"/>
      <c r="E78" s="10"/>
      <c r="F78" s="36"/>
      <c r="G78" s="36"/>
      <c r="H78" s="4" t="str">
        <f aca="false">IF(OR(F78="",G78=""),"",DATEDIF(F78,G78+1,"y")&amp;"年"&amp;DATEDIF(F78,G78+1,"ym")&amp;"個月")</f>
        <v/>
      </c>
      <c r="I78" s="4" t="str">
        <f aca="true">IF(G78="","",IF(G78&lt;TODAY(),"已到期",IF(G78-TODAY()&lt;=60,"60日內到期（"&amp;(G78-TODAY())&amp;"日）","")))</f>
        <v/>
      </c>
      <c r="J78" s="10"/>
      <c r="K78" s="52"/>
      <c r="L78" s="10"/>
      <c r="M78" s="10"/>
      <c r="N78" s="10"/>
      <c r="O78" s="10"/>
      <c r="P78" s="36"/>
      <c r="Q78" s="10"/>
      <c r="R78" s="36"/>
      <c r="S78" s="10"/>
      <c r="T78" s="10"/>
      <c r="U78" s="10"/>
    </row>
    <row r="79" customFormat="false" ht="15" hidden="false" customHeight="false" outlineLevel="0" collapsed="false">
      <c r="A79" s="10"/>
      <c r="B79" s="10"/>
      <c r="C79" s="10"/>
      <c r="D79" s="10"/>
      <c r="E79" s="10"/>
      <c r="F79" s="36"/>
      <c r="G79" s="36"/>
      <c r="H79" s="4" t="str">
        <f aca="false">IF(OR(F79="",G79=""),"",DATEDIF(F79,G79+1,"y")&amp;"年"&amp;DATEDIF(F79,G79+1,"ym")&amp;"個月")</f>
        <v/>
      </c>
      <c r="I79" s="4" t="str">
        <f aca="true">IF(G79="","",IF(G79&lt;TODAY(),"已到期",IF(G79-TODAY()&lt;=60,"60日內到期（"&amp;(G79-TODAY())&amp;"日）","")))</f>
        <v/>
      </c>
      <c r="J79" s="10"/>
      <c r="K79" s="52"/>
      <c r="L79" s="10"/>
      <c r="M79" s="10"/>
      <c r="N79" s="10"/>
      <c r="O79" s="10"/>
      <c r="P79" s="36"/>
      <c r="Q79" s="10"/>
      <c r="R79" s="36"/>
      <c r="S79" s="10"/>
      <c r="T79" s="10"/>
      <c r="U79" s="10"/>
    </row>
    <row r="80" customFormat="false" ht="15" hidden="false" customHeight="false" outlineLevel="0" collapsed="false">
      <c r="A80" s="10"/>
      <c r="B80" s="10"/>
      <c r="C80" s="10"/>
      <c r="D80" s="10"/>
      <c r="E80" s="10"/>
      <c r="F80" s="36"/>
      <c r="G80" s="36"/>
      <c r="H80" s="4" t="str">
        <f aca="false">IF(OR(F80="",G80=""),"",DATEDIF(F80,G80+1,"y")&amp;"年"&amp;DATEDIF(F80,G80+1,"ym")&amp;"個月")</f>
        <v/>
      </c>
      <c r="I80" s="4" t="str">
        <f aca="true">IF(G80="","",IF(G80&lt;TODAY(),"已到期",IF(G80-TODAY()&lt;=60,"60日內到期（"&amp;(G80-TODAY())&amp;"日）","")))</f>
        <v/>
      </c>
      <c r="J80" s="10"/>
      <c r="K80" s="52"/>
      <c r="L80" s="10"/>
      <c r="M80" s="10"/>
      <c r="N80" s="10"/>
      <c r="O80" s="10"/>
      <c r="P80" s="36"/>
      <c r="Q80" s="10"/>
      <c r="R80" s="36"/>
      <c r="S80" s="10"/>
      <c r="T80" s="10"/>
      <c r="U80" s="10"/>
    </row>
    <row r="81" customFormat="false" ht="15" hidden="false" customHeight="false" outlineLevel="0" collapsed="false">
      <c r="A81" s="10"/>
      <c r="B81" s="10"/>
      <c r="C81" s="10"/>
      <c r="D81" s="10"/>
      <c r="E81" s="10"/>
      <c r="F81" s="36"/>
      <c r="G81" s="36"/>
      <c r="H81" s="4" t="str">
        <f aca="false">IF(OR(F81="",G81=""),"",DATEDIF(F81,G81+1,"y")&amp;"年"&amp;DATEDIF(F81,G81+1,"ym")&amp;"個月")</f>
        <v/>
      </c>
      <c r="I81" s="4" t="str">
        <f aca="true">IF(G81="","",IF(G81&lt;TODAY(),"已到期",IF(G81-TODAY()&lt;=60,"60日內到期（"&amp;(G81-TODAY())&amp;"日）","")))</f>
        <v/>
      </c>
      <c r="J81" s="10"/>
      <c r="K81" s="52"/>
      <c r="L81" s="10"/>
      <c r="M81" s="10"/>
      <c r="N81" s="10"/>
      <c r="O81" s="10"/>
      <c r="P81" s="36"/>
      <c r="Q81" s="10"/>
      <c r="R81" s="36"/>
      <c r="S81" s="10"/>
      <c r="T81" s="10"/>
      <c r="U81" s="10"/>
    </row>
    <row r="82" customFormat="false" ht="15" hidden="false" customHeight="false" outlineLevel="0" collapsed="false">
      <c r="A82" s="10"/>
      <c r="B82" s="10"/>
      <c r="C82" s="10"/>
      <c r="D82" s="10"/>
      <c r="E82" s="10"/>
      <c r="F82" s="36"/>
      <c r="G82" s="36"/>
      <c r="H82" s="4" t="str">
        <f aca="false">IF(OR(F82="",G82=""),"",DATEDIF(F82,G82+1,"y")&amp;"年"&amp;DATEDIF(F82,G82+1,"ym")&amp;"個月")</f>
        <v/>
      </c>
      <c r="I82" s="4" t="str">
        <f aca="true">IF(G82="","",IF(G82&lt;TODAY(),"已到期",IF(G82-TODAY()&lt;=60,"60日內到期（"&amp;(G82-TODAY())&amp;"日）","")))</f>
        <v/>
      </c>
      <c r="J82" s="10"/>
      <c r="K82" s="52"/>
      <c r="L82" s="10"/>
      <c r="M82" s="10"/>
      <c r="N82" s="10"/>
      <c r="O82" s="10"/>
      <c r="P82" s="36"/>
      <c r="Q82" s="10"/>
      <c r="R82" s="36"/>
      <c r="S82" s="10"/>
      <c r="T82" s="10"/>
      <c r="U82" s="10"/>
    </row>
    <row r="83" customFormat="false" ht="15" hidden="false" customHeight="false" outlineLevel="0" collapsed="false">
      <c r="A83" s="10"/>
      <c r="B83" s="10"/>
      <c r="C83" s="10"/>
      <c r="D83" s="10"/>
      <c r="E83" s="10"/>
      <c r="F83" s="36"/>
      <c r="G83" s="36"/>
      <c r="H83" s="4" t="str">
        <f aca="false">IF(OR(F83="",G83=""),"",DATEDIF(F83,G83+1,"y")&amp;"年"&amp;DATEDIF(F83,G83+1,"ym")&amp;"個月")</f>
        <v/>
      </c>
      <c r="I83" s="4" t="str">
        <f aca="true">IF(G83="","",IF(G83&lt;TODAY(),"已到期",IF(G83-TODAY()&lt;=60,"60日內到期（"&amp;(G83-TODAY())&amp;"日）","")))</f>
        <v/>
      </c>
      <c r="J83" s="10"/>
      <c r="K83" s="52"/>
      <c r="L83" s="10"/>
      <c r="M83" s="10"/>
      <c r="N83" s="10"/>
      <c r="O83" s="10"/>
      <c r="P83" s="36"/>
      <c r="Q83" s="10"/>
      <c r="R83" s="36"/>
      <c r="S83" s="10"/>
      <c r="T83" s="10"/>
      <c r="U83" s="10"/>
    </row>
    <row r="84" customFormat="false" ht="15" hidden="false" customHeight="false" outlineLevel="0" collapsed="false">
      <c r="A84" s="10"/>
      <c r="B84" s="10"/>
      <c r="C84" s="10"/>
      <c r="D84" s="10"/>
      <c r="E84" s="10"/>
      <c r="F84" s="36"/>
      <c r="G84" s="36"/>
      <c r="H84" s="4" t="str">
        <f aca="false">IF(OR(F84="",G84=""),"",DATEDIF(F84,G84+1,"y")&amp;"年"&amp;DATEDIF(F84,G84+1,"ym")&amp;"個月")</f>
        <v/>
      </c>
      <c r="I84" s="4" t="str">
        <f aca="true">IF(G84="","",IF(G84&lt;TODAY(),"已到期",IF(G84-TODAY()&lt;=60,"60日內到期（"&amp;(G84-TODAY())&amp;"日）","")))</f>
        <v/>
      </c>
      <c r="J84" s="10"/>
      <c r="K84" s="52"/>
      <c r="L84" s="10"/>
      <c r="M84" s="10"/>
      <c r="N84" s="10"/>
      <c r="O84" s="10"/>
      <c r="P84" s="36"/>
      <c r="Q84" s="10"/>
      <c r="R84" s="36"/>
      <c r="S84" s="10"/>
      <c r="T84" s="10"/>
      <c r="U84" s="10"/>
    </row>
    <row r="85" customFormat="false" ht="15" hidden="false" customHeight="false" outlineLevel="0" collapsed="false">
      <c r="A85" s="10"/>
      <c r="B85" s="10"/>
      <c r="C85" s="10"/>
      <c r="D85" s="10"/>
      <c r="E85" s="10"/>
      <c r="F85" s="36"/>
      <c r="G85" s="36"/>
      <c r="H85" s="4" t="str">
        <f aca="false">IF(OR(F85="",G85=""),"",DATEDIF(F85,G85+1,"y")&amp;"年"&amp;DATEDIF(F85,G85+1,"ym")&amp;"個月")</f>
        <v/>
      </c>
      <c r="I85" s="4" t="str">
        <f aca="true">IF(G85="","",IF(G85&lt;TODAY(),"已到期",IF(G85-TODAY()&lt;=60,"60日內到期（"&amp;(G85-TODAY())&amp;"日）","")))</f>
        <v/>
      </c>
      <c r="J85" s="10"/>
      <c r="K85" s="52"/>
      <c r="L85" s="10"/>
      <c r="M85" s="10"/>
      <c r="N85" s="10"/>
      <c r="O85" s="10"/>
      <c r="P85" s="36"/>
      <c r="Q85" s="10"/>
      <c r="R85" s="36"/>
      <c r="S85" s="10"/>
      <c r="T85" s="10"/>
      <c r="U85" s="10"/>
    </row>
    <row r="86" customFormat="false" ht="15" hidden="false" customHeight="false" outlineLevel="0" collapsed="false">
      <c r="A86" s="10"/>
      <c r="B86" s="10"/>
      <c r="C86" s="10"/>
      <c r="D86" s="10"/>
      <c r="E86" s="10"/>
      <c r="F86" s="36"/>
      <c r="G86" s="36"/>
      <c r="H86" s="4" t="str">
        <f aca="false">IF(OR(F86="",G86=""),"",DATEDIF(F86,G86+1,"y")&amp;"年"&amp;DATEDIF(F86,G86+1,"ym")&amp;"個月")</f>
        <v/>
      </c>
      <c r="I86" s="4" t="str">
        <f aca="true">IF(G86="","",IF(G86&lt;TODAY(),"已到期",IF(G86-TODAY()&lt;=60,"60日內到期（"&amp;(G86-TODAY())&amp;"日）","")))</f>
        <v/>
      </c>
      <c r="J86" s="10"/>
      <c r="K86" s="52"/>
      <c r="L86" s="10"/>
      <c r="M86" s="10"/>
      <c r="N86" s="10"/>
      <c r="O86" s="10"/>
      <c r="P86" s="36"/>
      <c r="Q86" s="10"/>
      <c r="R86" s="36"/>
      <c r="S86" s="10"/>
      <c r="T86" s="10"/>
      <c r="U86" s="10"/>
    </row>
    <row r="87" customFormat="false" ht="15" hidden="false" customHeight="false" outlineLevel="0" collapsed="false">
      <c r="A87" s="10"/>
      <c r="B87" s="10"/>
      <c r="C87" s="10"/>
      <c r="D87" s="10"/>
      <c r="E87" s="10"/>
      <c r="F87" s="36"/>
      <c r="G87" s="36"/>
      <c r="H87" s="4" t="str">
        <f aca="false">IF(OR(F87="",G87=""),"",DATEDIF(F87,G87+1,"y")&amp;"年"&amp;DATEDIF(F87,G87+1,"ym")&amp;"個月")</f>
        <v/>
      </c>
      <c r="I87" s="4" t="str">
        <f aca="true">IF(G87="","",IF(G87&lt;TODAY(),"已到期",IF(G87-TODAY()&lt;=60,"60日內到期（"&amp;(G87-TODAY())&amp;"日）","")))</f>
        <v/>
      </c>
      <c r="J87" s="10"/>
      <c r="K87" s="52"/>
      <c r="L87" s="10"/>
      <c r="M87" s="10"/>
      <c r="N87" s="10"/>
      <c r="O87" s="10"/>
      <c r="P87" s="36"/>
      <c r="Q87" s="10"/>
      <c r="R87" s="36"/>
      <c r="S87" s="10"/>
      <c r="T87" s="10"/>
      <c r="U87" s="10"/>
    </row>
    <row r="88" customFormat="false" ht="15" hidden="false" customHeight="false" outlineLevel="0" collapsed="false">
      <c r="A88" s="10"/>
      <c r="B88" s="10"/>
      <c r="C88" s="10"/>
      <c r="D88" s="10"/>
      <c r="E88" s="10"/>
      <c r="F88" s="36"/>
      <c r="G88" s="36"/>
      <c r="H88" s="4" t="str">
        <f aca="false">IF(OR(F88="",G88=""),"",DATEDIF(F88,G88+1,"y")&amp;"年"&amp;DATEDIF(F88,G88+1,"ym")&amp;"個月")</f>
        <v/>
      </c>
      <c r="I88" s="4" t="str">
        <f aca="true">IF(G88="","",IF(G88&lt;TODAY(),"已到期",IF(G88-TODAY()&lt;=60,"60日內到期（"&amp;(G88-TODAY())&amp;"日）","")))</f>
        <v/>
      </c>
      <c r="J88" s="10"/>
      <c r="K88" s="52"/>
      <c r="L88" s="10"/>
      <c r="M88" s="10"/>
      <c r="N88" s="10"/>
      <c r="O88" s="10"/>
      <c r="P88" s="36"/>
      <c r="Q88" s="10"/>
      <c r="R88" s="36"/>
      <c r="S88" s="10"/>
      <c r="T88" s="10"/>
      <c r="U88" s="10"/>
    </row>
    <row r="89" customFormat="false" ht="15" hidden="false" customHeight="false" outlineLevel="0" collapsed="false">
      <c r="A89" s="10"/>
      <c r="B89" s="10"/>
      <c r="C89" s="10"/>
      <c r="D89" s="10"/>
      <c r="E89" s="10"/>
      <c r="F89" s="36"/>
      <c r="G89" s="36"/>
      <c r="H89" s="4" t="str">
        <f aca="false">IF(OR(F89="",G89=""),"",DATEDIF(F89,G89+1,"y")&amp;"年"&amp;DATEDIF(F89,G89+1,"ym")&amp;"個月")</f>
        <v/>
      </c>
      <c r="I89" s="4" t="str">
        <f aca="true">IF(G89="","",IF(G89&lt;TODAY(),"已到期",IF(G89-TODAY()&lt;=60,"60日內到期（"&amp;(G89-TODAY())&amp;"日）","")))</f>
        <v/>
      </c>
      <c r="J89" s="10"/>
      <c r="K89" s="52"/>
      <c r="L89" s="10"/>
      <c r="M89" s="10"/>
      <c r="N89" s="10"/>
      <c r="O89" s="10"/>
      <c r="P89" s="36"/>
      <c r="Q89" s="10"/>
      <c r="R89" s="36"/>
      <c r="S89" s="10"/>
      <c r="T89" s="10"/>
      <c r="U89" s="10"/>
    </row>
    <row r="90" customFormat="false" ht="15" hidden="false" customHeight="false" outlineLevel="0" collapsed="false">
      <c r="A90" s="10"/>
      <c r="B90" s="10"/>
      <c r="C90" s="10"/>
      <c r="D90" s="10"/>
      <c r="E90" s="10"/>
      <c r="F90" s="36"/>
      <c r="G90" s="36"/>
      <c r="H90" s="4" t="str">
        <f aca="false">IF(OR(F90="",G90=""),"",DATEDIF(F90,G90+1,"y")&amp;"年"&amp;DATEDIF(F90,G90+1,"ym")&amp;"個月")</f>
        <v/>
      </c>
      <c r="I90" s="4" t="str">
        <f aca="true">IF(G90="","",IF(G90&lt;TODAY(),"已到期",IF(G90-TODAY()&lt;=60,"60日內到期（"&amp;(G90-TODAY())&amp;"日）","")))</f>
        <v/>
      </c>
      <c r="J90" s="10"/>
      <c r="K90" s="52"/>
      <c r="L90" s="10"/>
      <c r="M90" s="10"/>
      <c r="N90" s="10"/>
      <c r="O90" s="10"/>
      <c r="P90" s="36"/>
      <c r="Q90" s="10"/>
      <c r="R90" s="36"/>
      <c r="S90" s="10"/>
      <c r="T90" s="10"/>
      <c r="U90" s="10"/>
    </row>
    <row r="91" customFormat="false" ht="15" hidden="false" customHeight="false" outlineLevel="0" collapsed="false">
      <c r="A91" s="10"/>
      <c r="B91" s="10"/>
      <c r="C91" s="10"/>
      <c r="D91" s="10"/>
      <c r="E91" s="10"/>
      <c r="F91" s="36"/>
      <c r="G91" s="36"/>
      <c r="H91" s="4" t="str">
        <f aca="false">IF(OR(F91="",G91=""),"",DATEDIF(F91,G91+1,"y")&amp;"年"&amp;DATEDIF(F91,G91+1,"ym")&amp;"個月")</f>
        <v/>
      </c>
      <c r="I91" s="4" t="str">
        <f aca="true">IF(G91="","",IF(G91&lt;TODAY(),"已到期",IF(G91-TODAY()&lt;=60,"60日內到期（"&amp;(G91-TODAY())&amp;"日）","")))</f>
        <v/>
      </c>
      <c r="J91" s="10"/>
      <c r="K91" s="52"/>
      <c r="L91" s="10"/>
      <c r="M91" s="10"/>
      <c r="N91" s="10"/>
      <c r="O91" s="10"/>
      <c r="P91" s="36"/>
      <c r="Q91" s="10"/>
      <c r="R91" s="36"/>
      <c r="S91" s="10"/>
      <c r="T91" s="10"/>
      <c r="U91" s="10"/>
    </row>
    <row r="92" customFormat="false" ht="15" hidden="false" customHeight="false" outlineLevel="0" collapsed="false">
      <c r="A92" s="10"/>
      <c r="B92" s="10"/>
      <c r="C92" s="10"/>
      <c r="D92" s="10"/>
      <c r="E92" s="10"/>
      <c r="F92" s="36"/>
      <c r="G92" s="36"/>
      <c r="H92" s="4" t="str">
        <f aca="false">IF(OR(F92="",G92=""),"",DATEDIF(F92,G92+1,"y")&amp;"年"&amp;DATEDIF(F92,G92+1,"ym")&amp;"個月")</f>
        <v/>
      </c>
      <c r="I92" s="4" t="str">
        <f aca="true">IF(G92="","",IF(G92&lt;TODAY(),"已到期",IF(G92-TODAY()&lt;=60,"60日內到期（"&amp;(G92-TODAY())&amp;"日）","")))</f>
        <v/>
      </c>
      <c r="J92" s="10"/>
      <c r="K92" s="52"/>
      <c r="L92" s="10"/>
      <c r="M92" s="10"/>
      <c r="N92" s="10"/>
      <c r="O92" s="10"/>
      <c r="P92" s="36"/>
      <c r="Q92" s="10"/>
      <c r="R92" s="36"/>
      <c r="S92" s="10"/>
      <c r="T92" s="10"/>
      <c r="U92" s="10"/>
    </row>
    <row r="93" customFormat="false" ht="15" hidden="false" customHeight="false" outlineLevel="0" collapsed="false">
      <c r="A93" s="10"/>
      <c r="B93" s="10"/>
      <c r="C93" s="10"/>
      <c r="D93" s="10"/>
      <c r="E93" s="10"/>
      <c r="F93" s="36"/>
      <c r="G93" s="36"/>
      <c r="H93" s="4" t="str">
        <f aca="false">IF(OR(F93="",G93=""),"",DATEDIF(F93,G93+1,"y")&amp;"年"&amp;DATEDIF(F93,G93+1,"ym")&amp;"個月")</f>
        <v/>
      </c>
      <c r="I93" s="4" t="str">
        <f aca="true">IF(G93="","",IF(G93&lt;TODAY(),"已到期",IF(G93-TODAY()&lt;=60,"60日內到期（"&amp;(G93-TODAY())&amp;"日）","")))</f>
        <v/>
      </c>
      <c r="J93" s="10"/>
      <c r="K93" s="52"/>
      <c r="L93" s="10"/>
      <c r="M93" s="10"/>
      <c r="N93" s="10"/>
      <c r="O93" s="10"/>
      <c r="P93" s="36"/>
      <c r="Q93" s="10"/>
      <c r="R93" s="36"/>
      <c r="S93" s="10"/>
      <c r="T93" s="10"/>
      <c r="U93" s="10"/>
    </row>
    <row r="94" customFormat="false" ht="15" hidden="false" customHeight="false" outlineLevel="0" collapsed="false">
      <c r="A94" s="10"/>
      <c r="B94" s="10"/>
      <c r="C94" s="10"/>
      <c r="D94" s="10"/>
      <c r="E94" s="10"/>
      <c r="F94" s="36"/>
      <c r="G94" s="36"/>
      <c r="H94" s="4" t="str">
        <f aca="false">IF(OR(F94="",G94=""),"",DATEDIF(F94,G94+1,"y")&amp;"年"&amp;DATEDIF(F94,G94+1,"ym")&amp;"個月")</f>
        <v/>
      </c>
      <c r="I94" s="4" t="str">
        <f aca="true">IF(G94="","",IF(G94&lt;TODAY(),"已到期",IF(G94-TODAY()&lt;=60,"60日內到期（"&amp;(G94-TODAY())&amp;"日）","")))</f>
        <v/>
      </c>
      <c r="J94" s="10"/>
      <c r="K94" s="52"/>
      <c r="L94" s="10"/>
      <c r="M94" s="10"/>
      <c r="N94" s="10"/>
      <c r="O94" s="10"/>
      <c r="P94" s="36"/>
      <c r="Q94" s="10"/>
      <c r="R94" s="36"/>
      <c r="S94" s="10"/>
      <c r="T94" s="10"/>
      <c r="U94" s="10"/>
    </row>
    <row r="95" customFormat="false" ht="15" hidden="false" customHeight="false" outlineLevel="0" collapsed="false">
      <c r="A95" s="10"/>
      <c r="B95" s="10"/>
      <c r="C95" s="10"/>
      <c r="D95" s="10"/>
      <c r="E95" s="10"/>
      <c r="F95" s="36"/>
      <c r="G95" s="36"/>
      <c r="H95" s="4" t="str">
        <f aca="false">IF(OR(F95="",G95=""),"",DATEDIF(F95,G95+1,"y")&amp;"年"&amp;DATEDIF(F95,G95+1,"ym")&amp;"個月")</f>
        <v/>
      </c>
      <c r="I95" s="4" t="str">
        <f aca="true">IF(G95="","",IF(G95&lt;TODAY(),"已到期",IF(G95-TODAY()&lt;=60,"60日內到期（"&amp;(G95-TODAY())&amp;"日）","")))</f>
        <v/>
      </c>
      <c r="J95" s="10"/>
      <c r="K95" s="52"/>
      <c r="L95" s="10"/>
      <c r="M95" s="10"/>
      <c r="N95" s="10"/>
      <c r="O95" s="10"/>
      <c r="P95" s="36"/>
      <c r="Q95" s="10"/>
      <c r="R95" s="36"/>
      <c r="S95" s="10"/>
      <c r="T95" s="10"/>
      <c r="U95" s="10"/>
    </row>
    <row r="96" customFormat="false" ht="15" hidden="false" customHeight="false" outlineLevel="0" collapsed="false">
      <c r="A96" s="10"/>
      <c r="B96" s="10"/>
      <c r="C96" s="10"/>
      <c r="D96" s="10"/>
      <c r="E96" s="10"/>
      <c r="F96" s="36"/>
      <c r="G96" s="36"/>
      <c r="H96" s="4" t="str">
        <f aca="false">IF(OR(F96="",G96=""),"",DATEDIF(F96,G96+1,"y")&amp;"年"&amp;DATEDIF(F96,G96+1,"ym")&amp;"個月")</f>
        <v/>
      </c>
      <c r="I96" s="4" t="str">
        <f aca="true">IF(G96="","",IF(G96&lt;TODAY(),"已到期",IF(G96-TODAY()&lt;=60,"60日內到期（"&amp;(G96-TODAY())&amp;"日）","")))</f>
        <v/>
      </c>
      <c r="J96" s="10"/>
      <c r="K96" s="52"/>
      <c r="L96" s="10"/>
      <c r="M96" s="10"/>
      <c r="N96" s="10"/>
      <c r="O96" s="10"/>
      <c r="P96" s="36"/>
      <c r="Q96" s="10"/>
      <c r="R96" s="36"/>
      <c r="S96" s="10"/>
      <c r="T96" s="10"/>
      <c r="U96" s="10"/>
    </row>
    <row r="97" customFormat="false" ht="15" hidden="false" customHeight="false" outlineLevel="0" collapsed="false">
      <c r="A97" s="10"/>
      <c r="B97" s="10"/>
      <c r="C97" s="10"/>
      <c r="D97" s="10"/>
      <c r="E97" s="10"/>
      <c r="F97" s="36"/>
      <c r="G97" s="36"/>
      <c r="H97" s="4" t="str">
        <f aca="false">IF(OR(F97="",G97=""),"",DATEDIF(F97,G97+1,"y")&amp;"年"&amp;DATEDIF(F97,G97+1,"ym")&amp;"個月")</f>
        <v/>
      </c>
      <c r="I97" s="4" t="str">
        <f aca="true">IF(G97="","",IF(G97&lt;TODAY(),"已到期",IF(G97-TODAY()&lt;=60,"60日內到期（"&amp;(G97-TODAY())&amp;"日）","")))</f>
        <v/>
      </c>
      <c r="J97" s="10"/>
      <c r="K97" s="52"/>
      <c r="L97" s="10"/>
      <c r="M97" s="10"/>
      <c r="N97" s="10"/>
      <c r="O97" s="10"/>
      <c r="P97" s="36"/>
      <c r="Q97" s="10"/>
      <c r="R97" s="36"/>
      <c r="S97" s="10"/>
      <c r="T97" s="10"/>
      <c r="U97" s="10"/>
    </row>
    <row r="98" customFormat="false" ht="15" hidden="false" customHeight="false" outlineLevel="0" collapsed="false">
      <c r="A98" s="10"/>
      <c r="B98" s="10"/>
      <c r="C98" s="10"/>
      <c r="D98" s="10"/>
      <c r="E98" s="10"/>
      <c r="F98" s="36"/>
      <c r="G98" s="36"/>
      <c r="H98" s="4" t="str">
        <f aca="false">IF(OR(F98="",G98=""),"",DATEDIF(F98,G98+1,"y")&amp;"年"&amp;DATEDIF(F98,G98+1,"ym")&amp;"個月")</f>
        <v/>
      </c>
      <c r="I98" s="4" t="str">
        <f aca="true">IF(G98="","",IF(G98&lt;TODAY(),"已到期",IF(G98-TODAY()&lt;=60,"60日內到期（"&amp;(G98-TODAY())&amp;"日）","")))</f>
        <v/>
      </c>
      <c r="J98" s="10"/>
      <c r="K98" s="52"/>
      <c r="L98" s="10"/>
      <c r="M98" s="10"/>
      <c r="N98" s="10"/>
      <c r="O98" s="10"/>
      <c r="P98" s="36"/>
      <c r="Q98" s="10"/>
      <c r="R98" s="36"/>
      <c r="S98" s="10"/>
      <c r="T98" s="10"/>
      <c r="U98" s="10"/>
    </row>
    <row r="99" customFormat="false" ht="15" hidden="false" customHeight="false" outlineLevel="0" collapsed="false">
      <c r="A99" s="10"/>
      <c r="B99" s="10"/>
      <c r="C99" s="10"/>
      <c r="D99" s="10"/>
      <c r="E99" s="10"/>
      <c r="F99" s="36"/>
      <c r="G99" s="36"/>
      <c r="H99" s="4" t="str">
        <f aca="false">IF(OR(F99="",G99=""),"",DATEDIF(F99,G99+1,"y")&amp;"年"&amp;DATEDIF(F99,G99+1,"ym")&amp;"個月")</f>
        <v/>
      </c>
      <c r="I99" s="4" t="str">
        <f aca="true">IF(G99="","",IF(G99&lt;TODAY(),"已到期",IF(G99-TODAY()&lt;=60,"60日內到期（"&amp;(G99-TODAY())&amp;"日）","")))</f>
        <v/>
      </c>
      <c r="J99" s="10"/>
      <c r="K99" s="52"/>
      <c r="L99" s="10"/>
      <c r="M99" s="10"/>
      <c r="N99" s="10"/>
      <c r="O99" s="10"/>
      <c r="P99" s="36"/>
      <c r="Q99" s="10"/>
      <c r="R99" s="36"/>
      <c r="S99" s="10"/>
      <c r="T99" s="10"/>
      <c r="U99" s="10"/>
    </row>
    <row r="100" customFormat="false" ht="15" hidden="false" customHeight="false" outlineLevel="0" collapsed="false">
      <c r="A100" s="10"/>
      <c r="B100" s="10"/>
      <c r="C100" s="10"/>
      <c r="D100" s="10"/>
      <c r="E100" s="10"/>
      <c r="F100" s="36"/>
      <c r="G100" s="36"/>
      <c r="H100" s="4" t="str">
        <f aca="false">IF(OR(F100="",G100=""),"",DATEDIF(F100,G100+1,"y")&amp;"年"&amp;DATEDIF(F100,G100+1,"ym")&amp;"個月")</f>
        <v/>
      </c>
      <c r="I100" s="4" t="str">
        <f aca="true">IF(G100="","",IF(G100&lt;TODAY(),"已到期",IF(G100-TODAY()&lt;=60,"60日內到期（"&amp;(G100-TODAY())&amp;"日）","")))</f>
        <v/>
      </c>
      <c r="J100" s="10"/>
      <c r="K100" s="52"/>
      <c r="L100" s="10"/>
      <c r="M100" s="10"/>
      <c r="N100" s="10"/>
      <c r="O100" s="10"/>
      <c r="P100" s="36"/>
      <c r="Q100" s="10"/>
      <c r="R100" s="36"/>
      <c r="S100" s="10"/>
      <c r="T100" s="10"/>
      <c r="U100" s="10"/>
    </row>
    <row r="101" customFormat="false" ht="15" hidden="false" customHeight="false" outlineLevel="0" collapsed="false">
      <c r="A101" s="10"/>
      <c r="B101" s="10"/>
      <c r="C101" s="10"/>
      <c r="D101" s="10"/>
      <c r="E101" s="10"/>
      <c r="F101" s="36"/>
      <c r="G101" s="36"/>
      <c r="H101" s="4" t="str">
        <f aca="false">IF(OR(F101="",G101=""),"",DATEDIF(F101,G101+1,"y")&amp;"年"&amp;DATEDIF(F101,G101+1,"ym")&amp;"個月")</f>
        <v/>
      </c>
      <c r="I101" s="4" t="str">
        <f aca="true">IF(G101="","",IF(G101&lt;TODAY(),"已到期",IF(G101-TODAY()&lt;=60,"60日內到期（"&amp;(G101-TODAY())&amp;"日）","")))</f>
        <v/>
      </c>
      <c r="J101" s="10"/>
      <c r="K101" s="52"/>
      <c r="L101" s="10"/>
      <c r="M101" s="10"/>
      <c r="N101" s="10"/>
      <c r="O101" s="10"/>
      <c r="P101" s="36"/>
      <c r="Q101" s="10"/>
      <c r="R101" s="36"/>
      <c r="S101" s="10"/>
      <c r="T101" s="10"/>
      <c r="U101" s="10"/>
    </row>
    <row r="102" customFormat="false" ht="15" hidden="false" customHeight="false" outlineLevel="0" collapsed="false">
      <c r="A102" s="10"/>
      <c r="B102" s="10"/>
      <c r="C102" s="10"/>
      <c r="D102" s="10"/>
      <c r="E102" s="10"/>
      <c r="F102" s="36"/>
      <c r="G102" s="36"/>
      <c r="H102" s="4" t="str">
        <f aca="false">IF(OR(F102="",G102=""),"",DATEDIF(F102,G102+1,"y")&amp;"年"&amp;DATEDIF(F102,G102+1,"ym")&amp;"個月")</f>
        <v/>
      </c>
      <c r="I102" s="4" t="str">
        <f aca="true">IF(G102="","",IF(G102&lt;TODAY(),"已到期",IF(G102-TODAY()&lt;=60,"60日內到期（"&amp;(G102-TODAY())&amp;"日）","")))</f>
        <v/>
      </c>
      <c r="J102" s="10"/>
      <c r="K102" s="52"/>
      <c r="L102" s="10"/>
      <c r="M102" s="10"/>
      <c r="N102" s="10"/>
      <c r="O102" s="10"/>
      <c r="P102" s="36"/>
      <c r="Q102" s="10"/>
      <c r="R102" s="36"/>
      <c r="S102" s="10"/>
      <c r="T102" s="10"/>
      <c r="U102" s="10"/>
    </row>
    <row r="103" customFormat="false" ht="15" hidden="false" customHeight="false" outlineLevel="0" collapsed="false">
      <c r="A103" s="10"/>
      <c r="B103" s="10"/>
      <c r="C103" s="10"/>
      <c r="D103" s="10"/>
      <c r="E103" s="10"/>
      <c r="F103" s="36"/>
      <c r="G103" s="36"/>
      <c r="H103" s="4" t="str">
        <f aca="false">IF(OR(F103="",G103=""),"",DATEDIF(F103,G103+1,"y")&amp;"年"&amp;DATEDIF(F103,G103+1,"ym")&amp;"個月")</f>
        <v/>
      </c>
      <c r="I103" s="4" t="str">
        <f aca="true">IF(G103="","",IF(G103&lt;TODAY(),"已到期",IF(G103-TODAY()&lt;=60,"60日內到期（"&amp;(G103-TODAY())&amp;"日）","")))</f>
        <v/>
      </c>
      <c r="J103" s="10"/>
      <c r="K103" s="52"/>
      <c r="L103" s="10"/>
      <c r="M103" s="10"/>
      <c r="N103" s="10"/>
      <c r="O103" s="10"/>
      <c r="P103" s="36"/>
      <c r="Q103" s="10"/>
      <c r="R103" s="36"/>
      <c r="S103" s="10"/>
      <c r="T103" s="10"/>
      <c r="U103" s="10"/>
    </row>
    <row r="104" customFormat="false" ht="15" hidden="false" customHeight="false" outlineLevel="0" collapsed="false">
      <c r="A104" s="10"/>
      <c r="B104" s="10"/>
      <c r="C104" s="10"/>
      <c r="D104" s="10"/>
      <c r="E104" s="10"/>
      <c r="F104" s="36"/>
      <c r="G104" s="36"/>
      <c r="H104" s="4" t="str">
        <f aca="false">IF(OR(F104="",G104=""),"",DATEDIF(F104,G104+1,"y")&amp;"年"&amp;DATEDIF(F104,G104+1,"ym")&amp;"個月")</f>
        <v/>
      </c>
      <c r="I104" s="4" t="str">
        <f aca="true">IF(G104="","",IF(G104&lt;TODAY(),"已到期",IF(G104-TODAY()&lt;=60,"60日內到期（"&amp;(G104-TODAY())&amp;"日）","")))</f>
        <v/>
      </c>
      <c r="J104" s="10"/>
      <c r="K104" s="52"/>
      <c r="L104" s="10"/>
      <c r="M104" s="10"/>
      <c r="N104" s="10"/>
      <c r="O104" s="10"/>
      <c r="P104" s="36"/>
      <c r="Q104" s="10"/>
      <c r="R104" s="36"/>
      <c r="S104" s="10"/>
      <c r="T104" s="10"/>
      <c r="U104" s="10"/>
    </row>
    <row r="105" customFormat="false" ht="15" hidden="false" customHeight="false" outlineLevel="0" collapsed="false">
      <c r="A105" s="10"/>
      <c r="B105" s="10"/>
      <c r="C105" s="10"/>
      <c r="D105" s="10"/>
      <c r="E105" s="10"/>
      <c r="F105" s="36"/>
      <c r="G105" s="36"/>
      <c r="H105" s="4" t="str">
        <f aca="false">IF(OR(F105="",G105=""),"",DATEDIF(F105,G105+1,"y")&amp;"年"&amp;DATEDIF(F105,G105+1,"ym")&amp;"個月")</f>
        <v/>
      </c>
      <c r="I105" s="4" t="str">
        <f aca="true">IF(G105="","",IF(G105&lt;TODAY(),"已到期",IF(G105-TODAY()&lt;=60,"60日內到期（"&amp;(G105-TODAY())&amp;"日）","")))</f>
        <v/>
      </c>
      <c r="J105" s="10"/>
      <c r="K105" s="52"/>
      <c r="L105" s="10"/>
      <c r="M105" s="10"/>
      <c r="N105" s="10"/>
      <c r="O105" s="10"/>
      <c r="P105" s="36"/>
      <c r="Q105" s="10"/>
      <c r="R105" s="36"/>
      <c r="S105" s="10"/>
      <c r="T105" s="10"/>
      <c r="U105" s="10"/>
    </row>
    <row r="106" customFormat="false" ht="15" hidden="false" customHeight="false" outlineLevel="0" collapsed="false">
      <c r="A106" s="10"/>
      <c r="B106" s="10"/>
      <c r="C106" s="10"/>
      <c r="D106" s="10"/>
      <c r="E106" s="10"/>
      <c r="F106" s="36"/>
      <c r="G106" s="36"/>
      <c r="H106" s="4" t="str">
        <f aca="false">IF(OR(F106="",G106=""),"",DATEDIF(F106,G106+1,"y")&amp;"年"&amp;DATEDIF(F106,G106+1,"ym")&amp;"個月")</f>
        <v/>
      </c>
      <c r="I106" s="4" t="str">
        <f aca="true">IF(G106="","",IF(G106&lt;TODAY(),"已到期",IF(G106-TODAY()&lt;=60,"60日內到期（"&amp;(G106-TODAY())&amp;"日）","")))</f>
        <v/>
      </c>
      <c r="J106" s="10"/>
      <c r="K106" s="52"/>
      <c r="L106" s="10"/>
      <c r="M106" s="10"/>
      <c r="N106" s="10"/>
      <c r="O106" s="10"/>
      <c r="P106" s="36"/>
      <c r="Q106" s="10"/>
      <c r="R106" s="36"/>
      <c r="S106" s="10"/>
      <c r="T106" s="10"/>
      <c r="U106" s="10"/>
    </row>
    <row r="107" customFormat="false" ht="15" hidden="false" customHeight="false" outlineLevel="0" collapsed="false">
      <c r="A107" s="10"/>
      <c r="B107" s="10"/>
      <c r="C107" s="10"/>
      <c r="D107" s="10"/>
      <c r="E107" s="10"/>
      <c r="F107" s="36"/>
      <c r="G107" s="36"/>
      <c r="H107" s="4" t="str">
        <f aca="false">IF(OR(F107="",G107=""),"",DATEDIF(F107,G107+1,"y")&amp;"年"&amp;DATEDIF(F107,G107+1,"ym")&amp;"個月")</f>
        <v/>
      </c>
      <c r="I107" s="4" t="str">
        <f aca="true">IF(G107="","",IF(G107&lt;TODAY(),"已到期",IF(G107-TODAY()&lt;=60,"60日內到期（"&amp;(G107-TODAY())&amp;"日）","")))</f>
        <v/>
      </c>
      <c r="J107" s="10"/>
      <c r="K107" s="52"/>
      <c r="L107" s="10"/>
      <c r="M107" s="10"/>
      <c r="N107" s="10"/>
      <c r="O107" s="10"/>
      <c r="P107" s="36"/>
      <c r="Q107" s="10"/>
      <c r="R107" s="36"/>
      <c r="S107" s="10"/>
      <c r="T107" s="10"/>
      <c r="U107" s="10"/>
    </row>
    <row r="108" customFormat="false" ht="15" hidden="false" customHeight="false" outlineLevel="0" collapsed="false">
      <c r="A108" s="10"/>
      <c r="B108" s="10"/>
      <c r="C108" s="10"/>
      <c r="D108" s="10"/>
      <c r="E108" s="10"/>
      <c r="F108" s="36"/>
      <c r="G108" s="36"/>
      <c r="H108" s="4" t="str">
        <f aca="false">IF(OR(F108="",G108=""),"",DATEDIF(F108,G108+1,"y")&amp;"年"&amp;DATEDIF(F108,G108+1,"ym")&amp;"個月")</f>
        <v/>
      </c>
      <c r="I108" s="4" t="str">
        <f aca="true">IF(G108="","",IF(G108&lt;TODAY(),"已到期",IF(G108-TODAY()&lt;=60,"60日內到期（"&amp;(G108-TODAY())&amp;"日）","")))</f>
        <v/>
      </c>
      <c r="J108" s="10"/>
      <c r="K108" s="52"/>
      <c r="L108" s="10"/>
      <c r="M108" s="10"/>
      <c r="N108" s="10"/>
      <c r="O108" s="10"/>
      <c r="P108" s="36"/>
      <c r="Q108" s="10"/>
      <c r="R108" s="36"/>
      <c r="S108" s="10"/>
      <c r="T108" s="10"/>
      <c r="U108" s="10"/>
    </row>
    <row r="109" customFormat="false" ht="15" hidden="false" customHeight="false" outlineLevel="0" collapsed="false">
      <c r="A109" s="10"/>
      <c r="B109" s="10"/>
      <c r="C109" s="10"/>
      <c r="D109" s="10"/>
      <c r="E109" s="10"/>
      <c r="F109" s="36"/>
      <c r="G109" s="36"/>
      <c r="H109" s="4" t="str">
        <f aca="false">IF(OR(F109="",G109=""),"",DATEDIF(F109,G109+1,"y")&amp;"年"&amp;DATEDIF(F109,G109+1,"ym")&amp;"個月")</f>
        <v/>
      </c>
      <c r="I109" s="4" t="str">
        <f aca="true">IF(G109="","",IF(G109&lt;TODAY(),"已到期",IF(G109-TODAY()&lt;=60,"60日內到期（"&amp;(G109-TODAY())&amp;"日）","")))</f>
        <v/>
      </c>
      <c r="J109" s="10"/>
      <c r="K109" s="52"/>
      <c r="L109" s="10"/>
      <c r="M109" s="10"/>
      <c r="N109" s="10"/>
      <c r="O109" s="10"/>
      <c r="P109" s="36"/>
      <c r="Q109" s="10"/>
      <c r="R109" s="36"/>
      <c r="S109" s="10"/>
      <c r="T109" s="10"/>
      <c r="U109" s="10"/>
    </row>
    <row r="110" customFormat="false" ht="15" hidden="false" customHeight="false" outlineLevel="0" collapsed="false">
      <c r="A110" s="10"/>
      <c r="B110" s="10"/>
      <c r="C110" s="10"/>
      <c r="D110" s="10"/>
      <c r="E110" s="10"/>
      <c r="F110" s="36"/>
      <c r="G110" s="36"/>
      <c r="H110" s="4" t="str">
        <f aca="false">IF(OR(F110="",G110=""),"",DATEDIF(F110,G110+1,"y")&amp;"年"&amp;DATEDIF(F110,G110+1,"ym")&amp;"個月")</f>
        <v/>
      </c>
      <c r="I110" s="4" t="str">
        <f aca="true">IF(G110="","",IF(G110&lt;TODAY(),"已到期",IF(G110-TODAY()&lt;=60,"60日內到期（"&amp;(G110-TODAY())&amp;"日）","")))</f>
        <v/>
      </c>
      <c r="J110" s="10"/>
      <c r="K110" s="52"/>
      <c r="L110" s="10"/>
      <c r="M110" s="10"/>
      <c r="N110" s="10"/>
      <c r="O110" s="10"/>
      <c r="P110" s="36"/>
      <c r="Q110" s="10"/>
      <c r="R110" s="36"/>
      <c r="S110" s="10"/>
      <c r="T110" s="10"/>
      <c r="U110" s="10"/>
    </row>
    <row r="111" customFormat="false" ht="15" hidden="false" customHeight="false" outlineLevel="0" collapsed="false">
      <c r="A111" s="10"/>
      <c r="B111" s="10"/>
      <c r="C111" s="10"/>
      <c r="D111" s="10"/>
      <c r="E111" s="10"/>
      <c r="F111" s="36"/>
      <c r="G111" s="36"/>
      <c r="H111" s="4" t="str">
        <f aca="false">IF(OR(F111="",G111=""),"",DATEDIF(F111,G111+1,"y")&amp;"年"&amp;DATEDIF(F111,G111+1,"ym")&amp;"個月")</f>
        <v/>
      </c>
      <c r="I111" s="4" t="str">
        <f aca="true">IF(G111="","",IF(G111&lt;TODAY(),"已到期",IF(G111-TODAY()&lt;=60,"60日內到期（"&amp;(G111-TODAY())&amp;"日）","")))</f>
        <v/>
      </c>
      <c r="J111" s="10"/>
      <c r="K111" s="52"/>
      <c r="L111" s="10"/>
      <c r="M111" s="10"/>
      <c r="N111" s="10"/>
      <c r="O111" s="10"/>
      <c r="P111" s="36"/>
      <c r="Q111" s="10"/>
      <c r="R111" s="36"/>
      <c r="S111" s="10"/>
      <c r="T111" s="10"/>
      <c r="U111" s="10"/>
    </row>
    <row r="112" customFormat="false" ht="15" hidden="false" customHeight="false" outlineLevel="0" collapsed="false">
      <c r="A112" s="10"/>
      <c r="B112" s="10"/>
      <c r="C112" s="10"/>
      <c r="D112" s="10"/>
      <c r="E112" s="10"/>
      <c r="F112" s="36"/>
      <c r="G112" s="36"/>
      <c r="H112" s="4" t="str">
        <f aca="false">IF(OR(F112="",G112=""),"",DATEDIF(F112,G112+1,"y")&amp;"年"&amp;DATEDIF(F112,G112+1,"ym")&amp;"個月")</f>
        <v/>
      </c>
      <c r="I112" s="4" t="str">
        <f aca="true">IF(G112="","",IF(G112&lt;TODAY(),"已到期",IF(G112-TODAY()&lt;=60,"60日內到期（"&amp;(G112-TODAY())&amp;"日）","")))</f>
        <v/>
      </c>
      <c r="J112" s="10"/>
      <c r="K112" s="52"/>
      <c r="L112" s="10"/>
      <c r="M112" s="10"/>
      <c r="N112" s="10"/>
      <c r="O112" s="10"/>
      <c r="P112" s="36"/>
      <c r="Q112" s="10"/>
      <c r="R112" s="36"/>
      <c r="S112" s="10"/>
      <c r="T112" s="10"/>
      <c r="U112" s="10"/>
    </row>
    <row r="113" customFormat="false" ht="15" hidden="false" customHeight="false" outlineLevel="0" collapsed="false">
      <c r="A113" s="10"/>
      <c r="B113" s="10"/>
      <c r="C113" s="10"/>
      <c r="D113" s="10"/>
      <c r="E113" s="10"/>
      <c r="F113" s="36"/>
      <c r="G113" s="36"/>
      <c r="H113" s="4" t="str">
        <f aca="false">IF(OR(F113="",G113=""),"",DATEDIF(F113,G113+1,"y")&amp;"年"&amp;DATEDIF(F113,G113+1,"ym")&amp;"個月")</f>
        <v/>
      </c>
      <c r="I113" s="4" t="str">
        <f aca="true">IF(G113="","",IF(G113&lt;TODAY(),"已到期",IF(G113-TODAY()&lt;=60,"60日內到期（"&amp;(G113-TODAY())&amp;"日）","")))</f>
        <v/>
      </c>
      <c r="J113" s="10"/>
      <c r="K113" s="52"/>
      <c r="L113" s="10"/>
      <c r="M113" s="10"/>
      <c r="N113" s="10"/>
      <c r="O113" s="10"/>
      <c r="P113" s="36"/>
      <c r="Q113" s="10"/>
      <c r="R113" s="36"/>
      <c r="S113" s="10"/>
      <c r="T113" s="10"/>
      <c r="U113" s="10"/>
    </row>
    <row r="114" customFormat="false" ht="15" hidden="false" customHeight="false" outlineLevel="0" collapsed="false">
      <c r="A114" s="10"/>
      <c r="B114" s="10"/>
      <c r="C114" s="10"/>
      <c r="D114" s="10"/>
      <c r="E114" s="10"/>
      <c r="F114" s="36"/>
      <c r="G114" s="36"/>
      <c r="H114" s="4" t="str">
        <f aca="false">IF(OR(F114="",G114=""),"",DATEDIF(F114,G114+1,"y")&amp;"年"&amp;DATEDIF(F114,G114+1,"ym")&amp;"個月")</f>
        <v/>
      </c>
      <c r="I114" s="4" t="str">
        <f aca="true">IF(G114="","",IF(G114&lt;TODAY(),"已到期",IF(G114-TODAY()&lt;=60,"60日內到期（"&amp;(G114-TODAY())&amp;"日）","")))</f>
        <v/>
      </c>
      <c r="J114" s="10"/>
      <c r="K114" s="52"/>
      <c r="L114" s="10"/>
      <c r="M114" s="10"/>
      <c r="N114" s="10"/>
      <c r="O114" s="10"/>
      <c r="P114" s="36"/>
      <c r="Q114" s="10"/>
      <c r="R114" s="36"/>
      <c r="S114" s="10"/>
      <c r="T114" s="10"/>
      <c r="U114" s="10"/>
    </row>
    <row r="115" customFormat="false" ht="15" hidden="false" customHeight="false" outlineLevel="0" collapsed="false">
      <c r="A115" s="10"/>
      <c r="B115" s="10"/>
      <c r="C115" s="10"/>
      <c r="D115" s="10"/>
      <c r="E115" s="10"/>
      <c r="F115" s="36"/>
      <c r="G115" s="36"/>
      <c r="H115" s="4" t="str">
        <f aca="false">IF(OR(F115="",G115=""),"",DATEDIF(F115,G115+1,"y")&amp;"年"&amp;DATEDIF(F115,G115+1,"ym")&amp;"個月")</f>
        <v/>
      </c>
      <c r="I115" s="4" t="str">
        <f aca="true">IF(G115="","",IF(G115&lt;TODAY(),"已到期",IF(G115-TODAY()&lt;=60,"60日內到期（"&amp;(G115-TODAY())&amp;"日）","")))</f>
        <v/>
      </c>
      <c r="J115" s="10"/>
      <c r="K115" s="52"/>
      <c r="L115" s="10"/>
      <c r="M115" s="10"/>
      <c r="N115" s="10"/>
      <c r="O115" s="10"/>
      <c r="P115" s="36"/>
      <c r="Q115" s="10"/>
      <c r="R115" s="36"/>
      <c r="S115" s="10"/>
      <c r="T115" s="10"/>
      <c r="U115" s="10"/>
    </row>
    <row r="116" customFormat="false" ht="15" hidden="false" customHeight="false" outlineLevel="0" collapsed="false">
      <c r="A116" s="10"/>
      <c r="B116" s="10"/>
      <c r="C116" s="10"/>
      <c r="D116" s="10"/>
      <c r="E116" s="10"/>
      <c r="F116" s="36"/>
      <c r="G116" s="36"/>
      <c r="H116" s="4" t="str">
        <f aca="false">IF(OR(F116="",G116=""),"",DATEDIF(F116,G116+1,"y")&amp;"年"&amp;DATEDIF(F116,G116+1,"ym")&amp;"個月")</f>
        <v/>
      </c>
      <c r="I116" s="4" t="str">
        <f aca="true">IF(G116="","",IF(G116&lt;TODAY(),"已到期",IF(G116-TODAY()&lt;=60,"60日內到期（"&amp;(G116-TODAY())&amp;"日）","")))</f>
        <v/>
      </c>
      <c r="J116" s="10"/>
      <c r="K116" s="52"/>
      <c r="L116" s="10"/>
      <c r="M116" s="10"/>
      <c r="N116" s="10"/>
      <c r="O116" s="10"/>
      <c r="P116" s="36"/>
      <c r="Q116" s="10"/>
      <c r="R116" s="36"/>
      <c r="S116" s="10"/>
      <c r="T116" s="10"/>
      <c r="U116" s="10"/>
    </row>
    <row r="117" customFormat="false" ht="15" hidden="false" customHeight="false" outlineLevel="0" collapsed="false">
      <c r="A117" s="10"/>
      <c r="B117" s="10"/>
      <c r="C117" s="10"/>
      <c r="D117" s="10"/>
      <c r="E117" s="10"/>
      <c r="F117" s="36"/>
      <c r="G117" s="36"/>
      <c r="H117" s="4" t="str">
        <f aca="false">IF(OR(F117="",G117=""),"",DATEDIF(F117,G117+1,"y")&amp;"年"&amp;DATEDIF(F117,G117+1,"ym")&amp;"個月")</f>
        <v/>
      </c>
      <c r="I117" s="4" t="str">
        <f aca="true">IF(G117="","",IF(G117&lt;TODAY(),"已到期",IF(G117-TODAY()&lt;=60,"60日內到期（"&amp;(G117-TODAY())&amp;"日）","")))</f>
        <v/>
      </c>
      <c r="J117" s="10"/>
      <c r="K117" s="52"/>
      <c r="L117" s="10"/>
      <c r="M117" s="10"/>
      <c r="N117" s="10"/>
      <c r="O117" s="10"/>
      <c r="P117" s="36"/>
      <c r="Q117" s="10"/>
      <c r="R117" s="36"/>
      <c r="S117" s="10"/>
      <c r="T117" s="10"/>
      <c r="U117" s="10"/>
    </row>
    <row r="118" customFormat="false" ht="15" hidden="false" customHeight="false" outlineLevel="0" collapsed="false">
      <c r="A118" s="10"/>
      <c r="B118" s="10"/>
      <c r="C118" s="10"/>
      <c r="D118" s="10"/>
      <c r="E118" s="10"/>
      <c r="F118" s="36"/>
      <c r="G118" s="36"/>
      <c r="H118" s="4" t="str">
        <f aca="false">IF(OR(F118="",G118=""),"",DATEDIF(F118,G118+1,"y")&amp;"年"&amp;DATEDIF(F118,G118+1,"ym")&amp;"個月")</f>
        <v/>
      </c>
      <c r="I118" s="4" t="str">
        <f aca="true">IF(G118="","",IF(G118&lt;TODAY(),"已到期",IF(G118-TODAY()&lt;=60,"60日內到期（"&amp;(G118-TODAY())&amp;"日）","")))</f>
        <v/>
      </c>
      <c r="J118" s="10"/>
      <c r="K118" s="52"/>
      <c r="L118" s="10"/>
      <c r="M118" s="10"/>
      <c r="N118" s="10"/>
      <c r="O118" s="10"/>
      <c r="P118" s="36"/>
      <c r="Q118" s="10"/>
      <c r="R118" s="36"/>
      <c r="S118" s="10"/>
      <c r="T118" s="10"/>
      <c r="U118" s="10"/>
    </row>
    <row r="119" customFormat="false" ht="15" hidden="false" customHeight="false" outlineLevel="0" collapsed="false">
      <c r="A119" s="10"/>
      <c r="B119" s="10"/>
      <c r="C119" s="10"/>
      <c r="D119" s="10"/>
      <c r="E119" s="10"/>
      <c r="F119" s="36"/>
      <c r="G119" s="36"/>
      <c r="H119" s="4" t="str">
        <f aca="false">IF(OR(F119="",G119=""),"",DATEDIF(F119,G119+1,"y")&amp;"年"&amp;DATEDIF(F119,G119+1,"ym")&amp;"個月")</f>
        <v/>
      </c>
      <c r="I119" s="4" t="str">
        <f aca="true">IF(G119="","",IF(G119&lt;TODAY(),"已到期",IF(G119-TODAY()&lt;=60,"60日內到期（"&amp;(G119-TODAY())&amp;"日）","")))</f>
        <v/>
      </c>
      <c r="J119" s="10"/>
      <c r="K119" s="52"/>
      <c r="L119" s="10"/>
      <c r="M119" s="10"/>
      <c r="N119" s="10"/>
      <c r="O119" s="10"/>
      <c r="P119" s="36"/>
      <c r="Q119" s="10"/>
      <c r="R119" s="36"/>
      <c r="S119" s="10"/>
      <c r="T119" s="10"/>
      <c r="U119" s="10"/>
    </row>
    <row r="120" customFormat="false" ht="15" hidden="false" customHeight="false" outlineLevel="0" collapsed="false">
      <c r="A120" s="10"/>
      <c r="B120" s="10"/>
      <c r="C120" s="10"/>
      <c r="D120" s="10"/>
      <c r="E120" s="10"/>
      <c r="F120" s="36"/>
      <c r="G120" s="36"/>
      <c r="H120" s="4" t="str">
        <f aca="false">IF(OR(F120="",G120=""),"",DATEDIF(F120,G120+1,"y")&amp;"年"&amp;DATEDIF(F120,G120+1,"ym")&amp;"個月")</f>
        <v/>
      </c>
      <c r="I120" s="4" t="str">
        <f aca="true">IF(G120="","",IF(G120&lt;TODAY(),"已到期",IF(G120-TODAY()&lt;=60,"60日內到期（"&amp;(G120-TODAY())&amp;"日）","")))</f>
        <v/>
      </c>
      <c r="J120" s="10"/>
      <c r="K120" s="52"/>
      <c r="L120" s="10"/>
      <c r="M120" s="10"/>
      <c r="N120" s="10"/>
      <c r="O120" s="10"/>
      <c r="P120" s="36"/>
      <c r="Q120" s="10"/>
      <c r="R120" s="36"/>
      <c r="S120" s="10"/>
      <c r="T120" s="10"/>
      <c r="U120" s="10"/>
    </row>
    <row r="121" customFormat="false" ht="15" hidden="false" customHeight="false" outlineLevel="0" collapsed="false">
      <c r="A121" s="10"/>
      <c r="B121" s="10"/>
      <c r="C121" s="10"/>
      <c r="D121" s="10"/>
      <c r="E121" s="10"/>
      <c r="F121" s="36"/>
      <c r="G121" s="36"/>
      <c r="H121" s="4" t="str">
        <f aca="false">IF(OR(F121="",G121=""),"",DATEDIF(F121,G121+1,"y")&amp;"年"&amp;DATEDIF(F121,G121+1,"ym")&amp;"個月")</f>
        <v/>
      </c>
      <c r="I121" s="4" t="str">
        <f aca="true">IF(G121="","",IF(G121&lt;TODAY(),"已到期",IF(G121-TODAY()&lt;=60,"60日內到期（"&amp;(G121-TODAY())&amp;"日）","")))</f>
        <v/>
      </c>
      <c r="J121" s="10"/>
      <c r="K121" s="52"/>
      <c r="L121" s="10"/>
      <c r="M121" s="10"/>
      <c r="N121" s="10"/>
      <c r="O121" s="10"/>
      <c r="P121" s="36"/>
      <c r="Q121" s="10"/>
      <c r="R121" s="36"/>
      <c r="S121" s="10"/>
      <c r="T121" s="10"/>
      <c r="U121" s="10"/>
    </row>
    <row r="122" customFormat="false" ht="15" hidden="false" customHeight="false" outlineLevel="0" collapsed="false">
      <c r="A122" s="10"/>
      <c r="B122" s="10"/>
      <c r="C122" s="10"/>
      <c r="D122" s="10"/>
      <c r="E122" s="10"/>
      <c r="F122" s="36"/>
      <c r="G122" s="36"/>
      <c r="H122" s="4" t="str">
        <f aca="false">IF(OR(F122="",G122=""),"",DATEDIF(F122,G122+1,"y")&amp;"年"&amp;DATEDIF(F122,G122+1,"ym")&amp;"個月")</f>
        <v/>
      </c>
      <c r="I122" s="4" t="str">
        <f aca="true">IF(G122="","",IF(G122&lt;TODAY(),"已到期",IF(G122-TODAY()&lt;=60,"60日內到期（"&amp;(G122-TODAY())&amp;"日）","")))</f>
        <v/>
      </c>
      <c r="J122" s="10"/>
      <c r="K122" s="52"/>
      <c r="L122" s="10"/>
      <c r="M122" s="10"/>
      <c r="N122" s="10"/>
      <c r="O122" s="10"/>
      <c r="P122" s="36"/>
      <c r="Q122" s="10"/>
      <c r="R122" s="36"/>
      <c r="S122" s="10"/>
      <c r="T122" s="10"/>
      <c r="U122" s="10"/>
    </row>
    <row r="123" customFormat="false" ht="15" hidden="false" customHeight="false" outlineLevel="0" collapsed="false">
      <c r="A123" s="10"/>
      <c r="B123" s="10"/>
      <c r="C123" s="10"/>
      <c r="D123" s="10"/>
      <c r="E123" s="10"/>
      <c r="F123" s="36"/>
      <c r="G123" s="36"/>
      <c r="H123" s="4" t="str">
        <f aca="false">IF(OR(F123="",G123=""),"",DATEDIF(F123,G123+1,"y")&amp;"年"&amp;DATEDIF(F123,G123+1,"ym")&amp;"個月")</f>
        <v/>
      </c>
      <c r="I123" s="4" t="str">
        <f aca="true">IF(G123="","",IF(G123&lt;TODAY(),"已到期",IF(G123-TODAY()&lt;=60,"60日內到期（"&amp;(G123-TODAY())&amp;"日）","")))</f>
        <v/>
      </c>
      <c r="J123" s="10"/>
      <c r="K123" s="52"/>
      <c r="L123" s="10"/>
      <c r="M123" s="10"/>
      <c r="N123" s="10"/>
      <c r="O123" s="10"/>
      <c r="P123" s="36"/>
      <c r="Q123" s="10"/>
      <c r="R123" s="36"/>
      <c r="S123" s="10"/>
      <c r="T123" s="10"/>
      <c r="U123" s="10"/>
    </row>
    <row r="124" customFormat="false" ht="15" hidden="false" customHeight="false" outlineLevel="0" collapsed="false">
      <c r="A124" s="10"/>
      <c r="B124" s="10"/>
      <c r="C124" s="10"/>
      <c r="D124" s="10"/>
      <c r="E124" s="10"/>
      <c r="F124" s="36"/>
      <c r="G124" s="36"/>
      <c r="H124" s="4" t="str">
        <f aca="false">IF(OR(F124="",G124=""),"",DATEDIF(F124,G124+1,"y")&amp;"年"&amp;DATEDIF(F124,G124+1,"ym")&amp;"個月")</f>
        <v/>
      </c>
      <c r="I124" s="4" t="str">
        <f aca="true">IF(G124="","",IF(G124&lt;TODAY(),"已到期",IF(G124-TODAY()&lt;=60,"60日內到期（"&amp;(G124-TODAY())&amp;"日）","")))</f>
        <v/>
      </c>
      <c r="J124" s="10"/>
      <c r="K124" s="52"/>
      <c r="L124" s="10"/>
      <c r="M124" s="10"/>
      <c r="N124" s="10"/>
      <c r="O124" s="10"/>
      <c r="P124" s="36"/>
      <c r="Q124" s="10"/>
      <c r="R124" s="36"/>
      <c r="S124" s="10"/>
      <c r="T124" s="10"/>
      <c r="U124" s="10"/>
    </row>
    <row r="125" customFormat="false" ht="15" hidden="false" customHeight="false" outlineLevel="0" collapsed="false">
      <c r="A125" s="10"/>
      <c r="B125" s="10"/>
      <c r="C125" s="10"/>
      <c r="D125" s="10"/>
      <c r="E125" s="10"/>
      <c r="F125" s="36"/>
      <c r="G125" s="36"/>
      <c r="H125" s="4" t="str">
        <f aca="false">IF(OR(F125="",G125=""),"",DATEDIF(F125,G125+1,"y")&amp;"年"&amp;DATEDIF(F125,G125+1,"ym")&amp;"個月")</f>
        <v/>
      </c>
      <c r="I125" s="4" t="str">
        <f aca="true">IF(G125="","",IF(G125&lt;TODAY(),"已到期",IF(G125-TODAY()&lt;=60,"60日內到期（"&amp;(G125-TODAY())&amp;"日）","")))</f>
        <v/>
      </c>
      <c r="J125" s="10"/>
      <c r="K125" s="52"/>
      <c r="L125" s="10"/>
      <c r="M125" s="10"/>
      <c r="N125" s="10"/>
      <c r="O125" s="10"/>
      <c r="P125" s="36"/>
      <c r="Q125" s="10"/>
      <c r="R125" s="36"/>
      <c r="S125" s="10"/>
      <c r="T125" s="10"/>
      <c r="U125" s="10"/>
    </row>
    <row r="126" customFormat="false" ht="15" hidden="false" customHeight="false" outlineLevel="0" collapsed="false">
      <c r="A126" s="10"/>
      <c r="B126" s="10"/>
      <c r="C126" s="10"/>
      <c r="D126" s="10"/>
      <c r="E126" s="10"/>
      <c r="F126" s="36"/>
      <c r="G126" s="36"/>
      <c r="H126" s="4" t="str">
        <f aca="false">IF(OR(F126="",G126=""),"",DATEDIF(F126,G126+1,"y")&amp;"年"&amp;DATEDIF(F126,G126+1,"ym")&amp;"個月")</f>
        <v/>
      </c>
      <c r="I126" s="4" t="str">
        <f aca="true">IF(G126="","",IF(G126&lt;TODAY(),"已到期",IF(G126-TODAY()&lt;=60,"60日內到期（"&amp;(G126-TODAY())&amp;"日）","")))</f>
        <v/>
      </c>
      <c r="J126" s="10"/>
      <c r="K126" s="52"/>
      <c r="L126" s="10"/>
      <c r="M126" s="10"/>
      <c r="N126" s="10"/>
      <c r="O126" s="10"/>
      <c r="P126" s="36"/>
      <c r="Q126" s="10"/>
      <c r="R126" s="36"/>
      <c r="S126" s="10"/>
      <c r="T126" s="10"/>
      <c r="U126" s="10"/>
    </row>
    <row r="127" customFormat="false" ht="15" hidden="false" customHeight="false" outlineLevel="0" collapsed="false">
      <c r="A127" s="10"/>
      <c r="B127" s="10"/>
      <c r="C127" s="10"/>
      <c r="D127" s="10"/>
      <c r="E127" s="10"/>
      <c r="F127" s="36"/>
      <c r="G127" s="36"/>
      <c r="H127" s="4" t="str">
        <f aca="false">IF(OR(F127="",G127=""),"",DATEDIF(F127,G127+1,"y")&amp;"年"&amp;DATEDIF(F127,G127+1,"ym")&amp;"個月")</f>
        <v/>
      </c>
      <c r="I127" s="4" t="str">
        <f aca="true">IF(G127="","",IF(G127&lt;TODAY(),"已到期",IF(G127-TODAY()&lt;=60,"60日內到期（"&amp;(G127-TODAY())&amp;"日）","")))</f>
        <v/>
      </c>
      <c r="J127" s="10"/>
      <c r="K127" s="52"/>
      <c r="L127" s="10"/>
      <c r="M127" s="10"/>
      <c r="N127" s="10"/>
      <c r="O127" s="10"/>
      <c r="P127" s="36"/>
      <c r="Q127" s="10"/>
      <c r="R127" s="36"/>
      <c r="S127" s="10"/>
      <c r="T127" s="10"/>
      <c r="U127" s="10"/>
    </row>
    <row r="128" customFormat="false" ht="15" hidden="false" customHeight="false" outlineLevel="0" collapsed="false">
      <c r="A128" s="10"/>
      <c r="B128" s="10"/>
      <c r="C128" s="10"/>
      <c r="D128" s="10"/>
      <c r="E128" s="10"/>
      <c r="F128" s="36"/>
      <c r="G128" s="36"/>
      <c r="H128" s="4" t="str">
        <f aca="false">IF(OR(F128="",G128=""),"",DATEDIF(F128,G128+1,"y")&amp;"年"&amp;DATEDIF(F128,G128+1,"ym")&amp;"個月")</f>
        <v/>
      </c>
      <c r="I128" s="4" t="str">
        <f aca="true">IF(G128="","",IF(G128&lt;TODAY(),"已到期",IF(G128-TODAY()&lt;=60,"60日內到期（"&amp;(G128-TODAY())&amp;"日）","")))</f>
        <v/>
      </c>
      <c r="J128" s="10"/>
      <c r="K128" s="52"/>
      <c r="L128" s="10"/>
      <c r="M128" s="10"/>
      <c r="N128" s="10"/>
      <c r="O128" s="10"/>
      <c r="P128" s="36"/>
      <c r="Q128" s="10"/>
      <c r="R128" s="36"/>
      <c r="S128" s="10"/>
      <c r="T128" s="10"/>
      <c r="U128" s="10"/>
    </row>
    <row r="129" customFormat="false" ht="15" hidden="false" customHeight="false" outlineLevel="0" collapsed="false">
      <c r="A129" s="10"/>
      <c r="B129" s="10"/>
      <c r="C129" s="10"/>
      <c r="D129" s="10"/>
      <c r="E129" s="10"/>
      <c r="F129" s="36"/>
      <c r="G129" s="36"/>
      <c r="H129" s="4" t="str">
        <f aca="false">IF(OR(F129="",G129=""),"",DATEDIF(F129,G129+1,"y")&amp;"年"&amp;DATEDIF(F129,G129+1,"ym")&amp;"個月")</f>
        <v/>
      </c>
      <c r="I129" s="4" t="str">
        <f aca="true">IF(G129="","",IF(G129&lt;TODAY(),"已到期",IF(G129-TODAY()&lt;=60,"60日內到期（"&amp;(G129-TODAY())&amp;"日）","")))</f>
        <v/>
      </c>
      <c r="J129" s="10"/>
      <c r="K129" s="52"/>
      <c r="L129" s="10"/>
      <c r="M129" s="10"/>
      <c r="N129" s="10"/>
      <c r="O129" s="10"/>
      <c r="P129" s="36"/>
      <c r="Q129" s="10"/>
      <c r="R129" s="36"/>
      <c r="S129" s="10"/>
      <c r="T129" s="10"/>
      <c r="U129" s="10"/>
    </row>
    <row r="130" customFormat="false" ht="15" hidden="false" customHeight="false" outlineLevel="0" collapsed="false">
      <c r="A130" s="10"/>
      <c r="B130" s="10"/>
      <c r="C130" s="10"/>
      <c r="D130" s="10"/>
      <c r="E130" s="10"/>
      <c r="F130" s="36"/>
      <c r="G130" s="36"/>
      <c r="H130" s="4" t="str">
        <f aca="false">IF(OR(F130="",G130=""),"",DATEDIF(F130,G130+1,"y")&amp;"年"&amp;DATEDIF(F130,G130+1,"ym")&amp;"個月")</f>
        <v/>
      </c>
      <c r="I130" s="4" t="str">
        <f aca="true">IF(G130="","",IF(G130&lt;TODAY(),"已到期",IF(G130-TODAY()&lt;=60,"60日內到期（"&amp;(G130-TODAY())&amp;"日）","")))</f>
        <v/>
      </c>
      <c r="J130" s="10"/>
      <c r="K130" s="52"/>
      <c r="L130" s="10"/>
      <c r="M130" s="10"/>
      <c r="N130" s="10"/>
      <c r="O130" s="10"/>
      <c r="P130" s="36"/>
      <c r="Q130" s="10"/>
      <c r="R130" s="36"/>
      <c r="S130" s="10"/>
      <c r="T130" s="10"/>
      <c r="U130" s="10"/>
    </row>
    <row r="131" customFormat="false" ht="15" hidden="false" customHeight="false" outlineLevel="0" collapsed="false">
      <c r="A131" s="10"/>
      <c r="B131" s="10"/>
      <c r="C131" s="10"/>
      <c r="D131" s="10"/>
      <c r="E131" s="10"/>
      <c r="F131" s="36"/>
      <c r="G131" s="36"/>
      <c r="H131" s="4" t="str">
        <f aca="false">IF(OR(F131="",G131=""),"",DATEDIF(F131,G131+1,"y")&amp;"年"&amp;DATEDIF(F131,G131+1,"ym")&amp;"個月")</f>
        <v/>
      </c>
      <c r="I131" s="4" t="str">
        <f aca="true">IF(G131="","",IF(G131&lt;TODAY(),"已到期",IF(G131-TODAY()&lt;=60,"60日內到期（"&amp;(G131-TODAY())&amp;"日）","")))</f>
        <v/>
      </c>
      <c r="J131" s="10"/>
      <c r="K131" s="52"/>
      <c r="L131" s="10"/>
      <c r="M131" s="10"/>
      <c r="N131" s="10"/>
      <c r="O131" s="10"/>
      <c r="P131" s="36"/>
      <c r="Q131" s="10"/>
      <c r="R131" s="36"/>
      <c r="S131" s="10"/>
      <c r="T131" s="10"/>
      <c r="U131" s="10"/>
    </row>
    <row r="132" customFormat="false" ht="15" hidden="false" customHeight="false" outlineLevel="0" collapsed="false">
      <c r="A132" s="10"/>
      <c r="B132" s="10"/>
      <c r="C132" s="10"/>
      <c r="D132" s="10"/>
      <c r="E132" s="10"/>
      <c r="F132" s="36"/>
      <c r="G132" s="36"/>
      <c r="H132" s="4" t="str">
        <f aca="false">IF(OR(F132="",G132=""),"",DATEDIF(F132,G132+1,"y")&amp;"年"&amp;DATEDIF(F132,G132+1,"ym")&amp;"個月")</f>
        <v/>
      </c>
      <c r="I132" s="4" t="str">
        <f aca="true">IF(G132="","",IF(G132&lt;TODAY(),"已到期",IF(G132-TODAY()&lt;=60,"60日內到期（"&amp;(G132-TODAY())&amp;"日）","")))</f>
        <v/>
      </c>
      <c r="J132" s="10"/>
      <c r="K132" s="52"/>
      <c r="L132" s="10"/>
      <c r="M132" s="10"/>
      <c r="N132" s="10"/>
      <c r="O132" s="10"/>
      <c r="P132" s="36"/>
      <c r="Q132" s="10"/>
      <c r="R132" s="36"/>
      <c r="S132" s="10"/>
      <c r="T132" s="10"/>
      <c r="U132" s="10"/>
    </row>
    <row r="133" customFormat="false" ht="15" hidden="false" customHeight="false" outlineLevel="0" collapsed="false">
      <c r="A133" s="10"/>
      <c r="B133" s="10"/>
      <c r="C133" s="10"/>
      <c r="D133" s="10"/>
      <c r="E133" s="10"/>
      <c r="F133" s="36"/>
      <c r="G133" s="36"/>
      <c r="H133" s="4" t="str">
        <f aca="false">IF(OR(F133="",G133=""),"",DATEDIF(F133,G133+1,"y")&amp;"年"&amp;DATEDIF(F133,G133+1,"ym")&amp;"個月")</f>
        <v/>
      </c>
      <c r="I133" s="4" t="str">
        <f aca="true">IF(G133="","",IF(G133&lt;TODAY(),"已到期",IF(G133-TODAY()&lt;=60,"60日內到期（"&amp;(G133-TODAY())&amp;"日）","")))</f>
        <v/>
      </c>
      <c r="J133" s="10"/>
      <c r="K133" s="52"/>
      <c r="L133" s="10"/>
      <c r="M133" s="10"/>
      <c r="N133" s="10"/>
      <c r="O133" s="10"/>
      <c r="P133" s="36"/>
      <c r="Q133" s="10"/>
      <c r="R133" s="36"/>
      <c r="S133" s="10"/>
      <c r="T133" s="10"/>
      <c r="U133" s="10"/>
    </row>
    <row r="134" customFormat="false" ht="15" hidden="false" customHeight="false" outlineLevel="0" collapsed="false">
      <c r="A134" s="10"/>
      <c r="B134" s="10"/>
      <c r="C134" s="10"/>
      <c r="D134" s="10"/>
      <c r="E134" s="10"/>
      <c r="F134" s="36"/>
      <c r="G134" s="36"/>
      <c r="H134" s="4" t="str">
        <f aca="false">IF(OR(F134="",G134=""),"",DATEDIF(F134,G134+1,"y")&amp;"年"&amp;DATEDIF(F134,G134+1,"ym")&amp;"個月")</f>
        <v/>
      </c>
      <c r="I134" s="4" t="str">
        <f aca="true">IF(G134="","",IF(G134&lt;TODAY(),"已到期",IF(G134-TODAY()&lt;=60,"60日內到期（"&amp;(G134-TODAY())&amp;"日）","")))</f>
        <v/>
      </c>
      <c r="J134" s="10"/>
      <c r="K134" s="52"/>
      <c r="L134" s="10"/>
      <c r="M134" s="10"/>
      <c r="N134" s="10"/>
      <c r="O134" s="10"/>
      <c r="P134" s="36"/>
      <c r="Q134" s="10"/>
      <c r="R134" s="36"/>
      <c r="S134" s="10"/>
      <c r="T134" s="10"/>
      <c r="U134" s="10"/>
    </row>
    <row r="135" customFormat="false" ht="15" hidden="false" customHeight="false" outlineLevel="0" collapsed="false">
      <c r="A135" s="10"/>
      <c r="B135" s="10"/>
      <c r="C135" s="10"/>
      <c r="D135" s="10"/>
      <c r="E135" s="10"/>
      <c r="F135" s="36"/>
      <c r="G135" s="36"/>
      <c r="H135" s="4" t="str">
        <f aca="false">IF(OR(F135="",G135=""),"",DATEDIF(F135,G135+1,"y")&amp;"年"&amp;DATEDIF(F135,G135+1,"ym")&amp;"個月")</f>
        <v/>
      </c>
      <c r="I135" s="4" t="str">
        <f aca="true">IF(G135="","",IF(G135&lt;TODAY(),"已到期",IF(G135-TODAY()&lt;=60,"60日內到期（"&amp;(G135-TODAY())&amp;"日）","")))</f>
        <v/>
      </c>
      <c r="J135" s="10"/>
      <c r="K135" s="52"/>
      <c r="L135" s="10"/>
      <c r="M135" s="10"/>
      <c r="N135" s="10"/>
      <c r="O135" s="10"/>
      <c r="P135" s="36"/>
      <c r="Q135" s="10"/>
      <c r="R135" s="36"/>
      <c r="S135" s="10"/>
      <c r="T135" s="10"/>
      <c r="U135" s="10"/>
    </row>
    <row r="136" customFormat="false" ht="15" hidden="false" customHeight="false" outlineLevel="0" collapsed="false">
      <c r="A136" s="10"/>
      <c r="B136" s="10"/>
      <c r="C136" s="10"/>
      <c r="D136" s="10"/>
      <c r="E136" s="10"/>
      <c r="F136" s="36"/>
      <c r="G136" s="36"/>
      <c r="H136" s="4" t="str">
        <f aca="false">IF(OR(F136="",G136=""),"",DATEDIF(F136,G136+1,"y")&amp;"年"&amp;DATEDIF(F136,G136+1,"ym")&amp;"個月")</f>
        <v/>
      </c>
      <c r="I136" s="4" t="str">
        <f aca="true">IF(G136="","",IF(G136&lt;TODAY(),"已到期",IF(G136-TODAY()&lt;=60,"60日內到期（"&amp;(G136-TODAY())&amp;"日）","")))</f>
        <v/>
      </c>
      <c r="J136" s="10"/>
      <c r="K136" s="52"/>
      <c r="L136" s="10"/>
      <c r="M136" s="10"/>
      <c r="N136" s="10"/>
      <c r="O136" s="10"/>
      <c r="P136" s="36"/>
      <c r="Q136" s="10"/>
      <c r="R136" s="36"/>
      <c r="S136" s="10"/>
      <c r="T136" s="10"/>
      <c r="U136" s="10"/>
    </row>
    <row r="137" customFormat="false" ht="15" hidden="false" customHeight="false" outlineLevel="0" collapsed="false">
      <c r="A137" s="10"/>
      <c r="B137" s="10"/>
      <c r="C137" s="10"/>
      <c r="D137" s="10"/>
      <c r="E137" s="10"/>
      <c r="F137" s="36"/>
      <c r="G137" s="36"/>
      <c r="H137" s="4" t="str">
        <f aca="false">IF(OR(F137="",G137=""),"",DATEDIF(F137,G137+1,"y")&amp;"年"&amp;DATEDIF(F137,G137+1,"ym")&amp;"個月")</f>
        <v/>
      </c>
      <c r="I137" s="4" t="str">
        <f aca="true">IF(G137="","",IF(G137&lt;TODAY(),"已到期",IF(G137-TODAY()&lt;=60,"60日內到期（"&amp;(G137-TODAY())&amp;"日）","")))</f>
        <v/>
      </c>
      <c r="J137" s="10"/>
      <c r="K137" s="52"/>
      <c r="L137" s="10"/>
      <c r="M137" s="10"/>
      <c r="N137" s="10"/>
      <c r="O137" s="10"/>
      <c r="P137" s="36"/>
      <c r="Q137" s="10"/>
      <c r="R137" s="36"/>
      <c r="S137" s="10"/>
      <c r="T137" s="10"/>
      <c r="U137" s="10"/>
    </row>
    <row r="138" customFormat="false" ht="15" hidden="false" customHeight="false" outlineLevel="0" collapsed="false">
      <c r="A138" s="10"/>
      <c r="B138" s="10"/>
      <c r="C138" s="10"/>
      <c r="D138" s="10"/>
      <c r="E138" s="10"/>
      <c r="F138" s="36"/>
      <c r="G138" s="36"/>
      <c r="H138" s="4" t="str">
        <f aca="false">IF(OR(F138="",G138=""),"",DATEDIF(F138,G138+1,"y")&amp;"年"&amp;DATEDIF(F138,G138+1,"ym")&amp;"個月")</f>
        <v/>
      </c>
      <c r="I138" s="4" t="str">
        <f aca="true">IF(G138="","",IF(G138&lt;TODAY(),"已到期",IF(G138-TODAY()&lt;=60,"60日內到期（"&amp;(G138-TODAY())&amp;"日）","")))</f>
        <v/>
      </c>
      <c r="J138" s="10"/>
      <c r="K138" s="52"/>
      <c r="L138" s="10"/>
      <c r="M138" s="10"/>
      <c r="N138" s="10"/>
      <c r="O138" s="10"/>
      <c r="P138" s="36"/>
      <c r="Q138" s="10"/>
      <c r="R138" s="36"/>
      <c r="S138" s="10"/>
      <c r="T138" s="10"/>
      <c r="U138" s="10"/>
    </row>
    <row r="139" customFormat="false" ht="15" hidden="false" customHeight="false" outlineLevel="0" collapsed="false">
      <c r="A139" s="10"/>
      <c r="B139" s="10"/>
      <c r="C139" s="10"/>
      <c r="D139" s="10"/>
      <c r="E139" s="10"/>
      <c r="F139" s="36"/>
      <c r="G139" s="36"/>
      <c r="H139" s="4" t="str">
        <f aca="false">IF(OR(F139="",G139=""),"",DATEDIF(F139,G139+1,"y")&amp;"年"&amp;DATEDIF(F139,G139+1,"ym")&amp;"個月")</f>
        <v/>
      </c>
      <c r="I139" s="4" t="str">
        <f aca="true">IF(G139="","",IF(G139&lt;TODAY(),"已到期",IF(G139-TODAY()&lt;=60,"60日內到期（"&amp;(G139-TODAY())&amp;"日）","")))</f>
        <v/>
      </c>
      <c r="J139" s="10"/>
      <c r="K139" s="52"/>
      <c r="L139" s="10"/>
      <c r="M139" s="10"/>
      <c r="N139" s="10"/>
      <c r="O139" s="10"/>
      <c r="P139" s="36"/>
      <c r="Q139" s="10"/>
      <c r="R139" s="36"/>
      <c r="S139" s="10"/>
      <c r="T139" s="10"/>
      <c r="U139" s="10"/>
    </row>
    <row r="140" customFormat="false" ht="15" hidden="false" customHeight="false" outlineLevel="0" collapsed="false">
      <c r="A140" s="10"/>
      <c r="B140" s="10"/>
      <c r="C140" s="10"/>
      <c r="D140" s="10"/>
      <c r="E140" s="10"/>
      <c r="F140" s="36"/>
      <c r="G140" s="36"/>
      <c r="H140" s="4" t="str">
        <f aca="false">IF(OR(F140="",G140=""),"",DATEDIF(F140,G140+1,"y")&amp;"年"&amp;DATEDIF(F140,G140+1,"ym")&amp;"個月")</f>
        <v/>
      </c>
      <c r="I140" s="4" t="str">
        <f aca="true">IF(G140="","",IF(G140&lt;TODAY(),"已到期",IF(G140-TODAY()&lt;=60,"60日內到期（"&amp;(G140-TODAY())&amp;"日）","")))</f>
        <v/>
      </c>
      <c r="J140" s="10"/>
      <c r="K140" s="52"/>
      <c r="L140" s="10"/>
      <c r="M140" s="10"/>
      <c r="N140" s="10"/>
      <c r="O140" s="10"/>
      <c r="P140" s="36"/>
      <c r="Q140" s="10"/>
      <c r="R140" s="36"/>
      <c r="S140" s="10"/>
      <c r="T140" s="10"/>
      <c r="U140" s="10"/>
    </row>
    <row r="141" customFormat="false" ht="15" hidden="false" customHeight="false" outlineLevel="0" collapsed="false">
      <c r="A141" s="10"/>
      <c r="B141" s="10"/>
      <c r="C141" s="10"/>
      <c r="D141" s="10"/>
      <c r="E141" s="10"/>
      <c r="F141" s="36"/>
      <c r="G141" s="36"/>
      <c r="H141" s="4" t="str">
        <f aca="false">IF(OR(F141="",G141=""),"",DATEDIF(F141,G141+1,"y")&amp;"年"&amp;DATEDIF(F141,G141+1,"ym")&amp;"個月")</f>
        <v/>
      </c>
      <c r="I141" s="4" t="str">
        <f aca="true">IF(G141="","",IF(G141&lt;TODAY(),"已到期",IF(G141-TODAY()&lt;=60,"60日內到期（"&amp;(G141-TODAY())&amp;"日）","")))</f>
        <v/>
      </c>
      <c r="J141" s="10"/>
      <c r="K141" s="52"/>
      <c r="L141" s="10"/>
      <c r="M141" s="10"/>
      <c r="N141" s="10"/>
      <c r="O141" s="10"/>
      <c r="P141" s="36"/>
      <c r="Q141" s="10"/>
      <c r="R141" s="36"/>
      <c r="S141" s="10"/>
      <c r="T141" s="10"/>
      <c r="U141" s="10"/>
    </row>
    <row r="142" customFormat="false" ht="15" hidden="false" customHeight="false" outlineLevel="0" collapsed="false">
      <c r="A142" s="10"/>
      <c r="B142" s="10"/>
      <c r="C142" s="10"/>
      <c r="D142" s="10"/>
      <c r="E142" s="10"/>
      <c r="F142" s="36"/>
      <c r="G142" s="36"/>
      <c r="H142" s="4" t="str">
        <f aca="false">IF(OR(F142="",G142=""),"",DATEDIF(F142,G142+1,"y")&amp;"年"&amp;DATEDIF(F142,G142+1,"ym")&amp;"個月")</f>
        <v/>
      </c>
      <c r="I142" s="4" t="str">
        <f aca="true">IF(G142="","",IF(G142&lt;TODAY(),"已到期",IF(G142-TODAY()&lt;=60,"60日內到期（"&amp;(G142-TODAY())&amp;"日）","")))</f>
        <v/>
      </c>
      <c r="J142" s="10"/>
      <c r="K142" s="52"/>
      <c r="L142" s="10"/>
      <c r="M142" s="10"/>
      <c r="N142" s="10"/>
      <c r="O142" s="10"/>
      <c r="P142" s="36"/>
      <c r="Q142" s="10"/>
      <c r="R142" s="36"/>
      <c r="S142" s="10"/>
      <c r="T142" s="10"/>
      <c r="U142" s="10"/>
    </row>
    <row r="143" customFormat="false" ht="15" hidden="false" customHeight="false" outlineLevel="0" collapsed="false">
      <c r="A143" s="10"/>
      <c r="B143" s="10"/>
      <c r="C143" s="10"/>
      <c r="D143" s="10"/>
      <c r="E143" s="10"/>
      <c r="F143" s="36"/>
      <c r="G143" s="36"/>
      <c r="H143" s="4" t="str">
        <f aca="false">IF(OR(F143="",G143=""),"",DATEDIF(F143,G143+1,"y")&amp;"年"&amp;DATEDIF(F143,G143+1,"ym")&amp;"個月")</f>
        <v/>
      </c>
      <c r="I143" s="4" t="str">
        <f aca="true">IF(G143="","",IF(G143&lt;TODAY(),"已到期",IF(G143-TODAY()&lt;=60,"60日內到期（"&amp;(G143-TODAY())&amp;"日）","")))</f>
        <v/>
      </c>
      <c r="J143" s="10"/>
      <c r="K143" s="52"/>
      <c r="L143" s="10"/>
      <c r="M143" s="10"/>
      <c r="N143" s="10"/>
      <c r="O143" s="10"/>
      <c r="P143" s="36"/>
      <c r="Q143" s="10"/>
      <c r="R143" s="36"/>
      <c r="S143" s="10"/>
      <c r="T143" s="10"/>
      <c r="U143" s="10"/>
    </row>
    <row r="144" customFormat="false" ht="15" hidden="false" customHeight="false" outlineLevel="0" collapsed="false">
      <c r="A144" s="10"/>
      <c r="B144" s="10"/>
      <c r="C144" s="10"/>
      <c r="D144" s="10"/>
      <c r="E144" s="10"/>
      <c r="F144" s="36"/>
      <c r="G144" s="36"/>
      <c r="H144" s="4" t="str">
        <f aca="false">IF(OR(F144="",G144=""),"",DATEDIF(F144,G144+1,"y")&amp;"年"&amp;DATEDIF(F144,G144+1,"ym")&amp;"個月")</f>
        <v/>
      </c>
      <c r="I144" s="4" t="str">
        <f aca="true">IF(G144="","",IF(G144&lt;TODAY(),"已到期",IF(G144-TODAY()&lt;=60,"60日內到期（"&amp;(G144-TODAY())&amp;"日）","")))</f>
        <v/>
      </c>
      <c r="J144" s="10"/>
      <c r="K144" s="52"/>
      <c r="L144" s="10"/>
      <c r="M144" s="10"/>
      <c r="N144" s="10"/>
      <c r="O144" s="10"/>
      <c r="P144" s="36"/>
      <c r="Q144" s="10"/>
      <c r="R144" s="36"/>
      <c r="S144" s="10"/>
      <c r="T144" s="10"/>
      <c r="U144" s="10"/>
    </row>
    <row r="145" customFormat="false" ht="15" hidden="false" customHeight="false" outlineLevel="0" collapsed="false">
      <c r="A145" s="10"/>
      <c r="B145" s="10"/>
      <c r="C145" s="10"/>
      <c r="D145" s="10"/>
      <c r="E145" s="10"/>
      <c r="F145" s="36"/>
      <c r="G145" s="36"/>
      <c r="H145" s="4" t="str">
        <f aca="false">IF(OR(F145="",G145=""),"",DATEDIF(F145,G145+1,"y")&amp;"年"&amp;DATEDIF(F145,G145+1,"ym")&amp;"個月")</f>
        <v/>
      </c>
      <c r="I145" s="4" t="str">
        <f aca="true">IF(G145="","",IF(G145&lt;TODAY(),"已到期",IF(G145-TODAY()&lt;=60,"60日內到期（"&amp;(G145-TODAY())&amp;"日）","")))</f>
        <v/>
      </c>
      <c r="J145" s="10"/>
      <c r="K145" s="52"/>
      <c r="L145" s="10"/>
      <c r="M145" s="10"/>
      <c r="N145" s="10"/>
      <c r="O145" s="10"/>
      <c r="P145" s="36"/>
      <c r="Q145" s="10"/>
      <c r="R145" s="36"/>
      <c r="S145" s="10"/>
      <c r="T145" s="10"/>
      <c r="U145" s="10"/>
    </row>
    <row r="146" customFormat="false" ht="15" hidden="false" customHeight="false" outlineLevel="0" collapsed="false">
      <c r="A146" s="10"/>
      <c r="B146" s="10"/>
      <c r="C146" s="10"/>
      <c r="D146" s="10"/>
      <c r="E146" s="10"/>
      <c r="F146" s="36"/>
      <c r="G146" s="36"/>
      <c r="H146" s="4" t="str">
        <f aca="false">IF(OR(F146="",G146=""),"",DATEDIF(F146,G146+1,"y")&amp;"年"&amp;DATEDIF(F146,G146+1,"ym")&amp;"個月")</f>
        <v/>
      </c>
      <c r="I146" s="4" t="str">
        <f aca="true">IF(G146="","",IF(G146&lt;TODAY(),"已到期",IF(G146-TODAY()&lt;=60,"60日內到期（"&amp;(G146-TODAY())&amp;"日）","")))</f>
        <v/>
      </c>
      <c r="J146" s="10"/>
      <c r="K146" s="52"/>
      <c r="L146" s="10"/>
      <c r="M146" s="10"/>
      <c r="N146" s="10"/>
      <c r="O146" s="10"/>
      <c r="P146" s="36"/>
      <c r="Q146" s="10"/>
      <c r="R146" s="36"/>
      <c r="S146" s="10"/>
      <c r="T146" s="10"/>
      <c r="U146" s="10"/>
    </row>
    <row r="147" customFormat="false" ht="15" hidden="false" customHeight="false" outlineLevel="0" collapsed="false">
      <c r="A147" s="10"/>
      <c r="B147" s="10"/>
      <c r="C147" s="10"/>
      <c r="D147" s="10"/>
      <c r="E147" s="10"/>
      <c r="F147" s="36"/>
      <c r="G147" s="36"/>
      <c r="H147" s="4" t="str">
        <f aca="false">IF(OR(F147="",G147=""),"",DATEDIF(F147,G147+1,"y")&amp;"年"&amp;DATEDIF(F147,G147+1,"ym")&amp;"個月")</f>
        <v/>
      </c>
      <c r="I147" s="4" t="str">
        <f aca="true">IF(G147="","",IF(G147&lt;TODAY(),"已到期",IF(G147-TODAY()&lt;=60,"60日內到期（"&amp;(G147-TODAY())&amp;"日）","")))</f>
        <v/>
      </c>
      <c r="J147" s="10"/>
      <c r="K147" s="52"/>
      <c r="L147" s="10"/>
      <c r="M147" s="10"/>
      <c r="N147" s="10"/>
      <c r="O147" s="10"/>
      <c r="P147" s="36"/>
      <c r="Q147" s="10"/>
      <c r="R147" s="36"/>
      <c r="S147" s="10"/>
      <c r="T147" s="10"/>
      <c r="U147" s="10"/>
    </row>
    <row r="148" customFormat="false" ht="15" hidden="false" customHeight="false" outlineLevel="0" collapsed="false">
      <c r="A148" s="10"/>
      <c r="B148" s="10"/>
      <c r="C148" s="10"/>
      <c r="D148" s="10"/>
      <c r="E148" s="10"/>
      <c r="F148" s="36"/>
      <c r="G148" s="36"/>
      <c r="H148" s="4" t="str">
        <f aca="false">IF(OR(F148="",G148=""),"",DATEDIF(F148,G148+1,"y")&amp;"年"&amp;DATEDIF(F148,G148+1,"ym")&amp;"個月")</f>
        <v/>
      </c>
      <c r="I148" s="4" t="str">
        <f aca="true">IF(G148="","",IF(G148&lt;TODAY(),"已到期",IF(G148-TODAY()&lt;=60,"60日內到期（"&amp;(G148-TODAY())&amp;"日）","")))</f>
        <v/>
      </c>
      <c r="J148" s="10"/>
      <c r="K148" s="52"/>
      <c r="L148" s="10"/>
      <c r="M148" s="10"/>
      <c r="N148" s="10"/>
      <c r="O148" s="10"/>
      <c r="P148" s="36"/>
      <c r="Q148" s="10"/>
      <c r="R148" s="36"/>
      <c r="S148" s="10"/>
      <c r="T148" s="10"/>
      <c r="U148" s="10"/>
    </row>
    <row r="149" customFormat="false" ht="15" hidden="false" customHeight="false" outlineLevel="0" collapsed="false">
      <c r="A149" s="10"/>
      <c r="B149" s="10"/>
      <c r="C149" s="10"/>
      <c r="D149" s="10"/>
      <c r="E149" s="10"/>
      <c r="F149" s="36"/>
      <c r="G149" s="36"/>
      <c r="H149" s="4" t="str">
        <f aca="false">IF(OR(F149="",G149=""),"",DATEDIF(F149,G149+1,"y")&amp;"年"&amp;DATEDIF(F149,G149+1,"ym")&amp;"個月")</f>
        <v/>
      </c>
      <c r="I149" s="4" t="str">
        <f aca="true">IF(G149="","",IF(G149&lt;TODAY(),"已到期",IF(G149-TODAY()&lt;=60,"60日內到期（"&amp;(G149-TODAY())&amp;"日）","")))</f>
        <v/>
      </c>
      <c r="J149" s="10"/>
      <c r="K149" s="52"/>
      <c r="L149" s="10"/>
      <c r="M149" s="10"/>
      <c r="N149" s="10"/>
      <c r="O149" s="10"/>
      <c r="P149" s="36"/>
      <c r="Q149" s="10"/>
      <c r="R149" s="36"/>
      <c r="S149" s="10"/>
      <c r="T149" s="10"/>
      <c r="U149" s="10"/>
    </row>
    <row r="150" customFormat="false" ht="15" hidden="false" customHeight="false" outlineLevel="0" collapsed="false">
      <c r="A150" s="10"/>
      <c r="B150" s="10"/>
      <c r="C150" s="10"/>
      <c r="D150" s="10"/>
      <c r="E150" s="10"/>
      <c r="F150" s="36"/>
      <c r="G150" s="36"/>
      <c r="H150" s="4" t="str">
        <f aca="false">IF(OR(F150="",G150=""),"",DATEDIF(F150,G150+1,"y")&amp;"年"&amp;DATEDIF(F150,G150+1,"ym")&amp;"個月")</f>
        <v/>
      </c>
      <c r="I150" s="4" t="str">
        <f aca="true">IF(G150="","",IF(G150&lt;TODAY(),"已到期",IF(G150-TODAY()&lt;=60,"60日內到期（"&amp;(G150-TODAY())&amp;"日）","")))</f>
        <v/>
      </c>
      <c r="J150" s="10"/>
      <c r="K150" s="52"/>
      <c r="L150" s="10"/>
      <c r="M150" s="10"/>
      <c r="N150" s="10"/>
      <c r="O150" s="10"/>
      <c r="P150" s="36"/>
      <c r="Q150" s="10"/>
      <c r="R150" s="36"/>
      <c r="S150" s="10"/>
      <c r="T150" s="10"/>
      <c r="U150" s="10"/>
    </row>
    <row r="151" customFormat="false" ht="15" hidden="false" customHeight="false" outlineLevel="0" collapsed="false">
      <c r="A151" s="10"/>
      <c r="B151" s="10"/>
      <c r="C151" s="10"/>
      <c r="D151" s="10"/>
      <c r="E151" s="10"/>
      <c r="F151" s="36"/>
      <c r="G151" s="36"/>
      <c r="H151" s="4" t="str">
        <f aca="false">IF(OR(F151="",G151=""),"",DATEDIF(F151,G151+1,"y")&amp;"年"&amp;DATEDIF(F151,G151+1,"ym")&amp;"個月")</f>
        <v/>
      </c>
      <c r="I151" s="4" t="str">
        <f aca="true">IF(G151="","",IF(G151&lt;TODAY(),"已到期",IF(G151-TODAY()&lt;=60,"60日內到期（"&amp;(G151-TODAY())&amp;"日）","")))</f>
        <v/>
      </c>
      <c r="J151" s="10"/>
      <c r="K151" s="52"/>
      <c r="L151" s="10"/>
      <c r="M151" s="10"/>
      <c r="N151" s="10"/>
      <c r="O151" s="10"/>
      <c r="P151" s="36"/>
      <c r="Q151" s="10"/>
      <c r="R151" s="36"/>
      <c r="S151" s="10"/>
      <c r="T151" s="10"/>
      <c r="U151" s="10"/>
    </row>
    <row r="152" customFormat="false" ht="15" hidden="false" customHeight="false" outlineLevel="0" collapsed="false">
      <c r="A152" s="10"/>
      <c r="B152" s="10"/>
      <c r="C152" s="10"/>
      <c r="D152" s="10"/>
      <c r="E152" s="10"/>
      <c r="F152" s="36"/>
      <c r="G152" s="36"/>
      <c r="H152" s="4" t="str">
        <f aca="false">IF(OR(F152="",G152=""),"",DATEDIF(F152,G152+1,"y")&amp;"年"&amp;DATEDIF(F152,G152+1,"ym")&amp;"個月")</f>
        <v/>
      </c>
      <c r="I152" s="4" t="str">
        <f aca="true">IF(G152="","",IF(G152&lt;TODAY(),"已到期",IF(G152-TODAY()&lt;=60,"60日內到期（"&amp;(G152-TODAY())&amp;"日）","")))</f>
        <v/>
      </c>
      <c r="J152" s="10"/>
      <c r="K152" s="52"/>
      <c r="L152" s="10"/>
      <c r="M152" s="10"/>
      <c r="N152" s="10"/>
      <c r="O152" s="10"/>
      <c r="P152" s="36"/>
      <c r="Q152" s="10"/>
      <c r="R152" s="36"/>
      <c r="S152" s="10"/>
      <c r="T152" s="10"/>
      <c r="U152" s="10"/>
    </row>
    <row r="153" customFormat="false" ht="15" hidden="false" customHeight="false" outlineLevel="0" collapsed="false">
      <c r="A153" s="10"/>
      <c r="B153" s="10"/>
      <c r="C153" s="10"/>
      <c r="D153" s="10"/>
      <c r="E153" s="10"/>
      <c r="F153" s="36"/>
      <c r="G153" s="36"/>
      <c r="H153" s="4" t="str">
        <f aca="false">IF(OR(F153="",G153=""),"",DATEDIF(F153,G153+1,"y")&amp;"年"&amp;DATEDIF(F153,G153+1,"ym")&amp;"個月")</f>
        <v/>
      </c>
      <c r="I153" s="4" t="str">
        <f aca="true">IF(G153="","",IF(G153&lt;TODAY(),"已到期",IF(G153-TODAY()&lt;=60,"60日內到期（"&amp;(G153-TODAY())&amp;"日）","")))</f>
        <v/>
      </c>
      <c r="J153" s="10"/>
      <c r="K153" s="52"/>
      <c r="L153" s="10"/>
      <c r="M153" s="10"/>
      <c r="N153" s="10"/>
      <c r="O153" s="10"/>
      <c r="P153" s="36"/>
      <c r="Q153" s="10"/>
      <c r="R153" s="36"/>
      <c r="S153" s="10"/>
      <c r="T153" s="10"/>
      <c r="U153" s="10"/>
    </row>
    <row r="154" customFormat="false" ht="15" hidden="false" customHeight="false" outlineLevel="0" collapsed="false">
      <c r="A154" s="10"/>
      <c r="B154" s="10"/>
      <c r="C154" s="10"/>
      <c r="D154" s="10"/>
      <c r="E154" s="10"/>
      <c r="F154" s="36"/>
      <c r="G154" s="36"/>
      <c r="H154" s="4" t="str">
        <f aca="false">IF(OR(F154="",G154=""),"",DATEDIF(F154,G154+1,"y")&amp;"年"&amp;DATEDIF(F154,G154+1,"ym")&amp;"個月")</f>
        <v/>
      </c>
      <c r="I154" s="4" t="str">
        <f aca="true">IF(G154="","",IF(G154&lt;TODAY(),"已到期",IF(G154-TODAY()&lt;=60,"60日內到期（"&amp;(G154-TODAY())&amp;"日）","")))</f>
        <v/>
      </c>
      <c r="J154" s="10"/>
      <c r="K154" s="52"/>
      <c r="L154" s="10"/>
      <c r="M154" s="10"/>
      <c r="N154" s="10"/>
      <c r="O154" s="10"/>
      <c r="P154" s="36"/>
      <c r="Q154" s="10"/>
      <c r="R154" s="36"/>
      <c r="S154" s="10"/>
      <c r="T154" s="10"/>
      <c r="U154" s="10"/>
    </row>
    <row r="155" customFormat="false" ht="15" hidden="false" customHeight="false" outlineLevel="0" collapsed="false">
      <c r="A155" s="10"/>
      <c r="B155" s="10"/>
      <c r="C155" s="10"/>
      <c r="D155" s="10"/>
      <c r="E155" s="10"/>
      <c r="F155" s="36"/>
      <c r="G155" s="36"/>
      <c r="H155" s="4" t="str">
        <f aca="false">IF(OR(F155="",G155=""),"",DATEDIF(F155,G155+1,"y")&amp;"年"&amp;DATEDIF(F155,G155+1,"ym")&amp;"個月")</f>
        <v/>
      </c>
      <c r="I155" s="4" t="str">
        <f aca="true">IF(G155="","",IF(G155&lt;TODAY(),"已到期",IF(G155-TODAY()&lt;=60,"60日內到期（"&amp;(G155-TODAY())&amp;"日）","")))</f>
        <v/>
      </c>
      <c r="J155" s="10"/>
      <c r="K155" s="52"/>
      <c r="L155" s="10"/>
      <c r="M155" s="10"/>
      <c r="N155" s="10"/>
      <c r="O155" s="10"/>
      <c r="P155" s="36"/>
      <c r="Q155" s="10"/>
      <c r="R155" s="36"/>
      <c r="S155" s="10"/>
      <c r="T155" s="10"/>
      <c r="U155" s="10"/>
    </row>
    <row r="156" customFormat="false" ht="15" hidden="false" customHeight="false" outlineLevel="0" collapsed="false">
      <c r="A156" s="10"/>
      <c r="B156" s="10"/>
      <c r="C156" s="10"/>
      <c r="D156" s="10"/>
      <c r="E156" s="10"/>
      <c r="F156" s="36"/>
      <c r="G156" s="36"/>
      <c r="H156" s="4" t="str">
        <f aca="false">IF(OR(F156="",G156=""),"",DATEDIF(F156,G156+1,"y")&amp;"年"&amp;DATEDIF(F156,G156+1,"ym")&amp;"個月")</f>
        <v/>
      </c>
      <c r="I156" s="4" t="str">
        <f aca="true">IF(G156="","",IF(G156&lt;TODAY(),"已到期",IF(G156-TODAY()&lt;=60,"60日內到期（"&amp;(G156-TODAY())&amp;"日）","")))</f>
        <v/>
      </c>
      <c r="J156" s="10"/>
      <c r="K156" s="52"/>
      <c r="L156" s="10"/>
      <c r="M156" s="10"/>
      <c r="N156" s="10"/>
      <c r="O156" s="10"/>
      <c r="P156" s="36"/>
      <c r="Q156" s="10"/>
      <c r="R156" s="36"/>
      <c r="S156" s="10"/>
      <c r="T156" s="10"/>
      <c r="U156" s="10"/>
    </row>
    <row r="157" customFormat="false" ht="15" hidden="false" customHeight="false" outlineLevel="0" collapsed="false">
      <c r="A157" s="10"/>
      <c r="B157" s="10"/>
      <c r="C157" s="10"/>
      <c r="D157" s="10"/>
      <c r="E157" s="10"/>
      <c r="F157" s="36"/>
      <c r="G157" s="36"/>
      <c r="H157" s="4" t="str">
        <f aca="false">IF(OR(F157="",G157=""),"",DATEDIF(F157,G157+1,"y")&amp;"年"&amp;DATEDIF(F157,G157+1,"ym")&amp;"個月")</f>
        <v/>
      </c>
      <c r="I157" s="4" t="str">
        <f aca="true">IF(G157="","",IF(G157&lt;TODAY(),"已到期",IF(G157-TODAY()&lt;=60,"60日內到期（"&amp;(G157-TODAY())&amp;"日）","")))</f>
        <v/>
      </c>
      <c r="J157" s="10"/>
      <c r="K157" s="52"/>
      <c r="L157" s="10"/>
      <c r="M157" s="10"/>
      <c r="N157" s="10"/>
      <c r="O157" s="10"/>
      <c r="P157" s="36"/>
      <c r="Q157" s="10"/>
      <c r="R157" s="36"/>
      <c r="S157" s="10"/>
      <c r="T157" s="10"/>
      <c r="U157" s="10"/>
    </row>
    <row r="158" customFormat="false" ht="15" hidden="false" customHeight="false" outlineLevel="0" collapsed="false">
      <c r="A158" s="10"/>
      <c r="B158" s="10"/>
      <c r="C158" s="10"/>
      <c r="D158" s="10"/>
      <c r="E158" s="10"/>
      <c r="F158" s="36"/>
      <c r="G158" s="36"/>
      <c r="H158" s="4" t="str">
        <f aca="false">IF(OR(F158="",G158=""),"",DATEDIF(F158,G158+1,"y")&amp;"年"&amp;DATEDIF(F158,G158+1,"ym")&amp;"個月")</f>
        <v/>
      </c>
      <c r="I158" s="4" t="str">
        <f aca="true">IF(G158="","",IF(G158&lt;TODAY(),"已到期",IF(G158-TODAY()&lt;=60,"60日內到期（"&amp;(G158-TODAY())&amp;"日）","")))</f>
        <v/>
      </c>
      <c r="J158" s="10"/>
      <c r="K158" s="52"/>
      <c r="L158" s="10"/>
      <c r="M158" s="10"/>
      <c r="N158" s="10"/>
      <c r="O158" s="10"/>
      <c r="P158" s="36"/>
      <c r="Q158" s="10"/>
      <c r="R158" s="36"/>
      <c r="S158" s="10"/>
      <c r="T158" s="10"/>
      <c r="U158" s="10"/>
    </row>
    <row r="159" customFormat="false" ht="15" hidden="false" customHeight="false" outlineLevel="0" collapsed="false">
      <c r="A159" s="10"/>
      <c r="B159" s="10"/>
      <c r="C159" s="10"/>
      <c r="D159" s="10"/>
      <c r="E159" s="10"/>
      <c r="F159" s="36"/>
      <c r="G159" s="36"/>
      <c r="H159" s="4" t="str">
        <f aca="false">IF(OR(F159="",G159=""),"",DATEDIF(F159,G159+1,"y")&amp;"年"&amp;DATEDIF(F159,G159+1,"ym")&amp;"個月")</f>
        <v/>
      </c>
      <c r="I159" s="4" t="str">
        <f aca="true">IF(G159="","",IF(G159&lt;TODAY(),"已到期",IF(G159-TODAY()&lt;=60,"60日內到期（"&amp;(G159-TODAY())&amp;"日）","")))</f>
        <v/>
      </c>
      <c r="J159" s="10"/>
      <c r="K159" s="52"/>
      <c r="L159" s="10"/>
      <c r="M159" s="10"/>
      <c r="N159" s="10"/>
      <c r="O159" s="10"/>
      <c r="P159" s="36"/>
      <c r="Q159" s="10"/>
      <c r="R159" s="36"/>
      <c r="S159" s="10"/>
      <c r="T159" s="10"/>
      <c r="U159" s="10"/>
    </row>
    <row r="160" customFormat="false" ht="15" hidden="false" customHeight="false" outlineLevel="0" collapsed="false">
      <c r="A160" s="10"/>
      <c r="B160" s="10"/>
      <c r="C160" s="10"/>
      <c r="D160" s="10"/>
      <c r="E160" s="10"/>
      <c r="F160" s="36"/>
      <c r="G160" s="36"/>
      <c r="H160" s="4" t="str">
        <f aca="false">IF(OR(F160="",G160=""),"",DATEDIF(F160,G160+1,"y")&amp;"年"&amp;DATEDIF(F160,G160+1,"ym")&amp;"個月")</f>
        <v/>
      </c>
      <c r="I160" s="4" t="str">
        <f aca="true">IF(G160="","",IF(G160&lt;TODAY(),"已到期",IF(G160-TODAY()&lt;=60,"60日內到期（"&amp;(G160-TODAY())&amp;"日）","")))</f>
        <v/>
      </c>
      <c r="J160" s="10"/>
      <c r="K160" s="52"/>
      <c r="L160" s="10"/>
      <c r="M160" s="10"/>
      <c r="N160" s="10"/>
      <c r="O160" s="10"/>
      <c r="P160" s="36"/>
      <c r="Q160" s="10"/>
      <c r="R160" s="36"/>
      <c r="S160" s="10"/>
      <c r="T160" s="10"/>
      <c r="U160" s="10"/>
    </row>
    <row r="161" customFormat="false" ht="15" hidden="false" customHeight="false" outlineLevel="0" collapsed="false">
      <c r="A161" s="10"/>
      <c r="B161" s="10"/>
      <c r="C161" s="10"/>
      <c r="D161" s="10"/>
      <c r="E161" s="10"/>
      <c r="F161" s="36"/>
      <c r="G161" s="36"/>
      <c r="H161" s="4" t="str">
        <f aca="false">IF(OR(F161="",G161=""),"",DATEDIF(F161,G161+1,"y")&amp;"年"&amp;DATEDIF(F161,G161+1,"ym")&amp;"個月")</f>
        <v/>
      </c>
      <c r="I161" s="4" t="str">
        <f aca="true">IF(G161="","",IF(G161&lt;TODAY(),"已到期",IF(G161-TODAY()&lt;=60,"60日內到期（"&amp;(G161-TODAY())&amp;"日）","")))</f>
        <v/>
      </c>
      <c r="J161" s="10"/>
      <c r="K161" s="52"/>
      <c r="L161" s="10"/>
      <c r="M161" s="10"/>
      <c r="N161" s="10"/>
      <c r="O161" s="10"/>
      <c r="P161" s="36"/>
      <c r="Q161" s="10"/>
      <c r="R161" s="36"/>
      <c r="S161" s="10"/>
      <c r="T161" s="10"/>
      <c r="U161" s="10"/>
    </row>
    <row r="162" customFormat="false" ht="15" hidden="false" customHeight="false" outlineLevel="0" collapsed="false">
      <c r="A162" s="10"/>
      <c r="B162" s="10"/>
      <c r="C162" s="10"/>
      <c r="D162" s="10"/>
      <c r="E162" s="10"/>
      <c r="F162" s="36"/>
      <c r="G162" s="36"/>
      <c r="H162" s="4" t="str">
        <f aca="false">IF(OR(F162="",G162=""),"",DATEDIF(F162,G162+1,"y")&amp;"年"&amp;DATEDIF(F162,G162+1,"ym")&amp;"個月")</f>
        <v/>
      </c>
      <c r="I162" s="4" t="str">
        <f aca="true">IF(G162="","",IF(G162&lt;TODAY(),"已到期",IF(G162-TODAY()&lt;=60,"60日內到期（"&amp;(G162-TODAY())&amp;"日）","")))</f>
        <v/>
      </c>
      <c r="J162" s="10"/>
      <c r="K162" s="52"/>
      <c r="L162" s="10"/>
      <c r="M162" s="10"/>
      <c r="N162" s="10"/>
      <c r="O162" s="10"/>
      <c r="P162" s="36"/>
      <c r="Q162" s="10"/>
      <c r="R162" s="36"/>
      <c r="S162" s="10"/>
      <c r="T162" s="10"/>
      <c r="U162" s="10"/>
    </row>
    <row r="163" customFormat="false" ht="15" hidden="false" customHeight="false" outlineLevel="0" collapsed="false">
      <c r="A163" s="10"/>
      <c r="B163" s="10"/>
      <c r="C163" s="10"/>
      <c r="D163" s="10"/>
      <c r="E163" s="10"/>
      <c r="F163" s="36"/>
      <c r="G163" s="36"/>
      <c r="H163" s="4" t="str">
        <f aca="false">IF(OR(F163="",G163=""),"",DATEDIF(F163,G163+1,"y")&amp;"年"&amp;DATEDIF(F163,G163+1,"ym")&amp;"個月")</f>
        <v/>
      </c>
      <c r="I163" s="4" t="str">
        <f aca="true">IF(G163="","",IF(G163&lt;TODAY(),"已到期",IF(G163-TODAY()&lt;=60,"60日內到期（"&amp;(G163-TODAY())&amp;"日）","")))</f>
        <v/>
      </c>
      <c r="J163" s="10"/>
      <c r="K163" s="52"/>
      <c r="L163" s="10"/>
      <c r="M163" s="10"/>
      <c r="N163" s="10"/>
      <c r="O163" s="10"/>
      <c r="P163" s="36"/>
      <c r="Q163" s="10"/>
      <c r="R163" s="36"/>
      <c r="S163" s="10"/>
      <c r="T163" s="10"/>
      <c r="U163" s="10"/>
    </row>
    <row r="164" customFormat="false" ht="15" hidden="false" customHeight="false" outlineLevel="0" collapsed="false">
      <c r="A164" s="10"/>
      <c r="B164" s="10"/>
      <c r="C164" s="10"/>
      <c r="D164" s="10"/>
      <c r="E164" s="10"/>
      <c r="F164" s="36"/>
      <c r="G164" s="36"/>
      <c r="H164" s="4" t="str">
        <f aca="false">IF(OR(F164="",G164=""),"",DATEDIF(F164,G164+1,"y")&amp;"年"&amp;DATEDIF(F164,G164+1,"ym")&amp;"個月")</f>
        <v/>
      </c>
      <c r="I164" s="4" t="str">
        <f aca="true">IF(G164="","",IF(G164&lt;TODAY(),"已到期",IF(G164-TODAY()&lt;=60,"60日內到期（"&amp;(G164-TODAY())&amp;"日）","")))</f>
        <v/>
      </c>
      <c r="J164" s="10"/>
      <c r="K164" s="52"/>
      <c r="L164" s="10"/>
      <c r="M164" s="10"/>
      <c r="N164" s="10"/>
      <c r="O164" s="10"/>
      <c r="P164" s="36"/>
      <c r="Q164" s="10"/>
      <c r="R164" s="36"/>
      <c r="S164" s="10"/>
      <c r="T164" s="10"/>
      <c r="U164" s="10"/>
    </row>
    <row r="165" customFormat="false" ht="15" hidden="false" customHeight="false" outlineLevel="0" collapsed="false">
      <c r="A165" s="10"/>
      <c r="B165" s="10"/>
      <c r="C165" s="10"/>
      <c r="D165" s="10"/>
      <c r="E165" s="10"/>
      <c r="F165" s="36"/>
      <c r="G165" s="36"/>
      <c r="H165" s="4" t="str">
        <f aca="false">IF(OR(F165="",G165=""),"",DATEDIF(F165,G165+1,"y")&amp;"年"&amp;DATEDIF(F165,G165+1,"ym")&amp;"個月")</f>
        <v/>
      </c>
      <c r="I165" s="4" t="str">
        <f aca="true">IF(G165="","",IF(G165&lt;TODAY(),"已到期",IF(G165-TODAY()&lt;=60,"60日內到期（"&amp;(G165-TODAY())&amp;"日）","")))</f>
        <v/>
      </c>
      <c r="J165" s="10"/>
      <c r="K165" s="52"/>
      <c r="L165" s="10"/>
      <c r="M165" s="10"/>
      <c r="N165" s="10"/>
      <c r="O165" s="10"/>
      <c r="P165" s="36"/>
      <c r="Q165" s="10"/>
      <c r="R165" s="36"/>
      <c r="S165" s="10"/>
      <c r="T165" s="10"/>
      <c r="U165" s="10"/>
    </row>
    <row r="166" customFormat="false" ht="15" hidden="false" customHeight="false" outlineLevel="0" collapsed="false">
      <c r="A166" s="10"/>
      <c r="B166" s="10"/>
      <c r="C166" s="10"/>
      <c r="D166" s="10"/>
      <c r="E166" s="10"/>
      <c r="F166" s="36"/>
      <c r="G166" s="36"/>
      <c r="H166" s="4" t="str">
        <f aca="false">IF(OR(F166="",G166=""),"",DATEDIF(F166,G166+1,"y")&amp;"年"&amp;DATEDIF(F166,G166+1,"ym")&amp;"個月")</f>
        <v/>
      </c>
      <c r="I166" s="4" t="str">
        <f aca="true">IF(G166="","",IF(G166&lt;TODAY(),"已到期",IF(G166-TODAY()&lt;=60,"60日內到期（"&amp;(G166-TODAY())&amp;"日）","")))</f>
        <v/>
      </c>
      <c r="J166" s="10"/>
      <c r="K166" s="52"/>
      <c r="L166" s="10"/>
      <c r="M166" s="10"/>
      <c r="N166" s="10"/>
      <c r="O166" s="10"/>
      <c r="P166" s="36"/>
      <c r="Q166" s="10"/>
      <c r="R166" s="36"/>
      <c r="S166" s="10"/>
      <c r="T166" s="10"/>
      <c r="U166" s="10"/>
    </row>
    <row r="167" customFormat="false" ht="15" hidden="false" customHeight="false" outlineLevel="0" collapsed="false">
      <c r="A167" s="10"/>
      <c r="B167" s="10"/>
      <c r="C167" s="10"/>
      <c r="D167" s="10"/>
      <c r="E167" s="10"/>
      <c r="F167" s="36"/>
      <c r="G167" s="36"/>
      <c r="H167" s="4" t="str">
        <f aca="false">IF(OR(F167="",G167=""),"",DATEDIF(F167,G167+1,"y")&amp;"年"&amp;DATEDIF(F167,G167+1,"ym")&amp;"個月")</f>
        <v/>
      </c>
      <c r="I167" s="4" t="str">
        <f aca="true">IF(G167="","",IF(G167&lt;TODAY(),"已到期",IF(G167-TODAY()&lt;=60,"60日內到期（"&amp;(G167-TODAY())&amp;"日）","")))</f>
        <v/>
      </c>
      <c r="J167" s="10"/>
      <c r="K167" s="52"/>
      <c r="L167" s="10"/>
      <c r="M167" s="10"/>
      <c r="N167" s="10"/>
      <c r="O167" s="10"/>
      <c r="P167" s="36"/>
      <c r="Q167" s="10"/>
      <c r="R167" s="36"/>
      <c r="S167" s="10"/>
      <c r="T167" s="10"/>
      <c r="U167" s="10"/>
    </row>
    <row r="168" customFormat="false" ht="15" hidden="false" customHeight="false" outlineLevel="0" collapsed="false">
      <c r="A168" s="10"/>
      <c r="B168" s="10"/>
      <c r="C168" s="10"/>
      <c r="D168" s="10"/>
      <c r="E168" s="10"/>
      <c r="F168" s="36"/>
      <c r="G168" s="36"/>
      <c r="H168" s="4" t="str">
        <f aca="false">IF(OR(F168="",G168=""),"",DATEDIF(F168,G168+1,"y")&amp;"年"&amp;DATEDIF(F168,G168+1,"ym")&amp;"個月")</f>
        <v/>
      </c>
      <c r="I168" s="4" t="str">
        <f aca="true">IF(G168="","",IF(G168&lt;TODAY(),"已到期",IF(G168-TODAY()&lt;=60,"60日內到期（"&amp;(G168-TODAY())&amp;"日）","")))</f>
        <v/>
      </c>
      <c r="J168" s="10"/>
      <c r="K168" s="52"/>
      <c r="L168" s="10"/>
      <c r="M168" s="10"/>
      <c r="N168" s="10"/>
      <c r="O168" s="10"/>
      <c r="P168" s="36"/>
      <c r="Q168" s="10"/>
      <c r="R168" s="36"/>
      <c r="S168" s="10"/>
      <c r="T168" s="10"/>
      <c r="U168" s="10"/>
    </row>
    <row r="169" customFormat="false" ht="15" hidden="false" customHeight="false" outlineLevel="0" collapsed="false">
      <c r="A169" s="10"/>
      <c r="B169" s="10"/>
      <c r="C169" s="10"/>
      <c r="D169" s="10"/>
      <c r="E169" s="10"/>
      <c r="F169" s="36"/>
      <c r="G169" s="36"/>
      <c r="H169" s="4" t="str">
        <f aca="false">IF(OR(F169="",G169=""),"",DATEDIF(F169,G169+1,"y")&amp;"年"&amp;DATEDIF(F169,G169+1,"ym")&amp;"個月")</f>
        <v/>
      </c>
      <c r="I169" s="4" t="str">
        <f aca="true">IF(G169="","",IF(G169&lt;TODAY(),"已到期",IF(G169-TODAY()&lt;=60,"60日內到期（"&amp;(G169-TODAY())&amp;"日）","")))</f>
        <v/>
      </c>
      <c r="J169" s="10"/>
      <c r="K169" s="52"/>
      <c r="L169" s="10"/>
      <c r="M169" s="10"/>
      <c r="N169" s="10"/>
      <c r="O169" s="10"/>
      <c r="P169" s="36"/>
      <c r="Q169" s="10"/>
      <c r="R169" s="36"/>
      <c r="S169" s="10"/>
      <c r="T169" s="10"/>
      <c r="U169" s="10"/>
    </row>
    <row r="170" customFormat="false" ht="15" hidden="false" customHeight="false" outlineLevel="0" collapsed="false">
      <c r="A170" s="10"/>
      <c r="B170" s="10"/>
      <c r="C170" s="10"/>
      <c r="D170" s="10"/>
      <c r="E170" s="10"/>
      <c r="F170" s="36"/>
      <c r="G170" s="36"/>
      <c r="H170" s="4" t="str">
        <f aca="false">IF(OR(F170="",G170=""),"",DATEDIF(F170,G170+1,"y")&amp;"年"&amp;DATEDIF(F170,G170+1,"ym")&amp;"個月")</f>
        <v/>
      </c>
      <c r="I170" s="4" t="str">
        <f aca="true">IF(G170="","",IF(G170&lt;TODAY(),"已到期",IF(G170-TODAY()&lt;=60,"60日內到期（"&amp;(G170-TODAY())&amp;"日）","")))</f>
        <v/>
      </c>
      <c r="J170" s="10"/>
      <c r="K170" s="52"/>
      <c r="L170" s="10"/>
      <c r="M170" s="10"/>
      <c r="N170" s="10"/>
      <c r="O170" s="10"/>
      <c r="P170" s="36"/>
      <c r="Q170" s="10"/>
      <c r="R170" s="36"/>
      <c r="S170" s="10"/>
      <c r="T170" s="10"/>
      <c r="U170" s="10"/>
    </row>
    <row r="171" customFormat="false" ht="15" hidden="false" customHeight="false" outlineLevel="0" collapsed="false">
      <c r="A171" s="10"/>
      <c r="B171" s="10"/>
      <c r="C171" s="10"/>
      <c r="D171" s="10"/>
      <c r="E171" s="10"/>
      <c r="F171" s="36"/>
      <c r="G171" s="36"/>
      <c r="H171" s="4" t="str">
        <f aca="false">IF(OR(F171="",G171=""),"",DATEDIF(F171,G171+1,"y")&amp;"年"&amp;DATEDIF(F171,G171+1,"ym")&amp;"個月")</f>
        <v/>
      </c>
      <c r="I171" s="4" t="str">
        <f aca="true">IF(G171="","",IF(G171&lt;TODAY(),"已到期",IF(G171-TODAY()&lt;=60,"60日內到期（"&amp;(G171-TODAY())&amp;"日）","")))</f>
        <v/>
      </c>
      <c r="J171" s="10"/>
      <c r="K171" s="52"/>
      <c r="L171" s="10"/>
      <c r="M171" s="10"/>
      <c r="N171" s="10"/>
      <c r="O171" s="10"/>
      <c r="P171" s="36"/>
      <c r="Q171" s="10"/>
      <c r="R171" s="36"/>
      <c r="S171" s="10"/>
      <c r="T171" s="10"/>
      <c r="U171" s="10"/>
    </row>
    <row r="172" customFormat="false" ht="15" hidden="false" customHeight="false" outlineLevel="0" collapsed="false">
      <c r="A172" s="10"/>
      <c r="B172" s="10"/>
      <c r="C172" s="10"/>
      <c r="D172" s="10"/>
      <c r="E172" s="10"/>
      <c r="F172" s="36"/>
      <c r="G172" s="36"/>
      <c r="H172" s="4" t="str">
        <f aca="false">IF(OR(F172="",G172=""),"",DATEDIF(F172,G172+1,"y")&amp;"年"&amp;DATEDIF(F172,G172+1,"ym")&amp;"個月")</f>
        <v/>
      </c>
      <c r="I172" s="4" t="str">
        <f aca="true">IF(G172="","",IF(G172&lt;TODAY(),"已到期",IF(G172-TODAY()&lt;=60,"60日內到期（"&amp;(G172-TODAY())&amp;"日）","")))</f>
        <v/>
      </c>
      <c r="J172" s="10"/>
      <c r="K172" s="52"/>
      <c r="L172" s="10"/>
      <c r="M172" s="10"/>
      <c r="N172" s="10"/>
      <c r="O172" s="10"/>
      <c r="P172" s="36"/>
      <c r="Q172" s="10"/>
      <c r="R172" s="36"/>
      <c r="S172" s="10"/>
      <c r="T172" s="10"/>
      <c r="U172" s="10"/>
    </row>
    <row r="173" customFormat="false" ht="15" hidden="false" customHeight="false" outlineLevel="0" collapsed="false">
      <c r="A173" s="10"/>
      <c r="B173" s="10"/>
      <c r="C173" s="10"/>
      <c r="D173" s="10"/>
      <c r="E173" s="10"/>
      <c r="F173" s="36"/>
      <c r="G173" s="36"/>
      <c r="H173" s="4" t="str">
        <f aca="false">IF(OR(F173="",G173=""),"",DATEDIF(F173,G173+1,"y")&amp;"年"&amp;DATEDIF(F173,G173+1,"ym")&amp;"個月")</f>
        <v/>
      </c>
      <c r="I173" s="4" t="str">
        <f aca="true">IF(G173="","",IF(G173&lt;TODAY(),"已到期",IF(G173-TODAY()&lt;=60,"60日內到期（"&amp;(G173-TODAY())&amp;"日）","")))</f>
        <v/>
      </c>
      <c r="J173" s="10"/>
      <c r="K173" s="52"/>
      <c r="L173" s="10"/>
      <c r="M173" s="10"/>
      <c r="N173" s="10"/>
      <c r="O173" s="10"/>
      <c r="P173" s="36"/>
      <c r="Q173" s="10"/>
      <c r="R173" s="36"/>
      <c r="S173" s="10"/>
      <c r="T173" s="10"/>
      <c r="U173" s="10"/>
    </row>
    <row r="174" customFormat="false" ht="15" hidden="false" customHeight="false" outlineLevel="0" collapsed="false">
      <c r="A174" s="10"/>
      <c r="B174" s="10"/>
      <c r="C174" s="10"/>
      <c r="D174" s="10"/>
      <c r="E174" s="10"/>
      <c r="F174" s="36"/>
      <c r="G174" s="36"/>
      <c r="H174" s="4" t="str">
        <f aca="false">IF(OR(F174="",G174=""),"",DATEDIF(F174,G174+1,"y")&amp;"年"&amp;DATEDIF(F174,G174+1,"ym")&amp;"個月")</f>
        <v/>
      </c>
      <c r="I174" s="4" t="str">
        <f aca="true">IF(G174="","",IF(G174&lt;TODAY(),"已到期",IF(G174-TODAY()&lt;=60,"60日內到期（"&amp;(G174-TODAY())&amp;"日）","")))</f>
        <v/>
      </c>
      <c r="J174" s="10"/>
      <c r="K174" s="52"/>
      <c r="L174" s="10"/>
      <c r="M174" s="10"/>
      <c r="N174" s="10"/>
      <c r="O174" s="10"/>
      <c r="P174" s="36"/>
      <c r="Q174" s="10"/>
      <c r="R174" s="36"/>
      <c r="S174" s="10"/>
      <c r="T174" s="10"/>
      <c r="U174" s="10"/>
    </row>
    <row r="175" customFormat="false" ht="15" hidden="false" customHeight="false" outlineLevel="0" collapsed="false">
      <c r="A175" s="10"/>
      <c r="B175" s="10"/>
      <c r="C175" s="10"/>
      <c r="D175" s="10"/>
      <c r="E175" s="10"/>
      <c r="F175" s="36"/>
      <c r="G175" s="36"/>
      <c r="H175" s="4" t="str">
        <f aca="false">IF(OR(F175="",G175=""),"",DATEDIF(F175,G175+1,"y")&amp;"年"&amp;DATEDIF(F175,G175+1,"ym")&amp;"個月")</f>
        <v/>
      </c>
      <c r="I175" s="4" t="str">
        <f aca="true">IF(G175="","",IF(G175&lt;TODAY(),"已到期",IF(G175-TODAY()&lt;=60,"60日內到期（"&amp;(G175-TODAY())&amp;"日）","")))</f>
        <v/>
      </c>
      <c r="J175" s="10"/>
      <c r="K175" s="52"/>
      <c r="L175" s="10"/>
      <c r="M175" s="10"/>
      <c r="N175" s="10"/>
      <c r="O175" s="10"/>
      <c r="P175" s="36"/>
      <c r="Q175" s="10"/>
      <c r="R175" s="36"/>
      <c r="S175" s="10"/>
      <c r="T175" s="10"/>
      <c r="U175" s="10"/>
    </row>
    <row r="176" customFormat="false" ht="15" hidden="false" customHeight="false" outlineLevel="0" collapsed="false">
      <c r="A176" s="10"/>
      <c r="B176" s="10"/>
      <c r="C176" s="10"/>
      <c r="D176" s="10"/>
      <c r="E176" s="10"/>
      <c r="F176" s="36"/>
      <c r="G176" s="36"/>
      <c r="H176" s="4" t="str">
        <f aca="false">IF(OR(F176="",G176=""),"",DATEDIF(F176,G176+1,"y")&amp;"年"&amp;DATEDIF(F176,G176+1,"ym")&amp;"個月")</f>
        <v/>
      </c>
      <c r="I176" s="4" t="str">
        <f aca="true">IF(G176="","",IF(G176&lt;TODAY(),"已到期",IF(G176-TODAY()&lt;=60,"60日內到期（"&amp;(G176-TODAY())&amp;"日）","")))</f>
        <v/>
      </c>
      <c r="J176" s="10"/>
      <c r="K176" s="52"/>
      <c r="L176" s="10"/>
      <c r="M176" s="10"/>
      <c r="N176" s="10"/>
      <c r="O176" s="10"/>
      <c r="P176" s="36"/>
      <c r="Q176" s="10"/>
      <c r="R176" s="36"/>
      <c r="S176" s="10"/>
      <c r="T176" s="10"/>
      <c r="U176" s="10"/>
    </row>
    <row r="177" customFormat="false" ht="15" hidden="false" customHeight="false" outlineLevel="0" collapsed="false">
      <c r="A177" s="10"/>
      <c r="B177" s="10"/>
      <c r="C177" s="10"/>
      <c r="D177" s="10"/>
      <c r="E177" s="10"/>
      <c r="F177" s="36"/>
      <c r="G177" s="36"/>
      <c r="H177" s="4" t="str">
        <f aca="false">IF(OR(F177="",G177=""),"",DATEDIF(F177,G177+1,"y")&amp;"年"&amp;DATEDIF(F177,G177+1,"ym")&amp;"個月")</f>
        <v/>
      </c>
      <c r="I177" s="4" t="str">
        <f aca="true">IF(G177="","",IF(G177&lt;TODAY(),"已到期",IF(G177-TODAY()&lt;=60,"60日內到期（"&amp;(G177-TODAY())&amp;"日）","")))</f>
        <v/>
      </c>
      <c r="J177" s="10"/>
      <c r="K177" s="52"/>
      <c r="L177" s="10"/>
      <c r="M177" s="10"/>
      <c r="N177" s="10"/>
      <c r="O177" s="10"/>
      <c r="P177" s="36"/>
      <c r="Q177" s="10"/>
      <c r="R177" s="36"/>
      <c r="S177" s="10"/>
      <c r="T177" s="10"/>
      <c r="U177" s="10"/>
    </row>
    <row r="178" customFormat="false" ht="15" hidden="false" customHeight="false" outlineLevel="0" collapsed="false">
      <c r="A178" s="10"/>
      <c r="B178" s="10"/>
      <c r="C178" s="10"/>
      <c r="D178" s="10"/>
      <c r="E178" s="10"/>
      <c r="F178" s="36"/>
      <c r="G178" s="36"/>
      <c r="H178" s="4" t="str">
        <f aca="false">IF(OR(F178="",G178=""),"",DATEDIF(F178,G178+1,"y")&amp;"年"&amp;DATEDIF(F178,G178+1,"ym")&amp;"個月")</f>
        <v/>
      </c>
      <c r="I178" s="4" t="str">
        <f aca="true">IF(G178="","",IF(G178&lt;TODAY(),"已到期",IF(G178-TODAY()&lt;=60,"60日內到期（"&amp;(G178-TODAY())&amp;"日）","")))</f>
        <v/>
      </c>
      <c r="J178" s="10"/>
      <c r="K178" s="52"/>
      <c r="L178" s="10"/>
      <c r="M178" s="10"/>
      <c r="N178" s="10"/>
      <c r="O178" s="10"/>
      <c r="P178" s="36"/>
      <c r="Q178" s="10"/>
      <c r="R178" s="36"/>
      <c r="S178" s="10"/>
      <c r="T178" s="10"/>
      <c r="U178" s="10"/>
    </row>
    <row r="179" customFormat="false" ht="15" hidden="false" customHeight="false" outlineLevel="0" collapsed="false">
      <c r="A179" s="10"/>
      <c r="B179" s="10"/>
      <c r="C179" s="10"/>
      <c r="D179" s="10"/>
      <c r="E179" s="10"/>
      <c r="F179" s="36"/>
      <c r="G179" s="36"/>
      <c r="H179" s="4" t="str">
        <f aca="false">IF(OR(F179="",G179=""),"",DATEDIF(F179,G179+1,"y")&amp;"年"&amp;DATEDIF(F179,G179+1,"ym")&amp;"個月")</f>
        <v/>
      </c>
      <c r="I179" s="4" t="str">
        <f aca="true">IF(G179="","",IF(G179&lt;TODAY(),"已到期",IF(G179-TODAY()&lt;=60,"60日內到期（"&amp;(G179-TODAY())&amp;"日）","")))</f>
        <v/>
      </c>
      <c r="J179" s="10"/>
      <c r="K179" s="52"/>
      <c r="L179" s="10"/>
      <c r="M179" s="10"/>
      <c r="N179" s="10"/>
      <c r="O179" s="10"/>
      <c r="P179" s="36"/>
      <c r="Q179" s="10"/>
      <c r="R179" s="36"/>
      <c r="S179" s="10"/>
      <c r="T179" s="10"/>
      <c r="U179" s="10"/>
    </row>
    <row r="180" customFormat="false" ht="15" hidden="false" customHeight="false" outlineLevel="0" collapsed="false">
      <c r="A180" s="10"/>
      <c r="B180" s="10"/>
      <c r="C180" s="10"/>
      <c r="D180" s="10"/>
      <c r="E180" s="10"/>
      <c r="F180" s="36"/>
      <c r="G180" s="36"/>
      <c r="H180" s="4" t="str">
        <f aca="false">IF(OR(F180="",G180=""),"",DATEDIF(F180,G180+1,"y")&amp;"年"&amp;DATEDIF(F180,G180+1,"ym")&amp;"個月")</f>
        <v/>
      </c>
      <c r="I180" s="4" t="str">
        <f aca="true">IF(G180="","",IF(G180&lt;TODAY(),"已到期",IF(G180-TODAY()&lt;=60,"60日內到期（"&amp;(G180-TODAY())&amp;"日）","")))</f>
        <v/>
      </c>
      <c r="J180" s="10"/>
      <c r="K180" s="52"/>
      <c r="L180" s="10"/>
      <c r="M180" s="10"/>
      <c r="N180" s="10"/>
      <c r="O180" s="10"/>
      <c r="P180" s="36"/>
      <c r="Q180" s="10"/>
      <c r="R180" s="36"/>
      <c r="S180" s="10"/>
      <c r="T180" s="10"/>
      <c r="U180" s="10"/>
    </row>
    <row r="181" customFormat="false" ht="15" hidden="false" customHeight="false" outlineLevel="0" collapsed="false">
      <c r="A181" s="10"/>
      <c r="B181" s="10"/>
      <c r="C181" s="10"/>
      <c r="D181" s="10"/>
      <c r="E181" s="10"/>
      <c r="F181" s="36"/>
      <c r="G181" s="36"/>
      <c r="H181" s="4" t="str">
        <f aca="false">IF(OR(F181="",G181=""),"",DATEDIF(F181,G181+1,"y")&amp;"年"&amp;DATEDIF(F181,G181+1,"ym")&amp;"個月")</f>
        <v/>
      </c>
      <c r="I181" s="4" t="str">
        <f aca="true">IF(G181="","",IF(G181&lt;TODAY(),"已到期",IF(G181-TODAY()&lt;=60,"60日內到期（"&amp;(G181-TODAY())&amp;"日）","")))</f>
        <v/>
      </c>
      <c r="J181" s="10"/>
      <c r="K181" s="52"/>
      <c r="L181" s="10"/>
      <c r="M181" s="10"/>
      <c r="N181" s="10"/>
      <c r="O181" s="10"/>
      <c r="P181" s="36"/>
      <c r="Q181" s="10"/>
      <c r="R181" s="36"/>
      <c r="S181" s="10"/>
      <c r="T181" s="10"/>
      <c r="U181" s="10"/>
    </row>
    <row r="182" customFormat="false" ht="15" hidden="false" customHeight="false" outlineLevel="0" collapsed="false">
      <c r="A182" s="10"/>
      <c r="B182" s="10"/>
      <c r="C182" s="10"/>
      <c r="D182" s="10"/>
      <c r="E182" s="10"/>
      <c r="F182" s="36"/>
      <c r="G182" s="36"/>
      <c r="H182" s="4" t="str">
        <f aca="false">IF(OR(F182="",G182=""),"",DATEDIF(F182,G182+1,"y")&amp;"年"&amp;DATEDIF(F182,G182+1,"ym")&amp;"個月")</f>
        <v/>
      </c>
      <c r="I182" s="4" t="str">
        <f aca="true">IF(G182="","",IF(G182&lt;TODAY(),"已到期",IF(G182-TODAY()&lt;=60,"60日內到期（"&amp;(G182-TODAY())&amp;"日）","")))</f>
        <v/>
      </c>
      <c r="J182" s="10"/>
      <c r="K182" s="52"/>
      <c r="L182" s="10"/>
      <c r="M182" s="10"/>
      <c r="N182" s="10"/>
      <c r="O182" s="10"/>
      <c r="P182" s="36"/>
      <c r="Q182" s="10"/>
      <c r="R182" s="36"/>
      <c r="S182" s="10"/>
      <c r="T182" s="10"/>
      <c r="U182" s="10"/>
    </row>
    <row r="183" customFormat="false" ht="15" hidden="false" customHeight="false" outlineLevel="0" collapsed="false">
      <c r="A183" s="10"/>
      <c r="B183" s="10"/>
      <c r="C183" s="10"/>
      <c r="D183" s="10"/>
      <c r="E183" s="10"/>
      <c r="F183" s="36"/>
      <c r="G183" s="36"/>
      <c r="H183" s="4" t="str">
        <f aca="false">IF(OR(F183="",G183=""),"",DATEDIF(F183,G183+1,"y")&amp;"年"&amp;DATEDIF(F183,G183+1,"ym")&amp;"個月")</f>
        <v/>
      </c>
      <c r="I183" s="4" t="str">
        <f aca="true">IF(G183="","",IF(G183&lt;TODAY(),"已到期",IF(G183-TODAY()&lt;=60,"60日內到期（"&amp;(G183-TODAY())&amp;"日）","")))</f>
        <v/>
      </c>
      <c r="J183" s="10"/>
      <c r="K183" s="52"/>
      <c r="L183" s="10"/>
      <c r="M183" s="10"/>
      <c r="N183" s="10"/>
      <c r="O183" s="10"/>
      <c r="P183" s="36"/>
      <c r="Q183" s="10"/>
      <c r="R183" s="36"/>
      <c r="S183" s="10"/>
      <c r="T183" s="10"/>
      <c r="U183" s="10"/>
    </row>
    <row r="184" customFormat="false" ht="15" hidden="false" customHeight="false" outlineLevel="0" collapsed="false">
      <c r="A184" s="10"/>
      <c r="B184" s="10"/>
      <c r="C184" s="10"/>
      <c r="D184" s="10"/>
      <c r="E184" s="10"/>
      <c r="F184" s="36"/>
      <c r="G184" s="36"/>
      <c r="H184" s="4" t="str">
        <f aca="false">IF(OR(F184="",G184=""),"",DATEDIF(F184,G184+1,"y")&amp;"年"&amp;DATEDIF(F184,G184+1,"ym")&amp;"個月")</f>
        <v/>
      </c>
      <c r="I184" s="4" t="str">
        <f aca="true">IF(G184="","",IF(G184&lt;TODAY(),"已到期",IF(G184-TODAY()&lt;=60,"60日內到期（"&amp;(G184-TODAY())&amp;"日）","")))</f>
        <v/>
      </c>
      <c r="J184" s="10"/>
      <c r="K184" s="52"/>
      <c r="L184" s="10"/>
      <c r="M184" s="10"/>
      <c r="N184" s="10"/>
      <c r="O184" s="10"/>
      <c r="P184" s="36"/>
      <c r="Q184" s="10"/>
      <c r="R184" s="36"/>
      <c r="S184" s="10"/>
      <c r="T184" s="10"/>
      <c r="U184" s="10"/>
    </row>
    <row r="185" customFormat="false" ht="15" hidden="false" customHeight="false" outlineLevel="0" collapsed="false">
      <c r="A185" s="10"/>
      <c r="B185" s="10"/>
      <c r="C185" s="10"/>
      <c r="D185" s="10"/>
      <c r="E185" s="10"/>
      <c r="F185" s="36"/>
      <c r="G185" s="36"/>
      <c r="H185" s="4" t="str">
        <f aca="false">IF(OR(F185="",G185=""),"",DATEDIF(F185,G185+1,"y")&amp;"年"&amp;DATEDIF(F185,G185+1,"ym")&amp;"個月")</f>
        <v/>
      </c>
      <c r="I185" s="4" t="str">
        <f aca="true">IF(G185="","",IF(G185&lt;TODAY(),"已到期",IF(G185-TODAY()&lt;=60,"60日內到期（"&amp;(G185-TODAY())&amp;"日）","")))</f>
        <v/>
      </c>
      <c r="J185" s="10"/>
      <c r="K185" s="52"/>
      <c r="L185" s="10"/>
      <c r="M185" s="10"/>
      <c r="N185" s="10"/>
      <c r="O185" s="10"/>
      <c r="P185" s="36"/>
      <c r="Q185" s="10"/>
      <c r="R185" s="36"/>
      <c r="S185" s="10"/>
      <c r="T185" s="10"/>
      <c r="U185" s="10"/>
    </row>
    <row r="186" customFormat="false" ht="15" hidden="false" customHeight="false" outlineLevel="0" collapsed="false">
      <c r="A186" s="10"/>
      <c r="B186" s="10"/>
      <c r="C186" s="10"/>
      <c r="D186" s="10"/>
      <c r="E186" s="10"/>
      <c r="F186" s="36"/>
      <c r="G186" s="36"/>
      <c r="H186" s="4" t="str">
        <f aca="false">IF(OR(F186="",G186=""),"",DATEDIF(F186,G186+1,"y")&amp;"年"&amp;DATEDIF(F186,G186+1,"ym")&amp;"個月")</f>
        <v/>
      </c>
      <c r="I186" s="4" t="str">
        <f aca="true">IF(G186="","",IF(G186&lt;TODAY(),"已到期",IF(G186-TODAY()&lt;=60,"60日內到期（"&amp;(G186-TODAY())&amp;"日）","")))</f>
        <v/>
      </c>
      <c r="J186" s="10"/>
      <c r="K186" s="52"/>
      <c r="L186" s="10"/>
      <c r="M186" s="10"/>
      <c r="N186" s="10"/>
      <c r="O186" s="10"/>
      <c r="P186" s="36"/>
      <c r="Q186" s="10"/>
      <c r="R186" s="36"/>
      <c r="S186" s="10"/>
      <c r="T186" s="10"/>
      <c r="U186" s="10"/>
    </row>
    <row r="187" customFormat="false" ht="15" hidden="false" customHeight="false" outlineLevel="0" collapsed="false">
      <c r="A187" s="10"/>
      <c r="B187" s="10"/>
      <c r="C187" s="10"/>
      <c r="D187" s="10"/>
      <c r="E187" s="10"/>
      <c r="F187" s="36"/>
      <c r="G187" s="36"/>
      <c r="H187" s="4" t="str">
        <f aca="false">IF(OR(F187="",G187=""),"",DATEDIF(F187,G187+1,"y")&amp;"年"&amp;DATEDIF(F187,G187+1,"ym")&amp;"個月")</f>
        <v/>
      </c>
      <c r="I187" s="4" t="str">
        <f aca="true">IF(G187="","",IF(G187&lt;TODAY(),"已到期",IF(G187-TODAY()&lt;=60,"60日內到期（"&amp;(G187-TODAY())&amp;"日）","")))</f>
        <v/>
      </c>
      <c r="J187" s="10"/>
      <c r="K187" s="52"/>
      <c r="L187" s="10"/>
      <c r="M187" s="10"/>
      <c r="N187" s="10"/>
      <c r="O187" s="10"/>
      <c r="P187" s="36"/>
      <c r="Q187" s="10"/>
      <c r="R187" s="36"/>
      <c r="S187" s="10"/>
      <c r="T187" s="10"/>
      <c r="U187" s="10"/>
    </row>
    <row r="188" customFormat="false" ht="15" hidden="false" customHeight="false" outlineLevel="0" collapsed="false">
      <c r="A188" s="10"/>
      <c r="B188" s="10"/>
      <c r="C188" s="10"/>
      <c r="D188" s="10"/>
      <c r="E188" s="10"/>
      <c r="F188" s="36"/>
      <c r="G188" s="36"/>
      <c r="H188" s="4" t="str">
        <f aca="false">IF(OR(F188="",G188=""),"",DATEDIF(F188,G188+1,"y")&amp;"年"&amp;DATEDIF(F188,G188+1,"ym")&amp;"個月")</f>
        <v/>
      </c>
      <c r="I188" s="4" t="str">
        <f aca="true">IF(G188="","",IF(G188&lt;TODAY(),"已到期",IF(G188-TODAY()&lt;=60,"60日內到期（"&amp;(G188-TODAY())&amp;"日）","")))</f>
        <v/>
      </c>
      <c r="J188" s="10"/>
      <c r="K188" s="52"/>
      <c r="L188" s="10"/>
      <c r="M188" s="10"/>
      <c r="N188" s="10"/>
      <c r="O188" s="10"/>
      <c r="P188" s="36"/>
      <c r="Q188" s="10"/>
      <c r="R188" s="36"/>
      <c r="S188" s="10"/>
      <c r="T188" s="10"/>
      <c r="U188" s="10"/>
    </row>
    <row r="189" customFormat="false" ht="15" hidden="false" customHeight="false" outlineLevel="0" collapsed="false">
      <c r="A189" s="10"/>
      <c r="B189" s="10"/>
      <c r="C189" s="10"/>
      <c r="D189" s="10"/>
      <c r="E189" s="10"/>
      <c r="F189" s="36"/>
      <c r="G189" s="36"/>
      <c r="H189" s="4" t="str">
        <f aca="false">IF(OR(F189="",G189=""),"",DATEDIF(F189,G189+1,"y")&amp;"年"&amp;DATEDIF(F189,G189+1,"ym")&amp;"個月")</f>
        <v/>
      </c>
      <c r="I189" s="4" t="str">
        <f aca="true">IF(G189="","",IF(G189&lt;TODAY(),"已到期",IF(G189-TODAY()&lt;=60,"60日內到期（"&amp;(G189-TODAY())&amp;"日）","")))</f>
        <v/>
      </c>
      <c r="J189" s="10"/>
      <c r="K189" s="52"/>
      <c r="L189" s="10"/>
      <c r="M189" s="10"/>
      <c r="N189" s="10"/>
      <c r="O189" s="10"/>
      <c r="P189" s="36"/>
      <c r="Q189" s="10"/>
      <c r="R189" s="36"/>
      <c r="S189" s="10"/>
      <c r="T189" s="10"/>
      <c r="U189" s="10"/>
    </row>
    <row r="190" customFormat="false" ht="15" hidden="false" customHeight="false" outlineLevel="0" collapsed="false">
      <c r="A190" s="10"/>
      <c r="B190" s="10"/>
      <c r="C190" s="10"/>
      <c r="D190" s="10"/>
      <c r="E190" s="10"/>
      <c r="F190" s="36"/>
      <c r="G190" s="36"/>
      <c r="H190" s="4" t="str">
        <f aca="false">IF(OR(F190="",G190=""),"",DATEDIF(F190,G190+1,"y")&amp;"年"&amp;DATEDIF(F190,G190+1,"ym")&amp;"個月")</f>
        <v/>
      </c>
      <c r="I190" s="4" t="str">
        <f aca="true">IF(G190="","",IF(G190&lt;TODAY(),"已到期",IF(G190-TODAY()&lt;=60,"60日內到期（"&amp;(G190-TODAY())&amp;"日）","")))</f>
        <v/>
      </c>
      <c r="J190" s="10"/>
      <c r="K190" s="52"/>
      <c r="L190" s="10"/>
      <c r="M190" s="10"/>
      <c r="N190" s="10"/>
      <c r="O190" s="10"/>
      <c r="P190" s="36"/>
      <c r="Q190" s="10"/>
      <c r="R190" s="36"/>
      <c r="S190" s="10"/>
      <c r="T190" s="10"/>
      <c r="U190" s="10"/>
    </row>
    <row r="191" customFormat="false" ht="15" hidden="false" customHeight="false" outlineLevel="0" collapsed="false">
      <c r="A191" s="10"/>
      <c r="B191" s="10"/>
      <c r="C191" s="10"/>
      <c r="D191" s="10"/>
      <c r="E191" s="10"/>
      <c r="F191" s="36"/>
      <c r="G191" s="36"/>
      <c r="H191" s="4" t="str">
        <f aca="false">IF(OR(F191="",G191=""),"",DATEDIF(F191,G191+1,"y")&amp;"年"&amp;DATEDIF(F191,G191+1,"ym")&amp;"個月")</f>
        <v/>
      </c>
      <c r="I191" s="4" t="str">
        <f aca="true">IF(G191="","",IF(G191&lt;TODAY(),"已到期",IF(G191-TODAY()&lt;=60,"60日內到期（"&amp;(G191-TODAY())&amp;"日）","")))</f>
        <v/>
      </c>
      <c r="J191" s="10"/>
      <c r="K191" s="52"/>
      <c r="L191" s="10"/>
      <c r="M191" s="10"/>
      <c r="N191" s="10"/>
      <c r="O191" s="10"/>
      <c r="P191" s="36"/>
      <c r="Q191" s="10"/>
      <c r="R191" s="36"/>
      <c r="S191" s="10"/>
      <c r="T191" s="10"/>
      <c r="U191" s="10"/>
    </row>
    <row r="192" customFormat="false" ht="15" hidden="false" customHeight="false" outlineLevel="0" collapsed="false">
      <c r="A192" s="10"/>
      <c r="B192" s="10"/>
      <c r="C192" s="10"/>
      <c r="D192" s="10"/>
      <c r="E192" s="10"/>
      <c r="F192" s="36"/>
      <c r="G192" s="36"/>
      <c r="H192" s="4" t="str">
        <f aca="false">IF(OR(F192="",G192=""),"",DATEDIF(F192,G192+1,"y")&amp;"年"&amp;DATEDIF(F192,G192+1,"ym")&amp;"個月")</f>
        <v/>
      </c>
      <c r="I192" s="4" t="str">
        <f aca="true">IF(G192="","",IF(G192&lt;TODAY(),"已到期",IF(G192-TODAY()&lt;=60,"60日內到期（"&amp;(G192-TODAY())&amp;"日）","")))</f>
        <v/>
      </c>
      <c r="J192" s="10"/>
      <c r="K192" s="52"/>
      <c r="L192" s="10"/>
      <c r="M192" s="10"/>
      <c r="N192" s="10"/>
      <c r="O192" s="10"/>
      <c r="P192" s="36"/>
      <c r="Q192" s="10"/>
      <c r="R192" s="36"/>
      <c r="S192" s="10"/>
      <c r="T192" s="10"/>
      <c r="U192" s="10"/>
    </row>
    <row r="193" customFormat="false" ht="15" hidden="false" customHeight="false" outlineLevel="0" collapsed="false">
      <c r="A193" s="10"/>
      <c r="B193" s="10"/>
      <c r="C193" s="10"/>
      <c r="D193" s="10"/>
      <c r="E193" s="10"/>
      <c r="F193" s="36"/>
      <c r="G193" s="36"/>
      <c r="H193" s="4" t="str">
        <f aca="false">IF(OR(F193="",G193=""),"",DATEDIF(F193,G193+1,"y")&amp;"年"&amp;DATEDIF(F193,G193+1,"ym")&amp;"個月")</f>
        <v/>
      </c>
      <c r="I193" s="4" t="str">
        <f aca="true">IF(G193="","",IF(G193&lt;TODAY(),"已到期",IF(G193-TODAY()&lt;=60,"60日內到期（"&amp;(G193-TODAY())&amp;"日）","")))</f>
        <v/>
      </c>
      <c r="J193" s="10"/>
      <c r="K193" s="52"/>
      <c r="L193" s="10"/>
      <c r="M193" s="10"/>
      <c r="N193" s="10"/>
      <c r="O193" s="10"/>
      <c r="P193" s="36"/>
      <c r="Q193" s="10"/>
      <c r="R193" s="36"/>
      <c r="S193" s="10"/>
      <c r="T193" s="10"/>
      <c r="U193" s="10"/>
    </row>
    <row r="194" customFormat="false" ht="15" hidden="false" customHeight="false" outlineLevel="0" collapsed="false">
      <c r="A194" s="10"/>
      <c r="B194" s="10"/>
      <c r="C194" s="10"/>
      <c r="D194" s="10"/>
      <c r="E194" s="10"/>
      <c r="F194" s="36"/>
      <c r="G194" s="36"/>
      <c r="H194" s="4" t="str">
        <f aca="false">IF(OR(F194="",G194=""),"",DATEDIF(F194,G194+1,"y")&amp;"年"&amp;DATEDIF(F194,G194+1,"ym")&amp;"個月")</f>
        <v/>
      </c>
      <c r="I194" s="4" t="str">
        <f aca="true">IF(G194="","",IF(G194&lt;TODAY(),"已到期",IF(G194-TODAY()&lt;=60,"60日內到期（"&amp;(G194-TODAY())&amp;"日）","")))</f>
        <v/>
      </c>
      <c r="J194" s="10"/>
      <c r="K194" s="52"/>
      <c r="L194" s="10"/>
      <c r="M194" s="10"/>
      <c r="N194" s="10"/>
      <c r="O194" s="10"/>
      <c r="P194" s="36"/>
      <c r="Q194" s="10"/>
      <c r="R194" s="36"/>
      <c r="S194" s="10"/>
      <c r="T194" s="10"/>
      <c r="U194" s="10"/>
    </row>
    <row r="195" customFormat="false" ht="15" hidden="false" customHeight="false" outlineLevel="0" collapsed="false">
      <c r="A195" s="10"/>
      <c r="B195" s="10"/>
      <c r="C195" s="10"/>
      <c r="D195" s="10"/>
      <c r="E195" s="10"/>
      <c r="F195" s="36"/>
      <c r="G195" s="36"/>
      <c r="H195" s="4" t="str">
        <f aca="false">IF(OR(F195="",G195=""),"",DATEDIF(F195,G195+1,"y")&amp;"年"&amp;DATEDIF(F195,G195+1,"ym")&amp;"個月")</f>
        <v/>
      </c>
      <c r="I195" s="4" t="str">
        <f aca="true">IF(G195="","",IF(G195&lt;TODAY(),"已到期",IF(G195-TODAY()&lt;=60,"60日內到期（"&amp;(G195-TODAY())&amp;"日）","")))</f>
        <v/>
      </c>
      <c r="J195" s="10"/>
      <c r="K195" s="52"/>
      <c r="L195" s="10"/>
      <c r="M195" s="10"/>
      <c r="N195" s="10"/>
      <c r="O195" s="10"/>
      <c r="P195" s="36"/>
      <c r="Q195" s="10"/>
      <c r="R195" s="36"/>
      <c r="S195" s="10"/>
      <c r="T195" s="10"/>
      <c r="U195" s="10"/>
    </row>
    <row r="196" customFormat="false" ht="15" hidden="false" customHeight="false" outlineLevel="0" collapsed="false">
      <c r="A196" s="10"/>
      <c r="B196" s="10"/>
      <c r="C196" s="10"/>
      <c r="D196" s="10"/>
      <c r="E196" s="10"/>
      <c r="F196" s="36"/>
      <c r="G196" s="36"/>
      <c r="H196" s="4" t="str">
        <f aca="false">IF(OR(F196="",G196=""),"",DATEDIF(F196,G196+1,"y")&amp;"年"&amp;DATEDIF(F196,G196+1,"ym")&amp;"個月")</f>
        <v/>
      </c>
      <c r="I196" s="4" t="str">
        <f aca="true">IF(G196="","",IF(G196&lt;TODAY(),"已到期",IF(G196-TODAY()&lt;=60,"60日內到期（"&amp;(G196-TODAY())&amp;"日）","")))</f>
        <v/>
      </c>
      <c r="J196" s="10"/>
      <c r="K196" s="52"/>
      <c r="L196" s="10"/>
      <c r="M196" s="10"/>
      <c r="N196" s="10"/>
      <c r="O196" s="10"/>
      <c r="P196" s="36"/>
      <c r="Q196" s="10"/>
      <c r="R196" s="36"/>
      <c r="S196" s="10"/>
      <c r="T196" s="10"/>
      <c r="U196" s="10"/>
    </row>
    <row r="197" customFormat="false" ht="15" hidden="false" customHeight="false" outlineLevel="0" collapsed="false">
      <c r="A197" s="10"/>
      <c r="B197" s="10"/>
      <c r="C197" s="10"/>
      <c r="D197" s="10"/>
      <c r="E197" s="10"/>
      <c r="F197" s="36"/>
      <c r="G197" s="36"/>
      <c r="H197" s="4" t="str">
        <f aca="false">IF(OR(F197="",G197=""),"",DATEDIF(F197,G197+1,"y")&amp;"年"&amp;DATEDIF(F197,G197+1,"ym")&amp;"個月")</f>
        <v/>
      </c>
      <c r="I197" s="4" t="str">
        <f aca="true">IF(G197="","",IF(G197&lt;TODAY(),"已到期",IF(G197-TODAY()&lt;=60,"60日內到期（"&amp;(G197-TODAY())&amp;"日）","")))</f>
        <v/>
      </c>
      <c r="J197" s="10"/>
      <c r="K197" s="52"/>
      <c r="L197" s="10"/>
      <c r="M197" s="10"/>
      <c r="N197" s="10"/>
      <c r="O197" s="10"/>
      <c r="P197" s="36"/>
      <c r="Q197" s="10"/>
      <c r="R197" s="36"/>
      <c r="S197" s="10"/>
      <c r="T197" s="10"/>
      <c r="U197" s="10"/>
    </row>
    <row r="198" customFormat="false" ht="15" hidden="false" customHeight="false" outlineLevel="0" collapsed="false">
      <c r="A198" s="10"/>
      <c r="B198" s="10"/>
      <c r="C198" s="10"/>
      <c r="D198" s="10"/>
      <c r="E198" s="10"/>
      <c r="F198" s="36"/>
      <c r="G198" s="36"/>
      <c r="H198" s="4" t="str">
        <f aca="false">IF(OR(F198="",G198=""),"",DATEDIF(F198,G198+1,"y")&amp;"年"&amp;DATEDIF(F198,G198+1,"ym")&amp;"個月")</f>
        <v/>
      </c>
      <c r="I198" s="4" t="str">
        <f aca="true">IF(G198="","",IF(G198&lt;TODAY(),"已到期",IF(G198-TODAY()&lt;=60,"60日內到期（"&amp;(G198-TODAY())&amp;"日）","")))</f>
        <v/>
      </c>
      <c r="J198" s="10"/>
      <c r="K198" s="52"/>
      <c r="L198" s="10"/>
      <c r="M198" s="10"/>
      <c r="N198" s="10"/>
      <c r="O198" s="10"/>
      <c r="P198" s="36"/>
      <c r="Q198" s="10"/>
      <c r="R198" s="36"/>
      <c r="S198" s="10"/>
      <c r="T198" s="10"/>
      <c r="U198" s="10"/>
    </row>
    <row r="199" customFormat="false" ht="15" hidden="false" customHeight="false" outlineLevel="0" collapsed="false">
      <c r="A199" s="10"/>
      <c r="B199" s="10"/>
      <c r="C199" s="10"/>
      <c r="D199" s="10"/>
      <c r="E199" s="10"/>
      <c r="F199" s="36"/>
      <c r="G199" s="36"/>
      <c r="H199" s="4" t="str">
        <f aca="false">IF(OR(F199="",G199=""),"",DATEDIF(F199,G199+1,"y")&amp;"年"&amp;DATEDIF(F199,G199+1,"ym")&amp;"個月")</f>
        <v/>
      </c>
      <c r="I199" s="4" t="str">
        <f aca="true">IF(G199="","",IF(G199&lt;TODAY(),"已到期",IF(G199-TODAY()&lt;=60,"60日內到期（"&amp;(G199-TODAY())&amp;"日）","")))</f>
        <v/>
      </c>
      <c r="J199" s="10"/>
      <c r="K199" s="52"/>
      <c r="L199" s="10"/>
      <c r="M199" s="10"/>
      <c r="N199" s="10"/>
      <c r="O199" s="10"/>
      <c r="P199" s="36"/>
      <c r="Q199" s="10"/>
      <c r="R199" s="36"/>
      <c r="S199" s="10"/>
      <c r="T199" s="10"/>
      <c r="U199" s="10"/>
    </row>
    <row r="200" customFormat="false" ht="15" hidden="false" customHeight="false" outlineLevel="0" collapsed="false">
      <c r="A200" s="10"/>
      <c r="B200" s="10"/>
      <c r="C200" s="10"/>
      <c r="D200" s="10"/>
      <c r="E200" s="10"/>
      <c r="F200" s="36"/>
      <c r="G200" s="36"/>
      <c r="H200" s="4" t="str">
        <f aca="false">IF(OR(F200="",G200=""),"",DATEDIF(F200,G200+1,"y")&amp;"年"&amp;DATEDIF(F200,G200+1,"ym")&amp;"個月")</f>
        <v/>
      </c>
      <c r="I200" s="4" t="str">
        <f aca="true">IF(G200="","",IF(G200&lt;TODAY(),"已到期",IF(G200-TODAY()&lt;=60,"60日內到期（"&amp;(G200-TODAY())&amp;"日）","")))</f>
        <v/>
      </c>
      <c r="J200" s="10"/>
      <c r="K200" s="52"/>
      <c r="L200" s="10"/>
      <c r="M200" s="10"/>
      <c r="N200" s="10"/>
      <c r="O200" s="10"/>
      <c r="P200" s="36"/>
      <c r="Q200" s="10"/>
      <c r="R200" s="36"/>
      <c r="S200" s="10"/>
      <c r="T200" s="10"/>
      <c r="U200" s="10"/>
    </row>
    <row r="202" customFormat="false" ht="15" hidden="false" customHeight="false" outlineLevel="0" collapsed="false">
      <c r="A202" s="2" t="s">
        <v>650</v>
      </c>
    </row>
  </sheetData>
  <autoFilter ref="A4:U200"/>
  <dataValidations count="5">
    <dataValidation allowBlank="true" errorStyle="stop" operator="between" showDropDown="false" showErrorMessage="false" showInputMessage="false" sqref="C5:C200" type="list">
      <formula1>"合約,報價單,函文,其他"</formula1>
      <formula2>0</formula2>
    </dataValidation>
    <dataValidation allowBlank="true" errorStyle="stop" operator="between" showDropDown="false" showErrorMessage="false" showInputMessage="false" sqref="N5:N200" type="list">
      <formula1>"公司大章,公司小章,發票章,電子章"</formula1>
      <formula2>0</formula2>
    </dataValidation>
    <dataValidation allowBlank="true" errorStyle="stop" operator="between" showDropDown="false" showErrorMessage="false" showInputMessage="false" sqref="J5:J200" type="list">
      <formula1>"是,否,無期限"</formula1>
      <formula2>0</formula2>
    </dataValidation>
    <dataValidation allowBlank="true" errorStyle="stop" operator="between" showDropDown="false" showErrorMessage="false" showInputMessage="false" sqref="Q5:Q200" type="list">
      <formula1>"待簽核,已簽核,已用印,已歸檔,已作廢"</formula1>
      <formula2>0</formula2>
    </dataValidation>
    <dataValidation allowBlank="true" errorStyle="stop" operator="between" showDropDown="false" showErrorMessage="false" showInputMessage="false" sqref="B5:B200" type="list">
      <formula1>"文創科技股份有限公司,小貓,知識產權"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30"/>
    <col collapsed="false" customWidth="true" hidden="false" outlineLevel="0" max="10" min="10" style="0" width="28"/>
    <col collapsed="false" customWidth="true" hidden="false" outlineLevel="0" max="11" min="11" style="0" width="12"/>
  </cols>
  <sheetData>
    <row r="1" customFormat="false" ht="17.35" hidden="false" customHeight="false" outlineLevel="0" collapsed="false">
      <c r="A1" s="1" t="s">
        <v>651</v>
      </c>
    </row>
    <row r="2" customFormat="false" ht="15" hidden="false" customHeight="false" outlineLevel="0" collapsed="false">
      <c r="A2" s="2" t="s">
        <v>652</v>
      </c>
    </row>
    <row r="4" customFormat="false" ht="32.8" hidden="false" customHeight="false" outlineLevel="0" collapsed="false">
      <c r="A4" s="3" t="s">
        <v>653</v>
      </c>
      <c r="B4" s="3" t="s">
        <v>654</v>
      </c>
      <c r="C4" s="3" t="s">
        <v>496</v>
      </c>
      <c r="D4" s="3" t="s">
        <v>655</v>
      </c>
      <c r="E4" s="3" t="s">
        <v>656</v>
      </c>
      <c r="F4" s="3" t="s">
        <v>657</v>
      </c>
      <c r="G4" s="3" t="s">
        <v>658</v>
      </c>
      <c r="H4" s="3" t="s">
        <v>498</v>
      </c>
      <c r="I4" s="3" t="s">
        <v>659</v>
      </c>
      <c r="J4" s="3" t="s">
        <v>660</v>
      </c>
      <c r="K4" s="3" t="s">
        <v>499</v>
      </c>
    </row>
    <row r="5" customFormat="false" ht="15" hidden="false" customHeight="false" outlineLevel="0" collapsed="false">
      <c r="A5" s="29" t="n">
        <v>46310</v>
      </c>
      <c r="B5" s="30" t="s">
        <v>661</v>
      </c>
      <c r="C5" s="30" t="s">
        <v>662</v>
      </c>
      <c r="D5" s="30" t="s">
        <v>503</v>
      </c>
      <c r="E5" s="31" t="s">
        <v>663</v>
      </c>
      <c r="F5" s="54" t="n">
        <v>100000</v>
      </c>
      <c r="G5" s="54" t="n">
        <v>5000</v>
      </c>
      <c r="H5" s="31" t="s">
        <v>510</v>
      </c>
      <c r="I5" s="30"/>
      <c r="J5" s="31" t="s">
        <v>664</v>
      </c>
      <c r="K5" s="31" t="s">
        <v>511</v>
      </c>
    </row>
    <row r="6" customFormat="false" ht="15" hidden="false" customHeight="false" outlineLevel="0" collapsed="false">
      <c r="A6" s="29" t="n">
        <v>46315</v>
      </c>
      <c r="B6" s="30" t="s">
        <v>665</v>
      </c>
      <c r="C6" s="30" t="s">
        <v>666</v>
      </c>
      <c r="D6" s="31"/>
      <c r="E6" s="31" t="s">
        <v>667</v>
      </c>
      <c r="F6" s="54" t="n">
        <v>2000</v>
      </c>
      <c r="G6" s="54" t="n">
        <v>100</v>
      </c>
      <c r="H6" s="31" t="s">
        <v>510</v>
      </c>
      <c r="I6" s="30"/>
      <c r="J6" s="31" t="s">
        <v>668</v>
      </c>
      <c r="K6" s="31" t="s">
        <v>511</v>
      </c>
    </row>
    <row r="7" customFormat="false" ht="15" hidden="false" customHeight="false" outlineLevel="0" collapsed="false">
      <c r="A7" s="29"/>
      <c r="B7" s="30"/>
      <c r="C7" s="31"/>
      <c r="D7" s="31"/>
      <c r="E7" s="31"/>
      <c r="F7" s="54"/>
      <c r="G7" s="54"/>
      <c r="H7" s="31"/>
      <c r="I7" s="30"/>
      <c r="J7" s="31"/>
      <c r="K7" s="31"/>
    </row>
    <row r="8" customFormat="false" ht="15" hidden="false" customHeight="false" outlineLevel="0" collapsed="false">
      <c r="A8" s="29"/>
      <c r="B8" s="30"/>
      <c r="C8" s="31"/>
      <c r="D8" s="31"/>
      <c r="E8" s="31"/>
      <c r="F8" s="54"/>
      <c r="G8" s="54"/>
      <c r="H8" s="31"/>
      <c r="I8" s="30"/>
      <c r="J8" s="31"/>
      <c r="K8" s="31"/>
    </row>
    <row r="9" customFormat="false" ht="15" hidden="false" customHeight="false" outlineLevel="0" collapsed="false">
      <c r="A9" s="29"/>
      <c r="B9" s="30"/>
      <c r="C9" s="31"/>
      <c r="D9" s="31"/>
      <c r="E9" s="31"/>
      <c r="F9" s="54"/>
      <c r="G9" s="54"/>
      <c r="H9" s="31"/>
      <c r="I9" s="30"/>
      <c r="J9" s="31"/>
      <c r="K9" s="31"/>
    </row>
    <row r="10" customFormat="false" ht="15" hidden="false" customHeight="false" outlineLevel="0" collapsed="false">
      <c r="A10" s="29"/>
      <c r="B10" s="30"/>
      <c r="C10" s="31"/>
      <c r="D10" s="31"/>
      <c r="E10" s="31"/>
      <c r="F10" s="54"/>
      <c r="G10" s="54"/>
      <c r="H10" s="31"/>
      <c r="I10" s="30"/>
      <c r="J10" s="31"/>
      <c r="K10" s="31"/>
    </row>
    <row r="11" customFormat="false" ht="15" hidden="false" customHeight="false" outlineLevel="0" collapsed="false">
      <c r="A11" s="29"/>
      <c r="B11" s="30"/>
      <c r="C11" s="31"/>
      <c r="D11" s="31"/>
      <c r="E11" s="31"/>
      <c r="F11" s="54"/>
      <c r="G11" s="54"/>
      <c r="H11" s="31"/>
      <c r="I11" s="30"/>
      <c r="J11" s="31"/>
      <c r="K11" s="31"/>
    </row>
    <row r="12" customFormat="false" ht="15" hidden="false" customHeight="false" outlineLevel="0" collapsed="false">
      <c r="A12" s="29"/>
      <c r="B12" s="30"/>
      <c r="C12" s="31"/>
      <c r="D12" s="31"/>
      <c r="E12" s="31"/>
      <c r="F12" s="54"/>
      <c r="G12" s="54"/>
      <c r="H12" s="31"/>
      <c r="I12" s="30"/>
      <c r="J12" s="31"/>
      <c r="K12" s="31"/>
    </row>
    <row r="13" customFormat="false" ht="15" hidden="false" customHeight="false" outlineLevel="0" collapsed="false">
      <c r="A13" s="29"/>
      <c r="B13" s="30"/>
      <c r="C13" s="31"/>
      <c r="D13" s="31"/>
      <c r="E13" s="31"/>
      <c r="F13" s="54"/>
      <c r="G13" s="54"/>
      <c r="H13" s="31"/>
      <c r="I13" s="30"/>
      <c r="J13" s="31"/>
      <c r="K13" s="31"/>
    </row>
    <row r="14" customFormat="false" ht="15" hidden="false" customHeight="false" outlineLevel="0" collapsed="false">
      <c r="A14" s="29"/>
      <c r="B14" s="30"/>
      <c r="C14" s="31"/>
      <c r="D14" s="31"/>
      <c r="E14" s="31"/>
      <c r="F14" s="54"/>
      <c r="G14" s="54"/>
      <c r="H14" s="31"/>
      <c r="I14" s="30"/>
      <c r="J14" s="31"/>
      <c r="K14" s="31"/>
    </row>
    <row r="15" customFormat="false" ht="15" hidden="false" customHeight="false" outlineLevel="0" collapsed="false">
      <c r="A15" s="29"/>
      <c r="B15" s="30"/>
      <c r="C15" s="31"/>
      <c r="D15" s="31"/>
      <c r="E15" s="31"/>
      <c r="F15" s="54"/>
      <c r="G15" s="54"/>
      <c r="H15" s="31"/>
      <c r="I15" s="30"/>
      <c r="J15" s="31"/>
      <c r="K15" s="31"/>
    </row>
    <row r="16" customFormat="false" ht="15" hidden="false" customHeight="false" outlineLevel="0" collapsed="false">
      <c r="A16" s="29"/>
      <c r="B16" s="30"/>
      <c r="C16" s="31"/>
      <c r="D16" s="31"/>
      <c r="E16" s="31"/>
      <c r="F16" s="54"/>
      <c r="G16" s="54"/>
      <c r="H16" s="31"/>
      <c r="I16" s="30"/>
      <c r="J16" s="31"/>
      <c r="K16" s="31"/>
    </row>
    <row r="17" customFormat="false" ht="15" hidden="false" customHeight="false" outlineLevel="0" collapsed="false">
      <c r="A17" s="29"/>
      <c r="B17" s="30"/>
      <c r="C17" s="31"/>
      <c r="D17" s="31"/>
      <c r="E17" s="31"/>
      <c r="F17" s="54"/>
      <c r="G17" s="54"/>
      <c r="H17" s="31"/>
      <c r="I17" s="30"/>
      <c r="J17" s="31"/>
      <c r="K17" s="31"/>
    </row>
    <row r="18" customFormat="false" ht="15" hidden="false" customHeight="false" outlineLevel="0" collapsed="false">
      <c r="A18" s="29"/>
      <c r="B18" s="30"/>
      <c r="C18" s="31"/>
      <c r="D18" s="31"/>
      <c r="E18" s="31"/>
      <c r="F18" s="54"/>
      <c r="G18" s="54"/>
      <c r="H18" s="31"/>
      <c r="I18" s="30"/>
      <c r="J18" s="31"/>
      <c r="K18" s="31"/>
    </row>
    <row r="19" customFormat="false" ht="15" hidden="false" customHeight="false" outlineLevel="0" collapsed="false">
      <c r="A19" s="29"/>
      <c r="B19" s="30"/>
      <c r="C19" s="31"/>
      <c r="D19" s="31"/>
      <c r="E19" s="31"/>
      <c r="F19" s="54"/>
      <c r="G19" s="54"/>
      <c r="H19" s="31"/>
      <c r="I19" s="30"/>
      <c r="J19" s="31"/>
      <c r="K19" s="31"/>
    </row>
    <row r="20" customFormat="false" ht="15" hidden="false" customHeight="false" outlineLevel="0" collapsed="false">
      <c r="A20" s="29"/>
      <c r="B20" s="30"/>
      <c r="C20" s="31"/>
      <c r="D20" s="31"/>
      <c r="E20" s="31"/>
      <c r="F20" s="54"/>
      <c r="G20" s="54"/>
      <c r="H20" s="31"/>
      <c r="I20" s="30"/>
      <c r="J20" s="31"/>
      <c r="K20" s="31"/>
    </row>
    <row r="21" customFormat="false" ht="15" hidden="false" customHeight="false" outlineLevel="0" collapsed="false">
      <c r="A21" s="29"/>
      <c r="B21" s="30"/>
      <c r="C21" s="31"/>
      <c r="D21" s="31"/>
      <c r="E21" s="31"/>
      <c r="F21" s="54"/>
      <c r="G21" s="54"/>
      <c r="H21" s="31"/>
      <c r="I21" s="30"/>
      <c r="J21" s="31"/>
      <c r="K21" s="31"/>
    </row>
    <row r="22" customFormat="false" ht="15" hidden="false" customHeight="false" outlineLevel="0" collapsed="false">
      <c r="A22" s="29"/>
      <c r="B22" s="30"/>
      <c r="C22" s="31"/>
      <c r="D22" s="31"/>
      <c r="E22" s="31"/>
      <c r="F22" s="54"/>
      <c r="G22" s="54"/>
      <c r="H22" s="31"/>
      <c r="I22" s="30"/>
      <c r="J22" s="31"/>
      <c r="K22" s="31"/>
    </row>
    <row r="23" customFormat="false" ht="15" hidden="false" customHeight="false" outlineLevel="0" collapsed="false">
      <c r="A23" s="29"/>
      <c r="B23" s="30"/>
      <c r="C23" s="31"/>
      <c r="D23" s="31"/>
      <c r="E23" s="31"/>
      <c r="F23" s="54"/>
      <c r="G23" s="54"/>
      <c r="H23" s="31"/>
      <c r="I23" s="30"/>
      <c r="J23" s="31"/>
      <c r="K23" s="31"/>
    </row>
    <row r="24" customFormat="false" ht="15" hidden="false" customHeight="false" outlineLevel="0" collapsed="false">
      <c r="A24" s="29"/>
      <c r="B24" s="30"/>
      <c r="C24" s="31"/>
      <c r="D24" s="31"/>
      <c r="E24" s="31"/>
      <c r="F24" s="54"/>
      <c r="G24" s="54"/>
      <c r="H24" s="31"/>
      <c r="I24" s="30"/>
      <c r="J24" s="31"/>
      <c r="K24" s="31"/>
    </row>
    <row r="25" customFormat="false" ht="15" hidden="false" customHeight="false" outlineLevel="0" collapsed="false">
      <c r="A25" s="29"/>
      <c r="B25" s="30"/>
      <c r="C25" s="31"/>
      <c r="D25" s="31"/>
      <c r="E25" s="31"/>
      <c r="F25" s="54"/>
      <c r="G25" s="54"/>
      <c r="H25" s="31"/>
      <c r="I25" s="30"/>
      <c r="J25" s="31"/>
      <c r="K25" s="31"/>
    </row>
    <row r="26" customFormat="false" ht="15" hidden="false" customHeight="false" outlineLevel="0" collapsed="false">
      <c r="A26" s="29"/>
      <c r="B26" s="30"/>
      <c r="C26" s="31"/>
      <c r="D26" s="31"/>
      <c r="E26" s="31"/>
      <c r="F26" s="54"/>
      <c r="G26" s="54"/>
      <c r="H26" s="31"/>
      <c r="I26" s="30"/>
      <c r="J26" s="31"/>
      <c r="K26" s="31"/>
    </row>
    <row r="27" customFormat="false" ht="15" hidden="false" customHeight="false" outlineLevel="0" collapsed="false">
      <c r="A27" s="29"/>
      <c r="B27" s="30"/>
      <c r="C27" s="31"/>
      <c r="D27" s="31"/>
      <c r="E27" s="31"/>
      <c r="F27" s="54"/>
      <c r="G27" s="54"/>
      <c r="H27" s="31"/>
      <c r="I27" s="30"/>
      <c r="J27" s="31"/>
      <c r="K27" s="31"/>
    </row>
    <row r="28" customFormat="false" ht="15" hidden="false" customHeight="false" outlineLevel="0" collapsed="false">
      <c r="A28" s="29"/>
      <c r="B28" s="30"/>
      <c r="C28" s="31"/>
      <c r="D28" s="31"/>
      <c r="E28" s="31"/>
      <c r="F28" s="54"/>
      <c r="G28" s="54"/>
      <c r="H28" s="31"/>
      <c r="I28" s="30"/>
      <c r="J28" s="31"/>
      <c r="K28" s="31"/>
    </row>
    <row r="29" customFormat="false" ht="15" hidden="false" customHeight="false" outlineLevel="0" collapsed="false">
      <c r="A29" s="29"/>
      <c r="B29" s="30"/>
      <c r="C29" s="31"/>
      <c r="D29" s="31"/>
      <c r="E29" s="31"/>
      <c r="F29" s="54"/>
      <c r="G29" s="54"/>
      <c r="H29" s="31"/>
      <c r="I29" s="30"/>
      <c r="J29" s="31"/>
      <c r="K29" s="31"/>
    </row>
    <row r="30" customFormat="false" ht="15" hidden="false" customHeight="false" outlineLevel="0" collapsed="false">
      <c r="A30" s="29"/>
      <c r="B30" s="30"/>
      <c r="C30" s="31"/>
      <c r="D30" s="31"/>
      <c r="E30" s="31"/>
      <c r="F30" s="54"/>
      <c r="G30" s="54"/>
      <c r="H30" s="31"/>
      <c r="I30" s="30"/>
      <c r="J30" s="31"/>
      <c r="K30" s="31"/>
    </row>
    <row r="31" customFormat="false" ht="15" hidden="false" customHeight="false" outlineLevel="0" collapsed="false">
      <c r="A31" s="29"/>
      <c r="B31" s="30"/>
      <c r="C31" s="31"/>
      <c r="D31" s="31"/>
      <c r="E31" s="31"/>
      <c r="F31" s="54"/>
      <c r="G31" s="54"/>
      <c r="H31" s="31"/>
      <c r="I31" s="30"/>
      <c r="J31" s="31"/>
      <c r="K31" s="31"/>
    </row>
    <row r="32" customFormat="false" ht="15" hidden="false" customHeight="false" outlineLevel="0" collapsed="false">
      <c r="A32" s="29"/>
      <c r="B32" s="30"/>
      <c r="C32" s="31"/>
      <c r="D32" s="31"/>
      <c r="E32" s="31"/>
      <c r="F32" s="54"/>
      <c r="G32" s="54"/>
      <c r="H32" s="31"/>
      <c r="I32" s="30"/>
      <c r="J32" s="31"/>
      <c r="K32" s="31"/>
    </row>
    <row r="33" customFormat="false" ht="15" hidden="false" customHeight="false" outlineLevel="0" collapsed="false">
      <c r="A33" s="29"/>
      <c r="B33" s="30"/>
      <c r="C33" s="31"/>
      <c r="D33" s="31"/>
      <c r="E33" s="31"/>
      <c r="F33" s="54"/>
      <c r="G33" s="54"/>
      <c r="H33" s="31"/>
      <c r="I33" s="30"/>
      <c r="J33" s="31"/>
      <c r="K33" s="31"/>
    </row>
    <row r="34" customFormat="false" ht="15" hidden="false" customHeight="false" outlineLevel="0" collapsed="false">
      <c r="A34" s="29"/>
      <c r="B34" s="30"/>
      <c r="C34" s="31"/>
      <c r="D34" s="31"/>
      <c r="E34" s="31"/>
      <c r="F34" s="54"/>
      <c r="G34" s="54"/>
      <c r="H34" s="31"/>
      <c r="I34" s="30"/>
      <c r="J34" s="31"/>
      <c r="K34" s="31"/>
    </row>
    <row r="35" customFormat="false" ht="15" hidden="false" customHeight="false" outlineLevel="0" collapsed="false">
      <c r="A35" s="29"/>
      <c r="B35" s="30"/>
      <c r="C35" s="31"/>
      <c r="D35" s="31"/>
      <c r="E35" s="31"/>
      <c r="F35" s="54"/>
      <c r="G35" s="54"/>
      <c r="H35" s="31"/>
      <c r="I35" s="30"/>
      <c r="J35" s="31"/>
      <c r="K35" s="31"/>
    </row>
    <row r="36" customFormat="false" ht="15" hidden="false" customHeight="false" outlineLevel="0" collapsed="false">
      <c r="A36" s="29"/>
      <c r="B36" s="30"/>
      <c r="C36" s="31"/>
      <c r="D36" s="31"/>
      <c r="E36" s="31"/>
      <c r="F36" s="54"/>
      <c r="G36" s="54"/>
      <c r="H36" s="31"/>
      <c r="I36" s="30"/>
      <c r="J36" s="31"/>
      <c r="K36" s="31"/>
    </row>
    <row r="37" customFormat="false" ht="15" hidden="false" customHeight="false" outlineLevel="0" collapsed="false">
      <c r="A37" s="29"/>
      <c r="B37" s="30"/>
      <c r="C37" s="31"/>
      <c r="D37" s="31"/>
      <c r="E37" s="31"/>
      <c r="F37" s="54"/>
      <c r="G37" s="54"/>
      <c r="H37" s="31"/>
      <c r="I37" s="30"/>
      <c r="J37" s="31"/>
      <c r="K37" s="31"/>
    </row>
    <row r="38" customFormat="false" ht="15" hidden="false" customHeight="false" outlineLevel="0" collapsed="false">
      <c r="A38" s="29"/>
      <c r="B38" s="30"/>
      <c r="C38" s="31"/>
      <c r="D38" s="31"/>
      <c r="E38" s="31"/>
      <c r="F38" s="54"/>
      <c r="G38" s="54"/>
      <c r="H38" s="31"/>
      <c r="I38" s="30"/>
      <c r="J38" s="31"/>
      <c r="K38" s="31"/>
    </row>
    <row r="39" customFormat="false" ht="15" hidden="false" customHeight="false" outlineLevel="0" collapsed="false">
      <c r="A39" s="29"/>
      <c r="B39" s="30"/>
      <c r="C39" s="31"/>
      <c r="D39" s="31"/>
      <c r="E39" s="31"/>
      <c r="F39" s="54"/>
      <c r="G39" s="54"/>
      <c r="H39" s="31"/>
      <c r="I39" s="30"/>
      <c r="J39" s="31"/>
      <c r="K39" s="31"/>
    </row>
    <row r="40" customFormat="false" ht="15" hidden="false" customHeight="false" outlineLevel="0" collapsed="false">
      <c r="A40" s="29"/>
      <c r="B40" s="30"/>
      <c r="C40" s="31"/>
      <c r="D40" s="31"/>
      <c r="E40" s="31"/>
      <c r="F40" s="54"/>
      <c r="G40" s="54"/>
      <c r="H40" s="31"/>
      <c r="I40" s="30"/>
      <c r="J40" s="31"/>
      <c r="K40" s="31"/>
    </row>
    <row r="41" customFormat="false" ht="15" hidden="false" customHeight="false" outlineLevel="0" collapsed="false">
      <c r="A41" s="29"/>
      <c r="B41" s="30"/>
      <c r="C41" s="31"/>
      <c r="D41" s="31"/>
      <c r="E41" s="31"/>
      <c r="F41" s="54"/>
      <c r="G41" s="54"/>
      <c r="H41" s="31"/>
      <c r="I41" s="30"/>
      <c r="J41" s="31"/>
      <c r="K41" s="31"/>
    </row>
    <row r="42" customFormat="false" ht="15" hidden="false" customHeight="false" outlineLevel="0" collapsed="false">
      <c r="A42" s="29"/>
      <c r="B42" s="30"/>
      <c r="C42" s="31"/>
      <c r="D42" s="31"/>
      <c r="E42" s="31"/>
      <c r="F42" s="54"/>
      <c r="G42" s="54"/>
      <c r="H42" s="31"/>
      <c r="I42" s="30"/>
      <c r="J42" s="31"/>
      <c r="K42" s="31"/>
    </row>
    <row r="43" customFormat="false" ht="15" hidden="false" customHeight="false" outlineLevel="0" collapsed="false">
      <c r="A43" s="29"/>
      <c r="B43" s="30"/>
      <c r="C43" s="31"/>
      <c r="D43" s="31"/>
      <c r="E43" s="31"/>
      <c r="F43" s="54"/>
      <c r="G43" s="54"/>
      <c r="H43" s="31"/>
      <c r="I43" s="30"/>
      <c r="J43" s="31"/>
      <c r="K43" s="31"/>
    </row>
    <row r="44" customFormat="false" ht="15" hidden="false" customHeight="false" outlineLevel="0" collapsed="false">
      <c r="A44" s="29"/>
      <c r="B44" s="30"/>
      <c r="C44" s="31"/>
      <c r="D44" s="31"/>
      <c r="E44" s="31"/>
      <c r="F44" s="54"/>
      <c r="G44" s="54"/>
      <c r="H44" s="31"/>
      <c r="I44" s="30"/>
      <c r="J44" s="31"/>
      <c r="K44" s="31"/>
    </row>
    <row r="45" customFormat="false" ht="15" hidden="false" customHeight="false" outlineLevel="0" collapsed="false">
      <c r="A45" s="29"/>
      <c r="B45" s="30"/>
      <c r="C45" s="31"/>
      <c r="D45" s="31"/>
      <c r="E45" s="31"/>
      <c r="F45" s="54"/>
      <c r="G45" s="54"/>
      <c r="H45" s="31"/>
      <c r="I45" s="30"/>
      <c r="J45" s="31"/>
      <c r="K45" s="31"/>
    </row>
    <row r="46" customFormat="false" ht="15" hidden="false" customHeight="false" outlineLevel="0" collapsed="false">
      <c r="A46" s="29"/>
      <c r="B46" s="30"/>
      <c r="C46" s="31"/>
      <c r="D46" s="31"/>
      <c r="E46" s="31"/>
      <c r="F46" s="54"/>
      <c r="G46" s="54"/>
      <c r="H46" s="31"/>
      <c r="I46" s="30"/>
      <c r="J46" s="31"/>
      <c r="K46" s="31"/>
    </row>
    <row r="47" customFormat="false" ht="15" hidden="false" customHeight="false" outlineLevel="0" collapsed="false">
      <c r="A47" s="29"/>
      <c r="B47" s="30"/>
      <c r="C47" s="31"/>
      <c r="D47" s="31"/>
      <c r="E47" s="31"/>
      <c r="F47" s="54"/>
      <c r="G47" s="54"/>
      <c r="H47" s="31"/>
      <c r="I47" s="30"/>
      <c r="J47" s="31"/>
      <c r="K47" s="31"/>
    </row>
    <row r="48" customFormat="false" ht="15" hidden="false" customHeight="false" outlineLevel="0" collapsed="false">
      <c r="A48" s="29"/>
      <c r="B48" s="30"/>
      <c r="C48" s="31"/>
      <c r="D48" s="31"/>
      <c r="E48" s="31"/>
      <c r="F48" s="54"/>
      <c r="G48" s="54"/>
      <c r="H48" s="31"/>
      <c r="I48" s="30"/>
      <c r="J48" s="31"/>
      <c r="K48" s="31"/>
    </row>
    <row r="49" customFormat="false" ht="15" hidden="false" customHeight="false" outlineLevel="0" collapsed="false">
      <c r="A49" s="29"/>
      <c r="B49" s="30"/>
      <c r="C49" s="31"/>
      <c r="D49" s="31"/>
      <c r="E49" s="31"/>
      <c r="F49" s="54"/>
      <c r="G49" s="54"/>
      <c r="H49" s="31"/>
      <c r="I49" s="30"/>
      <c r="J49" s="31"/>
      <c r="K49" s="31"/>
    </row>
    <row r="50" customFormat="false" ht="15" hidden="false" customHeight="false" outlineLevel="0" collapsed="false">
      <c r="A50" s="29"/>
      <c r="B50" s="30"/>
      <c r="C50" s="31"/>
      <c r="D50" s="31"/>
      <c r="E50" s="31"/>
      <c r="F50" s="54"/>
      <c r="G50" s="54"/>
      <c r="H50" s="31"/>
      <c r="I50" s="30"/>
      <c r="J50" s="31"/>
      <c r="K50" s="31"/>
    </row>
    <row r="51" customFormat="false" ht="15" hidden="false" customHeight="false" outlineLevel="0" collapsed="false">
      <c r="A51" s="29"/>
      <c r="B51" s="30"/>
      <c r="C51" s="31"/>
      <c r="D51" s="31"/>
      <c r="E51" s="31"/>
      <c r="F51" s="54"/>
      <c r="G51" s="54"/>
      <c r="H51" s="31"/>
      <c r="I51" s="30"/>
      <c r="J51" s="31"/>
      <c r="K51" s="31"/>
    </row>
    <row r="52" customFormat="false" ht="15" hidden="false" customHeight="false" outlineLevel="0" collapsed="false">
      <c r="A52" s="29"/>
      <c r="B52" s="30"/>
      <c r="C52" s="31"/>
      <c r="D52" s="31"/>
      <c r="E52" s="31"/>
      <c r="F52" s="54"/>
      <c r="G52" s="54"/>
      <c r="H52" s="31"/>
      <c r="I52" s="30"/>
      <c r="J52" s="31"/>
      <c r="K52" s="31"/>
    </row>
    <row r="53" customFormat="false" ht="15" hidden="false" customHeight="false" outlineLevel="0" collapsed="false">
      <c r="A53" s="29"/>
      <c r="B53" s="30"/>
      <c r="C53" s="31"/>
      <c r="D53" s="31"/>
      <c r="E53" s="31"/>
      <c r="F53" s="54"/>
      <c r="G53" s="54"/>
      <c r="H53" s="31"/>
      <c r="I53" s="30"/>
      <c r="J53" s="31"/>
      <c r="K53" s="31"/>
    </row>
    <row r="54" customFormat="false" ht="15" hidden="false" customHeight="false" outlineLevel="0" collapsed="false">
      <c r="A54" s="29"/>
      <c r="B54" s="30"/>
      <c r="C54" s="31"/>
      <c r="D54" s="31"/>
      <c r="E54" s="31"/>
      <c r="F54" s="54"/>
      <c r="G54" s="54"/>
      <c r="H54" s="31"/>
      <c r="I54" s="30"/>
      <c r="J54" s="31"/>
      <c r="K54" s="31"/>
    </row>
    <row r="55" customFormat="false" ht="15" hidden="false" customHeight="false" outlineLevel="0" collapsed="false">
      <c r="A55" s="29"/>
      <c r="B55" s="30"/>
      <c r="C55" s="31"/>
      <c r="D55" s="31"/>
      <c r="E55" s="31"/>
      <c r="F55" s="54"/>
      <c r="G55" s="54"/>
      <c r="H55" s="31"/>
      <c r="I55" s="30"/>
      <c r="J55" s="31"/>
      <c r="K55" s="31"/>
    </row>
    <row r="56" customFormat="false" ht="15" hidden="false" customHeight="false" outlineLevel="0" collapsed="false">
      <c r="A56" s="29"/>
      <c r="B56" s="30"/>
      <c r="C56" s="31"/>
      <c r="D56" s="31"/>
      <c r="E56" s="31"/>
      <c r="F56" s="54"/>
      <c r="G56" s="54"/>
      <c r="H56" s="31"/>
      <c r="I56" s="30"/>
      <c r="J56" s="31"/>
      <c r="K56" s="31"/>
    </row>
    <row r="57" customFormat="false" ht="15" hidden="false" customHeight="false" outlineLevel="0" collapsed="false">
      <c r="A57" s="29"/>
      <c r="B57" s="30"/>
      <c r="C57" s="31"/>
      <c r="D57" s="31"/>
      <c r="E57" s="31"/>
      <c r="F57" s="54"/>
      <c r="G57" s="54"/>
      <c r="H57" s="31"/>
      <c r="I57" s="30"/>
      <c r="J57" s="31"/>
      <c r="K57" s="31"/>
    </row>
    <row r="58" customFormat="false" ht="15" hidden="false" customHeight="false" outlineLevel="0" collapsed="false">
      <c r="A58" s="29"/>
      <c r="B58" s="30"/>
      <c r="C58" s="31"/>
      <c r="D58" s="31"/>
      <c r="E58" s="31"/>
      <c r="F58" s="54"/>
      <c r="G58" s="54"/>
      <c r="H58" s="31"/>
      <c r="I58" s="30"/>
      <c r="J58" s="31"/>
      <c r="K58" s="31"/>
    </row>
    <row r="59" customFormat="false" ht="15" hidden="false" customHeight="false" outlineLevel="0" collapsed="false">
      <c r="A59" s="29"/>
      <c r="B59" s="30"/>
      <c r="C59" s="31"/>
      <c r="D59" s="31"/>
      <c r="E59" s="31"/>
      <c r="F59" s="54"/>
      <c r="G59" s="54"/>
      <c r="H59" s="31"/>
      <c r="I59" s="30"/>
      <c r="J59" s="31"/>
      <c r="K59" s="31"/>
    </row>
    <row r="60" customFormat="false" ht="15" hidden="false" customHeight="false" outlineLevel="0" collapsed="false">
      <c r="A60" s="29"/>
      <c r="B60" s="30"/>
      <c r="C60" s="31"/>
      <c r="D60" s="31"/>
      <c r="E60" s="31"/>
      <c r="F60" s="54"/>
      <c r="G60" s="54"/>
      <c r="H60" s="31"/>
      <c r="I60" s="30"/>
      <c r="J60" s="31"/>
      <c r="K60" s="31"/>
    </row>
    <row r="61" customFormat="false" ht="15" hidden="false" customHeight="false" outlineLevel="0" collapsed="false">
      <c r="A61" s="29"/>
      <c r="B61" s="30"/>
      <c r="C61" s="31"/>
      <c r="D61" s="31"/>
      <c r="E61" s="31"/>
      <c r="F61" s="54"/>
      <c r="G61" s="54"/>
      <c r="H61" s="31"/>
      <c r="I61" s="30"/>
      <c r="J61" s="31"/>
      <c r="K61" s="31"/>
    </row>
    <row r="62" customFormat="false" ht="15" hidden="false" customHeight="false" outlineLevel="0" collapsed="false">
      <c r="A62" s="29"/>
      <c r="B62" s="30"/>
      <c r="C62" s="31"/>
      <c r="D62" s="31"/>
      <c r="E62" s="31"/>
      <c r="F62" s="54"/>
      <c r="G62" s="54"/>
      <c r="H62" s="31"/>
      <c r="I62" s="30"/>
      <c r="J62" s="31"/>
      <c r="K62" s="31"/>
    </row>
    <row r="63" customFormat="false" ht="15" hidden="false" customHeight="false" outlineLevel="0" collapsed="false">
      <c r="A63" s="29"/>
      <c r="B63" s="30"/>
      <c r="C63" s="31"/>
      <c r="D63" s="31"/>
      <c r="E63" s="31"/>
      <c r="F63" s="54"/>
      <c r="G63" s="54"/>
      <c r="H63" s="31"/>
      <c r="I63" s="30"/>
      <c r="J63" s="31"/>
      <c r="K63" s="31"/>
    </row>
    <row r="64" customFormat="false" ht="15" hidden="false" customHeight="false" outlineLevel="0" collapsed="false">
      <c r="A64" s="29"/>
      <c r="B64" s="30"/>
      <c r="C64" s="31"/>
      <c r="D64" s="31"/>
      <c r="E64" s="31"/>
      <c r="F64" s="54"/>
      <c r="G64" s="54"/>
      <c r="H64" s="31"/>
      <c r="I64" s="30"/>
      <c r="J64" s="31"/>
      <c r="K64" s="31"/>
    </row>
    <row r="65" customFormat="false" ht="15" hidden="false" customHeight="false" outlineLevel="0" collapsed="false">
      <c r="A65" s="29"/>
      <c r="B65" s="30"/>
      <c r="C65" s="31"/>
      <c r="D65" s="31"/>
      <c r="E65" s="31"/>
      <c r="F65" s="54"/>
      <c r="G65" s="54"/>
      <c r="H65" s="31"/>
      <c r="I65" s="30"/>
      <c r="J65" s="31"/>
      <c r="K65" s="31"/>
    </row>
    <row r="66" customFormat="false" ht="15" hidden="false" customHeight="false" outlineLevel="0" collapsed="false">
      <c r="A66" s="29"/>
      <c r="B66" s="30"/>
      <c r="C66" s="31"/>
      <c r="D66" s="31"/>
      <c r="E66" s="31"/>
      <c r="F66" s="54"/>
      <c r="G66" s="54"/>
      <c r="H66" s="31"/>
      <c r="I66" s="30"/>
      <c r="J66" s="31"/>
      <c r="K66" s="31"/>
    </row>
    <row r="67" customFormat="false" ht="15" hidden="false" customHeight="false" outlineLevel="0" collapsed="false">
      <c r="A67" s="29"/>
      <c r="B67" s="30"/>
      <c r="C67" s="31"/>
      <c r="D67" s="31"/>
      <c r="E67" s="31"/>
      <c r="F67" s="54"/>
      <c r="G67" s="54"/>
      <c r="H67" s="31"/>
      <c r="I67" s="30"/>
      <c r="J67" s="31"/>
      <c r="K67" s="31"/>
    </row>
    <row r="68" customFormat="false" ht="15" hidden="false" customHeight="false" outlineLevel="0" collapsed="false">
      <c r="A68" s="29"/>
      <c r="B68" s="30"/>
      <c r="C68" s="31"/>
      <c r="D68" s="31"/>
      <c r="E68" s="31"/>
      <c r="F68" s="54"/>
      <c r="G68" s="54"/>
      <c r="H68" s="31"/>
      <c r="I68" s="30"/>
      <c r="J68" s="31"/>
      <c r="K68" s="31"/>
    </row>
    <row r="69" customFormat="false" ht="15" hidden="false" customHeight="false" outlineLevel="0" collapsed="false">
      <c r="A69" s="29"/>
      <c r="B69" s="30"/>
      <c r="C69" s="31"/>
      <c r="D69" s="31"/>
      <c r="E69" s="31"/>
      <c r="F69" s="54"/>
      <c r="G69" s="54"/>
      <c r="H69" s="31"/>
      <c r="I69" s="30"/>
      <c r="J69" s="31"/>
      <c r="K69" s="31"/>
    </row>
    <row r="70" customFormat="false" ht="15" hidden="false" customHeight="false" outlineLevel="0" collapsed="false">
      <c r="A70" s="29"/>
      <c r="B70" s="30"/>
      <c r="C70" s="31"/>
      <c r="D70" s="31"/>
      <c r="E70" s="31"/>
      <c r="F70" s="54"/>
      <c r="G70" s="54"/>
      <c r="H70" s="31"/>
      <c r="I70" s="30"/>
      <c r="J70" s="31"/>
      <c r="K70" s="31"/>
    </row>
    <row r="71" customFormat="false" ht="15" hidden="false" customHeight="false" outlineLevel="0" collapsed="false">
      <c r="A71" s="29"/>
      <c r="B71" s="30"/>
      <c r="C71" s="31"/>
      <c r="D71" s="31"/>
      <c r="E71" s="31"/>
      <c r="F71" s="54"/>
      <c r="G71" s="54"/>
      <c r="H71" s="31"/>
      <c r="I71" s="30"/>
      <c r="J71" s="31"/>
      <c r="K71" s="31"/>
    </row>
    <row r="72" customFormat="false" ht="15" hidden="false" customHeight="false" outlineLevel="0" collapsed="false">
      <c r="A72" s="29"/>
      <c r="B72" s="30"/>
      <c r="C72" s="31"/>
      <c r="D72" s="31"/>
      <c r="E72" s="31"/>
      <c r="F72" s="54"/>
      <c r="G72" s="54"/>
      <c r="H72" s="31"/>
      <c r="I72" s="30"/>
      <c r="J72" s="31"/>
      <c r="K72" s="31"/>
    </row>
    <row r="73" customFormat="false" ht="15" hidden="false" customHeight="false" outlineLevel="0" collapsed="false">
      <c r="A73" s="29"/>
      <c r="B73" s="30"/>
      <c r="C73" s="31"/>
      <c r="D73" s="31"/>
      <c r="E73" s="31"/>
      <c r="F73" s="54"/>
      <c r="G73" s="54"/>
      <c r="H73" s="31"/>
      <c r="I73" s="30"/>
      <c r="J73" s="31"/>
      <c r="K73" s="31"/>
    </row>
    <row r="74" customFormat="false" ht="15" hidden="false" customHeight="false" outlineLevel="0" collapsed="false">
      <c r="A74" s="29"/>
      <c r="B74" s="30"/>
      <c r="C74" s="31"/>
      <c r="D74" s="31"/>
      <c r="E74" s="31"/>
      <c r="F74" s="54"/>
      <c r="G74" s="54"/>
      <c r="H74" s="31"/>
      <c r="I74" s="30"/>
      <c r="J74" s="31"/>
      <c r="K74" s="31"/>
    </row>
    <row r="75" customFormat="false" ht="15" hidden="false" customHeight="false" outlineLevel="0" collapsed="false">
      <c r="A75" s="29"/>
      <c r="B75" s="30"/>
      <c r="C75" s="31"/>
      <c r="D75" s="31"/>
      <c r="E75" s="31"/>
      <c r="F75" s="54"/>
      <c r="G75" s="54"/>
      <c r="H75" s="31"/>
      <c r="I75" s="30"/>
      <c r="J75" s="31"/>
      <c r="K75" s="31"/>
    </row>
    <row r="76" customFormat="false" ht="15" hidden="false" customHeight="false" outlineLevel="0" collapsed="false">
      <c r="A76" s="29"/>
      <c r="B76" s="30"/>
      <c r="C76" s="31"/>
      <c r="D76" s="31"/>
      <c r="E76" s="31"/>
      <c r="F76" s="54"/>
      <c r="G76" s="54"/>
      <c r="H76" s="31"/>
      <c r="I76" s="30"/>
      <c r="J76" s="31"/>
      <c r="K76" s="31"/>
    </row>
    <row r="77" customFormat="false" ht="15" hidden="false" customHeight="false" outlineLevel="0" collapsed="false">
      <c r="A77" s="29"/>
      <c r="B77" s="30"/>
      <c r="C77" s="31"/>
      <c r="D77" s="31"/>
      <c r="E77" s="31"/>
      <c r="F77" s="54"/>
      <c r="G77" s="54"/>
      <c r="H77" s="31"/>
      <c r="I77" s="30"/>
      <c r="J77" s="31"/>
      <c r="K77" s="31"/>
    </row>
    <row r="78" customFormat="false" ht="15" hidden="false" customHeight="false" outlineLevel="0" collapsed="false">
      <c r="A78" s="29"/>
      <c r="B78" s="30"/>
      <c r="C78" s="31"/>
      <c r="D78" s="31"/>
      <c r="E78" s="31"/>
      <c r="F78" s="54"/>
      <c r="G78" s="54"/>
      <c r="H78" s="31"/>
      <c r="I78" s="30"/>
      <c r="J78" s="31"/>
      <c r="K78" s="31"/>
    </row>
    <row r="79" customFormat="false" ht="15" hidden="false" customHeight="false" outlineLevel="0" collapsed="false">
      <c r="A79" s="29"/>
      <c r="B79" s="30"/>
      <c r="C79" s="31"/>
      <c r="D79" s="31"/>
      <c r="E79" s="31"/>
      <c r="F79" s="54"/>
      <c r="G79" s="54"/>
      <c r="H79" s="31"/>
      <c r="I79" s="30"/>
      <c r="J79" s="31"/>
      <c r="K79" s="31"/>
    </row>
    <row r="80" customFormat="false" ht="15" hidden="false" customHeight="false" outlineLevel="0" collapsed="false">
      <c r="A80" s="29"/>
      <c r="B80" s="30"/>
      <c r="C80" s="31"/>
      <c r="D80" s="31"/>
      <c r="E80" s="31"/>
      <c r="F80" s="54"/>
      <c r="G80" s="54"/>
      <c r="H80" s="31"/>
      <c r="I80" s="30"/>
      <c r="J80" s="31"/>
      <c r="K80" s="31"/>
    </row>
    <row r="81" customFormat="false" ht="15" hidden="false" customHeight="false" outlineLevel="0" collapsed="false">
      <c r="A81" s="29"/>
      <c r="B81" s="30"/>
      <c r="C81" s="31"/>
      <c r="D81" s="31"/>
      <c r="E81" s="31"/>
      <c r="F81" s="54"/>
      <c r="G81" s="54"/>
      <c r="H81" s="31"/>
      <c r="I81" s="30"/>
      <c r="J81" s="31"/>
      <c r="K81" s="31"/>
    </row>
    <row r="82" customFormat="false" ht="15" hidden="false" customHeight="false" outlineLevel="0" collapsed="false">
      <c r="A82" s="29"/>
      <c r="B82" s="30"/>
      <c r="C82" s="31"/>
      <c r="D82" s="31"/>
      <c r="E82" s="31"/>
      <c r="F82" s="54"/>
      <c r="G82" s="54"/>
      <c r="H82" s="31"/>
      <c r="I82" s="30"/>
      <c r="J82" s="31"/>
      <c r="K82" s="31"/>
    </row>
    <row r="83" customFormat="false" ht="15" hidden="false" customHeight="false" outlineLevel="0" collapsed="false">
      <c r="A83" s="29"/>
      <c r="B83" s="30"/>
      <c r="C83" s="31"/>
      <c r="D83" s="31"/>
      <c r="E83" s="31"/>
      <c r="F83" s="54"/>
      <c r="G83" s="54"/>
      <c r="H83" s="31"/>
      <c r="I83" s="30"/>
      <c r="J83" s="31"/>
      <c r="K83" s="31"/>
    </row>
    <row r="84" customFormat="false" ht="15" hidden="false" customHeight="false" outlineLevel="0" collapsed="false">
      <c r="A84" s="29"/>
      <c r="B84" s="30"/>
      <c r="C84" s="31"/>
      <c r="D84" s="31"/>
      <c r="E84" s="31"/>
      <c r="F84" s="54"/>
      <c r="G84" s="54"/>
      <c r="H84" s="31"/>
      <c r="I84" s="30"/>
      <c r="J84" s="31"/>
      <c r="K84" s="31"/>
    </row>
    <row r="85" customFormat="false" ht="15" hidden="false" customHeight="false" outlineLevel="0" collapsed="false">
      <c r="A85" s="29"/>
      <c r="B85" s="30"/>
      <c r="C85" s="31"/>
      <c r="D85" s="31"/>
      <c r="E85" s="31"/>
      <c r="F85" s="54"/>
      <c r="G85" s="54"/>
      <c r="H85" s="31"/>
      <c r="I85" s="30"/>
      <c r="J85" s="31"/>
      <c r="K85" s="31"/>
    </row>
    <row r="86" customFormat="false" ht="15" hidden="false" customHeight="false" outlineLevel="0" collapsed="false">
      <c r="A86" s="29"/>
      <c r="B86" s="30"/>
      <c r="C86" s="31"/>
      <c r="D86" s="31"/>
      <c r="E86" s="31"/>
      <c r="F86" s="54"/>
      <c r="G86" s="54"/>
      <c r="H86" s="31"/>
      <c r="I86" s="30"/>
      <c r="J86" s="31"/>
      <c r="K86" s="31"/>
    </row>
    <row r="87" customFormat="false" ht="15" hidden="false" customHeight="false" outlineLevel="0" collapsed="false">
      <c r="A87" s="29"/>
      <c r="B87" s="30"/>
      <c r="C87" s="31"/>
      <c r="D87" s="31"/>
      <c r="E87" s="31"/>
      <c r="F87" s="54"/>
      <c r="G87" s="54"/>
      <c r="H87" s="31"/>
      <c r="I87" s="30"/>
      <c r="J87" s="31"/>
      <c r="K87" s="31"/>
    </row>
    <row r="88" customFormat="false" ht="15" hidden="false" customHeight="false" outlineLevel="0" collapsed="false">
      <c r="A88" s="29"/>
      <c r="B88" s="30"/>
      <c r="C88" s="31"/>
      <c r="D88" s="31"/>
      <c r="E88" s="31"/>
      <c r="F88" s="54"/>
      <c r="G88" s="54"/>
      <c r="H88" s="31"/>
      <c r="I88" s="30"/>
      <c r="J88" s="31"/>
      <c r="K88" s="31"/>
    </row>
    <row r="89" customFormat="false" ht="15" hidden="false" customHeight="false" outlineLevel="0" collapsed="false">
      <c r="A89" s="29"/>
      <c r="B89" s="30"/>
      <c r="C89" s="31"/>
      <c r="D89" s="31"/>
      <c r="E89" s="31"/>
      <c r="F89" s="54"/>
      <c r="G89" s="54"/>
      <c r="H89" s="31"/>
      <c r="I89" s="30"/>
      <c r="J89" s="31"/>
      <c r="K89" s="31"/>
    </row>
    <row r="90" customFormat="false" ht="15" hidden="false" customHeight="false" outlineLevel="0" collapsed="false">
      <c r="A90" s="29"/>
      <c r="B90" s="30"/>
      <c r="C90" s="31"/>
      <c r="D90" s="31"/>
      <c r="E90" s="31"/>
      <c r="F90" s="54"/>
      <c r="G90" s="54"/>
      <c r="H90" s="31"/>
      <c r="I90" s="30"/>
      <c r="J90" s="31"/>
      <c r="K90" s="31"/>
    </row>
    <row r="91" customFormat="false" ht="15" hidden="false" customHeight="false" outlineLevel="0" collapsed="false">
      <c r="A91" s="29"/>
      <c r="B91" s="30"/>
      <c r="C91" s="31"/>
      <c r="D91" s="31"/>
      <c r="E91" s="31"/>
      <c r="F91" s="54"/>
      <c r="G91" s="54"/>
      <c r="H91" s="31"/>
      <c r="I91" s="30"/>
      <c r="J91" s="31"/>
      <c r="K91" s="31"/>
    </row>
    <row r="92" customFormat="false" ht="15" hidden="false" customHeight="false" outlineLevel="0" collapsed="false">
      <c r="A92" s="29"/>
      <c r="B92" s="30"/>
      <c r="C92" s="31"/>
      <c r="D92" s="31"/>
      <c r="E92" s="31"/>
      <c r="F92" s="54"/>
      <c r="G92" s="54"/>
      <c r="H92" s="31"/>
      <c r="I92" s="30"/>
      <c r="J92" s="31"/>
      <c r="K92" s="31"/>
    </row>
    <row r="93" customFormat="false" ht="15" hidden="false" customHeight="false" outlineLevel="0" collapsed="false">
      <c r="A93" s="29"/>
      <c r="B93" s="30"/>
      <c r="C93" s="31"/>
      <c r="D93" s="31"/>
      <c r="E93" s="31"/>
      <c r="F93" s="54"/>
      <c r="G93" s="54"/>
      <c r="H93" s="31"/>
      <c r="I93" s="30"/>
      <c r="J93" s="31"/>
      <c r="K93" s="31"/>
    </row>
    <row r="94" customFormat="false" ht="15" hidden="false" customHeight="false" outlineLevel="0" collapsed="false">
      <c r="A94" s="29"/>
      <c r="B94" s="30"/>
      <c r="C94" s="31"/>
      <c r="D94" s="31"/>
      <c r="E94" s="31"/>
      <c r="F94" s="54"/>
      <c r="G94" s="54"/>
      <c r="H94" s="31"/>
      <c r="I94" s="30"/>
      <c r="J94" s="31"/>
      <c r="K94" s="31"/>
    </row>
    <row r="95" customFormat="false" ht="15" hidden="false" customHeight="false" outlineLevel="0" collapsed="false">
      <c r="A95" s="29"/>
      <c r="B95" s="30"/>
      <c r="C95" s="31"/>
      <c r="D95" s="31"/>
      <c r="E95" s="31"/>
      <c r="F95" s="54"/>
      <c r="G95" s="54"/>
      <c r="H95" s="31"/>
      <c r="I95" s="30"/>
      <c r="J95" s="31"/>
      <c r="K95" s="31"/>
    </row>
    <row r="96" customFormat="false" ht="15" hidden="false" customHeight="false" outlineLevel="0" collapsed="false">
      <c r="A96" s="29"/>
      <c r="B96" s="30"/>
      <c r="C96" s="31"/>
      <c r="D96" s="31"/>
      <c r="E96" s="31"/>
      <c r="F96" s="54"/>
      <c r="G96" s="54"/>
      <c r="H96" s="31"/>
      <c r="I96" s="30"/>
      <c r="J96" s="31"/>
      <c r="K96" s="31"/>
    </row>
    <row r="97" customFormat="false" ht="15" hidden="false" customHeight="false" outlineLevel="0" collapsed="false">
      <c r="A97" s="29"/>
      <c r="B97" s="30"/>
      <c r="C97" s="31"/>
      <c r="D97" s="31"/>
      <c r="E97" s="31"/>
      <c r="F97" s="54"/>
      <c r="G97" s="54"/>
      <c r="H97" s="31"/>
      <c r="I97" s="30"/>
      <c r="J97" s="31"/>
      <c r="K97" s="31"/>
    </row>
    <row r="98" customFormat="false" ht="15" hidden="false" customHeight="false" outlineLevel="0" collapsed="false">
      <c r="A98" s="29"/>
      <c r="B98" s="30"/>
      <c r="C98" s="31"/>
      <c r="D98" s="31"/>
      <c r="E98" s="31"/>
      <c r="F98" s="54"/>
      <c r="G98" s="54"/>
      <c r="H98" s="31"/>
      <c r="I98" s="30"/>
      <c r="J98" s="31"/>
      <c r="K98" s="31"/>
    </row>
    <row r="99" customFormat="false" ht="15" hidden="false" customHeight="false" outlineLevel="0" collapsed="false">
      <c r="A99" s="29"/>
      <c r="B99" s="30"/>
      <c r="C99" s="31"/>
      <c r="D99" s="31"/>
      <c r="E99" s="31"/>
      <c r="F99" s="54"/>
      <c r="G99" s="54"/>
      <c r="H99" s="31"/>
      <c r="I99" s="30"/>
      <c r="J99" s="31"/>
      <c r="K99" s="31"/>
    </row>
    <row r="100" customFormat="false" ht="15" hidden="false" customHeight="false" outlineLevel="0" collapsed="false">
      <c r="A100" s="29"/>
      <c r="B100" s="30"/>
      <c r="C100" s="31"/>
      <c r="D100" s="31"/>
      <c r="E100" s="31"/>
      <c r="F100" s="54"/>
      <c r="G100" s="54"/>
      <c r="H100" s="31"/>
      <c r="I100" s="30"/>
      <c r="J100" s="31"/>
      <c r="K100" s="31"/>
    </row>
    <row r="101" customFormat="false" ht="15" hidden="false" customHeight="false" outlineLevel="0" collapsed="false">
      <c r="A101" s="29"/>
      <c r="B101" s="30"/>
      <c r="C101" s="31"/>
      <c r="D101" s="31"/>
      <c r="E101" s="31"/>
      <c r="F101" s="54"/>
      <c r="G101" s="54"/>
      <c r="H101" s="31"/>
      <c r="I101" s="30"/>
      <c r="J101" s="31"/>
      <c r="K101" s="31"/>
    </row>
    <row r="102" customFormat="false" ht="15" hidden="false" customHeight="false" outlineLevel="0" collapsed="false">
      <c r="A102" s="29"/>
      <c r="B102" s="30"/>
      <c r="C102" s="31"/>
      <c r="D102" s="31"/>
      <c r="E102" s="31"/>
      <c r="F102" s="54"/>
      <c r="G102" s="54"/>
      <c r="H102" s="31"/>
      <c r="I102" s="30"/>
      <c r="J102" s="31"/>
      <c r="K102" s="31"/>
    </row>
    <row r="103" customFormat="false" ht="15" hidden="false" customHeight="false" outlineLevel="0" collapsed="false">
      <c r="A103" s="29"/>
      <c r="B103" s="30"/>
      <c r="C103" s="31"/>
      <c r="D103" s="31"/>
      <c r="E103" s="31"/>
      <c r="F103" s="54"/>
      <c r="G103" s="54"/>
      <c r="H103" s="31"/>
      <c r="I103" s="30"/>
      <c r="J103" s="31"/>
      <c r="K103" s="31"/>
    </row>
    <row r="104" customFormat="false" ht="15" hidden="false" customHeight="false" outlineLevel="0" collapsed="false">
      <c r="A104" s="29"/>
      <c r="B104" s="30"/>
      <c r="C104" s="31"/>
      <c r="D104" s="31"/>
      <c r="E104" s="31"/>
      <c r="F104" s="54"/>
      <c r="G104" s="54"/>
      <c r="H104" s="31"/>
      <c r="I104" s="30"/>
      <c r="J104" s="31"/>
      <c r="K104" s="31"/>
    </row>
    <row r="105" customFormat="false" ht="15" hidden="false" customHeight="false" outlineLevel="0" collapsed="false">
      <c r="A105" s="29"/>
      <c r="B105" s="30"/>
      <c r="C105" s="31"/>
      <c r="D105" s="31"/>
      <c r="E105" s="31"/>
      <c r="F105" s="54"/>
      <c r="G105" s="54"/>
      <c r="H105" s="31"/>
      <c r="I105" s="30"/>
      <c r="J105" s="31"/>
      <c r="K105" s="31"/>
    </row>
    <row r="106" customFormat="false" ht="15" hidden="false" customHeight="false" outlineLevel="0" collapsed="false">
      <c r="A106" s="29"/>
      <c r="B106" s="30"/>
      <c r="C106" s="31"/>
      <c r="D106" s="31"/>
      <c r="E106" s="31"/>
      <c r="F106" s="54"/>
      <c r="G106" s="54"/>
      <c r="H106" s="31"/>
      <c r="I106" s="30"/>
      <c r="J106" s="31"/>
      <c r="K106" s="31"/>
    </row>
    <row r="107" customFormat="false" ht="15" hidden="false" customHeight="false" outlineLevel="0" collapsed="false">
      <c r="A107" s="29"/>
      <c r="B107" s="30"/>
      <c r="C107" s="31"/>
      <c r="D107" s="31"/>
      <c r="E107" s="31"/>
      <c r="F107" s="54"/>
      <c r="G107" s="54"/>
      <c r="H107" s="31"/>
      <c r="I107" s="30"/>
      <c r="J107" s="31"/>
      <c r="K107" s="31"/>
    </row>
    <row r="108" customFormat="false" ht="15" hidden="false" customHeight="false" outlineLevel="0" collapsed="false">
      <c r="A108" s="29"/>
      <c r="B108" s="30"/>
      <c r="C108" s="31"/>
      <c r="D108" s="31"/>
      <c r="E108" s="31"/>
      <c r="F108" s="54"/>
      <c r="G108" s="54"/>
      <c r="H108" s="31"/>
      <c r="I108" s="30"/>
      <c r="J108" s="31"/>
      <c r="K108" s="31"/>
    </row>
    <row r="109" customFormat="false" ht="15" hidden="false" customHeight="false" outlineLevel="0" collapsed="false">
      <c r="A109" s="29"/>
      <c r="B109" s="30"/>
      <c r="C109" s="31"/>
      <c r="D109" s="31"/>
      <c r="E109" s="31"/>
      <c r="F109" s="54"/>
      <c r="G109" s="54"/>
      <c r="H109" s="31"/>
      <c r="I109" s="30"/>
      <c r="J109" s="31"/>
      <c r="K109" s="31"/>
    </row>
    <row r="110" customFormat="false" ht="15" hidden="false" customHeight="false" outlineLevel="0" collapsed="false">
      <c r="A110" s="29"/>
      <c r="B110" s="30"/>
      <c r="C110" s="31"/>
      <c r="D110" s="31"/>
      <c r="E110" s="31"/>
      <c r="F110" s="54"/>
      <c r="G110" s="54"/>
      <c r="H110" s="31"/>
      <c r="I110" s="30"/>
      <c r="J110" s="31"/>
      <c r="K110" s="31"/>
    </row>
    <row r="111" customFormat="false" ht="15" hidden="false" customHeight="false" outlineLevel="0" collapsed="false">
      <c r="A111" s="29"/>
      <c r="B111" s="30"/>
      <c r="C111" s="31"/>
      <c r="D111" s="31"/>
      <c r="E111" s="31"/>
      <c r="F111" s="54"/>
      <c r="G111" s="54"/>
      <c r="H111" s="31"/>
      <c r="I111" s="30"/>
      <c r="J111" s="31"/>
      <c r="K111" s="31"/>
    </row>
    <row r="112" customFormat="false" ht="15" hidden="false" customHeight="false" outlineLevel="0" collapsed="false">
      <c r="A112" s="29"/>
      <c r="B112" s="30"/>
      <c r="C112" s="31"/>
      <c r="D112" s="31"/>
      <c r="E112" s="31"/>
      <c r="F112" s="54"/>
      <c r="G112" s="54"/>
      <c r="H112" s="31"/>
      <c r="I112" s="30"/>
      <c r="J112" s="31"/>
      <c r="K112" s="31"/>
    </row>
    <row r="113" customFormat="false" ht="15" hidden="false" customHeight="false" outlineLevel="0" collapsed="false">
      <c r="A113" s="29"/>
      <c r="B113" s="30"/>
      <c r="C113" s="31"/>
      <c r="D113" s="31"/>
      <c r="E113" s="31"/>
      <c r="F113" s="54"/>
      <c r="G113" s="54"/>
      <c r="H113" s="31"/>
      <c r="I113" s="30"/>
      <c r="J113" s="31"/>
      <c r="K113" s="31"/>
    </row>
    <row r="114" customFormat="false" ht="15" hidden="false" customHeight="false" outlineLevel="0" collapsed="false">
      <c r="A114" s="29"/>
      <c r="B114" s="30"/>
      <c r="C114" s="31"/>
      <c r="D114" s="31"/>
      <c r="E114" s="31"/>
      <c r="F114" s="54"/>
      <c r="G114" s="54"/>
      <c r="H114" s="31"/>
      <c r="I114" s="30"/>
      <c r="J114" s="31"/>
      <c r="K114" s="31"/>
    </row>
    <row r="115" customFormat="false" ht="15" hidden="false" customHeight="false" outlineLevel="0" collapsed="false">
      <c r="A115" s="29"/>
      <c r="B115" s="30"/>
      <c r="C115" s="31"/>
      <c r="D115" s="31"/>
      <c r="E115" s="31"/>
      <c r="F115" s="54"/>
      <c r="G115" s="54"/>
      <c r="H115" s="31"/>
      <c r="I115" s="30"/>
      <c r="J115" s="31"/>
      <c r="K115" s="31"/>
    </row>
    <row r="116" customFormat="false" ht="15" hidden="false" customHeight="false" outlineLevel="0" collapsed="false">
      <c r="A116" s="29"/>
      <c r="B116" s="30"/>
      <c r="C116" s="31"/>
      <c r="D116" s="31"/>
      <c r="E116" s="31"/>
      <c r="F116" s="54"/>
      <c r="G116" s="54"/>
      <c r="H116" s="31"/>
      <c r="I116" s="30"/>
      <c r="J116" s="31"/>
      <c r="K116" s="31"/>
    </row>
    <row r="117" customFormat="false" ht="15" hidden="false" customHeight="false" outlineLevel="0" collapsed="false">
      <c r="A117" s="29"/>
      <c r="B117" s="30"/>
      <c r="C117" s="31"/>
      <c r="D117" s="31"/>
      <c r="E117" s="31"/>
      <c r="F117" s="54"/>
      <c r="G117" s="54"/>
      <c r="H117" s="31"/>
      <c r="I117" s="30"/>
      <c r="J117" s="31"/>
      <c r="K117" s="31"/>
    </row>
    <row r="118" customFormat="false" ht="15" hidden="false" customHeight="false" outlineLevel="0" collapsed="false">
      <c r="A118" s="29"/>
      <c r="B118" s="30"/>
      <c r="C118" s="31"/>
      <c r="D118" s="31"/>
      <c r="E118" s="31"/>
      <c r="F118" s="54"/>
      <c r="G118" s="54"/>
      <c r="H118" s="31"/>
      <c r="I118" s="30"/>
      <c r="J118" s="31"/>
      <c r="K118" s="31"/>
    </row>
    <row r="119" customFormat="false" ht="15" hidden="false" customHeight="false" outlineLevel="0" collapsed="false">
      <c r="A119" s="29"/>
      <c r="B119" s="30"/>
      <c r="C119" s="31"/>
      <c r="D119" s="31"/>
      <c r="E119" s="31"/>
      <c r="F119" s="54"/>
      <c r="G119" s="54"/>
      <c r="H119" s="31"/>
      <c r="I119" s="30"/>
      <c r="J119" s="31"/>
      <c r="K119" s="31"/>
    </row>
    <row r="120" customFormat="false" ht="15" hidden="false" customHeight="false" outlineLevel="0" collapsed="false">
      <c r="A120" s="29"/>
      <c r="B120" s="30"/>
      <c r="C120" s="31"/>
      <c r="D120" s="31"/>
      <c r="E120" s="31"/>
      <c r="F120" s="54"/>
      <c r="G120" s="54"/>
      <c r="H120" s="31"/>
      <c r="I120" s="30"/>
      <c r="J120" s="31"/>
      <c r="K120" s="31"/>
    </row>
    <row r="121" customFormat="false" ht="15" hidden="false" customHeight="false" outlineLevel="0" collapsed="false">
      <c r="A121" s="29"/>
      <c r="B121" s="30"/>
      <c r="C121" s="31"/>
      <c r="D121" s="31"/>
      <c r="E121" s="31"/>
      <c r="F121" s="54"/>
      <c r="G121" s="54"/>
      <c r="H121" s="31"/>
      <c r="I121" s="30"/>
      <c r="J121" s="31"/>
      <c r="K121" s="31"/>
    </row>
    <row r="122" customFormat="false" ht="15" hidden="false" customHeight="false" outlineLevel="0" collapsed="false">
      <c r="A122" s="29"/>
      <c r="B122" s="30"/>
      <c r="C122" s="31"/>
      <c r="D122" s="31"/>
      <c r="E122" s="31"/>
      <c r="F122" s="54"/>
      <c r="G122" s="54"/>
      <c r="H122" s="31"/>
      <c r="I122" s="30"/>
      <c r="J122" s="31"/>
      <c r="K122" s="31"/>
    </row>
    <row r="123" customFormat="false" ht="15" hidden="false" customHeight="false" outlineLevel="0" collapsed="false">
      <c r="A123" s="29"/>
      <c r="B123" s="30"/>
      <c r="C123" s="31"/>
      <c r="D123" s="31"/>
      <c r="E123" s="31"/>
      <c r="F123" s="54"/>
      <c r="G123" s="54"/>
      <c r="H123" s="31"/>
      <c r="I123" s="30"/>
      <c r="J123" s="31"/>
      <c r="K123" s="31"/>
    </row>
    <row r="124" customFormat="false" ht="15" hidden="false" customHeight="false" outlineLevel="0" collapsed="false">
      <c r="A124" s="29"/>
      <c r="B124" s="30"/>
      <c r="C124" s="31"/>
      <c r="D124" s="31"/>
      <c r="E124" s="31"/>
      <c r="F124" s="54"/>
      <c r="G124" s="54"/>
      <c r="H124" s="31"/>
      <c r="I124" s="30"/>
      <c r="J124" s="31"/>
      <c r="K124" s="31"/>
    </row>
    <row r="125" customFormat="false" ht="15" hidden="false" customHeight="false" outlineLevel="0" collapsed="false">
      <c r="A125" s="29"/>
      <c r="B125" s="30"/>
      <c r="C125" s="31"/>
      <c r="D125" s="31"/>
      <c r="E125" s="31"/>
      <c r="F125" s="54"/>
      <c r="G125" s="54"/>
      <c r="H125" s="31"/>
      <c r="I125" s="30"/>
      <c r="J125" s="31"/>
      <c r="K125" s="31"/>
    </row>
    <row r="126" customFormat="false" ht="15" hidden="false" customHeight="false" outlineLevel="0" collapsed="false">
      <c r="A126" s="29"/>
      <c r="B126" s="30"/>
      <c r="C126" s="31"/>
      <c r="D126" s="31"/>
      <c r="E126" s="31"/>
      <c r="F126" s="54"/>
      <c r="G126" s="54"/>
      <c r="H126" s="31"/>
      <c r="I126" s="30"/>
      <c r="J126" s="31"/>
      <c r="K126" s="31"/>
    </row>
    <row r="127" customFormat="false" ht="15" hidden="false" customHeight="false" outlineLevel="0" collapsed="false">
      <c r="A127" s="29"/>
      <c r="B127" s="30"/>
      <c r="C127" s="31"/>
      <c r="D127" s="31"/>
      <c r="E127" s="31"/>
      <c r="F127" s="54"/>
      <c r="G127" s="54"/>
      <c r="H127" s="31"/>
      <c r="I127" s="30"/>
      <c r="J127" s="31"/>
      <c r="K127" s="31"/>
    </row>
    <row r="128" customFormat="false" ht="15" hidden="false" customHeight="false" outlineLevel="0" collapsed="false">
      <c r="A128" s="29"/>
      <c r="B128" s="30"/>
      <c r="C128" s="31"/>
      <c r="D128" s="31"/>
      <c r="E128" s="31"/>
      <c r="F128" s="54"/>
      <c r="G128" s="54"/>
      <c r="H128" s="31"/>
      <c r="I128" s="30"/>
      <c r="J128" s="31"/>
      <c r="K128" s="31"/>
    </row>
    <row r="129" customFormat="false" ht="15" hidden="false" customHeight="false" outlineLevel="0" collapsed="false">
      <c r="A129" s="29"/>
      <c r="B129" s="30"/>
      <c r="C129" s="31"/>
      <c r="D129" s="31"/>
      <c r="E129" s="31"/>
      <c r="F129" s="54"/>
      <c r="G129" s="54"/>
      <c r="H129" s="31"/>
      <c r="I129" s="30"/>
      <c r="J129" s="31"/>
      <c r="K129" s="31"/>
    </row>
    <row r="130" customFormat="false" ht="15" hidden="false" customHeight="false" outlineLevel="0" collapsed="false">
      <c r="A130" s="29"/>
      <c r="B130" s="30"/>
      <c r="C130" s="31"/>
      <c r="D130" s="31"/>
      <c r="E130" s="31"/>
      <c r="F130" s="54"/>
      <c r="G130" s="54"/>
      <c r="H130" s="31"/>
      <c r="I130" s="30"/>
      <c r="J130" s="31"/>
      <c r="K130" s="31"/>
    </row>
    <row r="131" customFormat="false" ht="15" hidden="false" customHeight="false" outlineLevel="0" collapsed="false">
      <c r="A131" s="29"/>
      <c r="B131" s="30"/>
      <c r="C131" s="31"/>
      <c r="D131" s="31"/>
      <c r="E131" s="31"/>
      <c r="F131" s="54"/>
      <c r="G131" s="54"/>
      <c r="H131" s="31"/>
      <c r="I131" s="30"/>
      <c r="J131" s="31"/>
      <c r="K131" s="31"/>
    </row>
    <row r="132" customFormat="false" ht="15" hidden="false" customHeight="false" outlineLevel="0" collapsed="false">
      <c r="A132" s="29"/>
      <c r="B132" s="30"/>
      <c r="C132" s="31"/>
      <c r="D132" s="31"/>
      <c r="E132" s="31"/>
      <c r="F132" s="54"/>
      <c r="G132" s="54"/>
      <c r="H132" s="31"/>
      <c r="I132" s="30"/>
      <c r="J132" s="31"/>
      <c r="K132" s="31"/>
    </row>
    <row r="133" customFormat="false" ht="15" hidden="false" customHeight="false" outlineLevel="0" collapsed="false">
      <c r="A133" s="29"/>
      <c r="B133" s="30"/>
      <c r="C133" s="31"/>
      <c r="D133" s="31"/>
      <c r="E133" s="31"/>
      <c r="F133" s="54"/>
      <c r="G133" s="54"/>
      <c r="H133" s="31"/>
      <c r="I133" s="30"/>
      <c r="J133" s="31"/>
      <c r="K133" s="31"/>
    </row>
    <row r="134" customFormat="false" ht="15" hidden="false" customHeight="false" outlineLevel="0" collapsed="false">
      <c r="A134" s="29"/>
      <c r="B134" s="30"/>
      <c r="C134" s="31"/>
      <c r="D134" s="31"/>
      <c r="E134" s="31"/>
      <c r="F134" s="54"/>
      <c r="G134" s="54"/>
      <c r="H134" s="31"/>
      <c r="I134" s="30"/>
      <c r="J134" s="31"/>
      <c r="K134" s="31"/>
    </row>
    <row r="135" customFormat="false" ht="15" hidden="false" customHeight="false" outlineLevel="0" collapsed="false">
      <c r="A135" s="29"/>
      <c r="B135" s="30"/>
      <c r="C135" s="31"/>
      <c r="D135" s="31"/>
      <c r="E135" s="31"/>
      <c r="F135" s="54"/>
      <c r="G135" s="54"/>
      <c r="H135" s="31"/>
      <c r="I135" s="30"/>
      <c r="J135" s="31"/>
      <c r="K135" s="31"/>
    </row>
    <row r="136" customFormat="false" ht="15" hidden="false" customHeight="false" outlineLevel="0" collapsed="false">
      <c r="A136" s="29"/>
      <c r="B136" s="30"/>
      <c r="C136" s="31"/>
      <c r="D136" s="31"/>
      <c r="E136" s="31"/>
      <c r="F136" s="54"/>
      <c r="G136" s="54"/>
      <c r="H136" s="31"/>
      <c r="I136" s="30"/>
      <c r="J136" s="31"/>
      <c r="K136" s="31"/>
    </row>
    <row r="137" customFormat="false" ht="15" hidden="false" customHeight="false" outlineLevel="0" collapsed="false">
      <c r="A137" s="29"/>
      <c r="B137" s="30"/>
      <c r="C137" s="31"/>
      <c r="D137" s="31"/>
      <c r="E137" s="31"/>
      <c r="F137" s="54"/>
      <c r="G137" s="54"/>
      <c r="H137" s="31"/>
      <c r="I137" s="30"/>
      <c r="J137" s="31"/>
      <c r="K137" s="31"/>
    </row>
    <row r="138" customFormat="false" ht="15" hidden="false" customHeight="false" outlineLevel="0" collapsed="false">
      <c r="A138" s="29"/>
      <c r="B138" s="30"/>
      <c r="C138" s="31"/>
      <c r="D138" s="31"/>
      <c r="E138" s="31"/>
      <c r="F138" s="54"/>
      <c r="G138" s="54"/>
      <c r="H138" s="31"/>
      <c r="I138" s="30"/>
      <c r="J138" s="31"/>
      <c r="K138" s="31"/>
    </row>
    <row r="139" customFormat="false" ht="15" hidden="false" customHeight="false" outlineLevel="0" collapsed="false">
      <c r="A139" s="29"/>
      <c r="B139" s="30"/>
      <c r="C139" s="31"/>
      <c r="D139" s="31"/>
      <c r="E139" s="31"/>
      <c r="F139" s="54"/>
      <c r="G139" s="54"/>
      <c r="H139" s="31"/>
      <c r="I139" s="30"/>
      <c r="J139" s="31"/>
      <c r="K139" s="31"/>
    </row>
    <row r="140" customFormat="false" ht="15" hidden="false" customHeight="false" outlineLevel="0" collapsed="false">
      <c r="A140" s="29"/>
      <c r="B140" s="30"/>
      <c r="C140" s="31"/>
      <c r="D140" s="31"/>
      <c r="E140" s="31"/>
      <c r="F140" s="54"/>
      <c r="G140" s="54"/>
      <c r="H140" s="31"/>
      <c r="I140" s="30"/>
      <c r="J140" s="31"/>
      <c r="K140" s="31"/>
    </row>
    <row r="141" customFormat="false" ht="15" hidden="false" customHeight="false" outlineLevel="0" collapsed="false">
      <c r="A141" s="29"/>
      <c r="B141" s="30"/>
      <c r="C141" s="31"/>
      <c r="D141" s="31"/>
      <c r="E141" s="31"/>
      <c r="F141" s="54"/>
      <c r="G141" s="54"/>
      <c r="H141" s="31"/>
      <c r="I141" s="30"/>
      <c r="J141" s="31"/>
      <c r="K141" s="31"/>
    </row>
    <row r="142" customFormat="false" ht="15" hidden="false" customHeight="false" outlineLevel="0" collapsed="false">
      <c r="A142" s="29"/>
      <c r="B142" s="30"/>
      <c r="C142" s="31"/>
      <c r="D142" s="31"/>
      <c r="E142" s="31"/>
      <c r="F142" s="54"/>
      <c r="G142" s="54"/>
      <c r="H142" s="31"/>
      <c r="I142" s="30"/>
      <c r="J142" s="31"/>
      <c r="K142" s="31"/>
    </row>
    <row r="143" customFormat="false" ht="15" hidden="false" customHeight="false" outlineLevel="0" collapsed="false">
      <c r="A143" s="29"/>
      <c r="B143" s="30"/>
      <c r="C143" s="31"/>
      <c r="D143" s="31"/>
      <c r="E143" s="31"/>
      <c r="F143" s="54"/>
      <c r="G143" s="54"/>
      <c r="H143" s="31"/>
      <c r="I143" s="30"/>
      <c r="J143" s="31"/>
      <c r="K143" s="31"/>
    </row>
    <row r="144" customFormat="false" ht="15" hidden="false" customHeight="false" outlineLevel="0" collapsed="false">
      <c r="A144" s="29"/>
      <c r="B144" s="30"/>
      <c r="C144" s="31"/>
      <c r="D144" s="31"/>
      <c r="E144" s="31"/>
      <c r="F144" s="54"/>
      <c r="G144" s="54"/>
      <c r="H144" s="31"/>
      <c r="I144" s="30"/>
      <c r="J144" s="31"/>
      <c r="K144" s="31"/>
    </row>
    <row r="145" customFormat="false" ht="15" hidden="false" customHeight="false" outlineLevel="0" collapsed="false">
      <c r="A145" s="29"/>
      <c r="B145" s="30"/>
      <c r="C145" s="31"/>
      <c r="D145" s="31"/>
      <c r="E145" s="31"/>
      <c r="F145" s="54"/>
      <c r="G145" s="54"/>
      <c r="H145" s="31"/>
      <c r="I145" s="30"/>
      <c r="J145" s="31"/>
      <c r="K145" s="31"/>
    </row>
    <row r="146" customFormat="false" ht="15" hidden="false" customHeight="false" outlineLevel="0" collapsed="false">
      <c r="A146" s="29"/>
      <c r="B146" s="30"/>
      <c r="C146" s="31"/>
      <c r="D146" s="31"/>
      <c r="E146" s="31"/>
      <c r="F146" s="54"/>
      <c r="G146" s="54"/>
      <c r="H146" s="31"/>
      <c r="I146" s="30"/>
      <c r="J146" s="31"/>
      <c r="K146" s="31"/>
    </row>
    <row r="147" customFormat="false" ht="15" hidden="false" customHeight="false" outlineLevel="0" collapsed="false">
      <c r="A147" s="29"/>
      <c r="B147" s="30"/>
      <c r="C147" s="31"/>
      <c r="D147" s="31"/>
      <c r="E147" s="31"/>
      <c r="F147" s="54"/>
      <c r="G147" s="54"/>
      <c r="H147" s="31"/>
      <c r="I147" s="30"/>
      <c r="J147" s="31"/>
      <c r="K147" s="31"/>
    </row>
    <row r="148" customFormat="false" ht="15" hidden="false" customHeight="false" outlineLevel="0" collapsed="false">
      <c r="A148" s="29"/>
      <c r="B148" s="30"/>
      <c r="C148" s="31"/>
      <c r="D148" s="31"/>
      <c r="E148" s="31"/>
      <c r="F148" s="54"/>
      <c r="G148" s="54"/>
      <c r="H148" s="31"/>
      <c r="I148" s="30"/>
      <c r="J148" s="31"/>
      <c r="K148" s="31"/>
    </row>
    <row r="149" customFormat="false" ht="15" hidden="false" customHeight="false" outlineLevel="0" collapsed="false">
      <c r="A149" s="29"/>
      <c r="B149" s="30"/>
      <c r="C149" s="31"/>
      <c r="D149" s="31"/>
      <c r="E149" s="31"/>
      <c r="F149" s="54"/>
      <c r="G149" s="54"/>
      <c r="H149" s="31"/>
      <c r="I149" s="30"/>
      <c r="J149" s="31"/>
      <c r="K149" s="31"/>
    </row>
    <row r="150" customFormat="false" ht="15" hidden="false" customHeight="false" outlineLevel="0" collapsed="false">
      <c r="A150" s="29"/>
      <c r="B150" s="30"/>
      <c r="C150" s="31"/>
      <c r="D150" s="31"/>
      <c r="E150" s="31"/>
      <c r="F150" s="54"/>
      <c r="G150" s="54"/>
      <c r="H150" s="31"/>
      <c r="I150" s="30"/>
      <c r="J150" s="31"/>
      <c r="K150" s="31"/>
    </row>
    <row r="151" customFormat="false" ht="15" hidden="false" customHeight="false" outlineLevel="0" collapsed="false">
      <c r="A151" s="29"/>
      <c r="B151" s="30"/>
      <c r="C151" s="31"/>
      <c r="D151" s="31"/>
      <c r="E151" s="31"/>
      <c r="F151" s="54"/>
      <c r="G151" s="54"/>
      <c r="H151" s="31"/>
      <c r="I151" s="30"/>
      <c r="J151" s="31"/>
      <c r="K151" s="31"/>
    </row>
    <row r="152" customFormat="false" ht="15" hidden="false" customHeight="false" outlineLevel="0" collapsed="false">
      <c r="A152" s="29"/>
      <c r="B152" s="30"/>
      <c r="C152" s="31"/>
      <c r="D152" s="31"/>
      <c r="E152" s="31"/>
      <c r="F152" s="54"/>
      <c r="G152" s="54"/>
      <c r="H152" s="31"/>
      <c r="I152" s="30"/>
      <c r="J152" s="31"/>
      <c r="K152" s="31"/>
    </row>
    <row r="153" customFormat="false" ht="15" hidden="false" customHeight="false" outlineLevel="0" collapsed="false">
      <c r="A153" s="29"/>
      <c r="B153" s="30"/>
      <c r="C153" s="31"/>
      <c r="D153" s="31"/>
      <c r="E153" s="31"/>
      <c r="F153" s="54"/>
      <c r="G153" s="54"/>
      <c r="H153" s="31"/>
      <c r="I153" s="30"/>
      <c r="J153" s="31"/>
      <c r="K153" s="31"/>
    </row>
    <row r="154" customFormat="false" ht="15" hidden="false" customHeight="false" outlineLevel="0" collapsed="false">
      <c r="A154" s="29"/>
      <c r="B154" s="30"/>
      <c r="C154" s="31"/>
      <c r="D154" s="31"/>
      <c r="E154" s="31"/>
      <c r="F154" s="54"/>
      <c r="G154" s="54"/>
      <c r="H154" s="31"/>
      <c r="I154" s="30"/>
      <c r="J154" s="31"/>
      <c r="K154" s="31"/>
    </row>
    <row r="155" customFormat="false" ht="15" hidden="false" customHeight="false" outlineLevel="0" collapsed="false">
      <c r="A155" s="29"/>
      <c r="B155" s="30"/>
      <c r="C155" s="31"/>
      <c r="D155" s="31"/>
      <c r="E155" s="31"/>
      <c r="F155" s="54"/>
      <c r="G155" s="54"/>
      <c r="H155" s="31"/>
      <c r="I155" s="30"/>
      <c r="J155" s="31"/>
      <c r="K155" s="31"/>
    </row>
    <row r="156" customFormat="false" ht="15" hidden="false" customHeight="false" outlineLevel="0" collapsed="false">
      <c r="A156" s="29"/>
      <c r="B156" s="30"/>
      <c r="C156" s="31"/>
      <c r="D156" s="31"/>
      <c r="E156" s="31"/>
      <c r="F156" s="54"/>
      <c r="G156" s="54"/>
      <c r="H156" s="31"/>
      <c r="I156" s="30"/>
      <c r="J156" s="31"/>
      <c r="K156" s="31"/>
    </row>
    <row r="157" customFormat="false" ht="15" hidden="false" customHeight="false" outlineLevel="0" collapsed="false">
      <c r="A157" s="29"/>
      <c r="B157" s="30"/>
      <c r="C157" s="31"/>
      <c r="D157" s="31"/>
      <c r="E157" s="31"/>
      <c r="F157" s="54"/>
      <c r="G157" s="54"/>
      <c r="H157" s="31"/>
      <c r="I157" s="30"/>
      <c r="J157" s="31"/>
      <c r="K157" s="31"/>
    </row>
    <row r="158" customFormat="false" ht="15" hidden="false" customHeight="false" outlineLevel="0" collapsed="false">
      <c r="A158" s="29"/>
      <c r="B158" s="30"/>
      <c r="C158" s="31"/>
      <c r="D158" s="31"/>
      <c r="E158" s="31"/>
      <c r="F158" s="54"/>
      <c r="G158" s="54"/>
      <c r="H158" s="31"/>
      <c r="I158" s="30"/>
      <c r="J158" s="31"/>
      <c r="K158" s="31"/>
    </row>
    <row r="159" customFormat="false" ht="15" hidden="false" customHeight="false" outlineLevel="0" collapsed="false">
      <c r="A159" s="29"/>
      <c r="B159" s="30"/>
      <c r="C159" s="31"/>
      <c r="D159" s="31"/>
      <c r="E159" s="31"/>
      <c r="F159" s="54"/>
      <c r="G159" s="54"/>
      <c r="H159" s="31"/>
      <c r="I159" s="30"/>
      <c r="J159" s="31"/>
      <c r="K159" s="31"/>
    </row>
    <row r="160" customFormat="false" ht="15" hidden="false" customHeight="false" outlineLevel="0" collapsed="false">
      <c r="A160" s="29"/>
      <c r="B160" s="30"/>
      <c r="C160" s="31"/>
      <c r="D160" s="31"/>
      <c r="E160" s="31"/>
      <c r="F160" s="54"/>
      <c r="G160" s="54"/>
      <c r="H160" s="31"/>
      <c r="I160" s="30"/>
      <c r="J160" s="31"/>
      <c r="K160" s="31"/>
    </row>
    <row r="161" customFormat="false" ht="15" hidden="false" customHeight="false" outlineLevel="0" collapsed="false">
      <c r="A161" s="29"/>
      <c r="B161" s="30"/>
      <c r="C161" s="31"/>
      <c r="D161" s="31"/>
      <c r="E161" s="31"/>
      <c r="F161" s="54"/>
      <c r="G161" s="54"/>
      <c r="H161" s="31"/>
      <c r="I161" s="30"/>
      <c r="J161" s="31"/>
      <c r="K161" s="31"/>
    </row>
    <row r="162" customFormat="false" ht="15" hidden="false" customHeight="false" outlineLevel="0" collapsed="false">
      <c r="A162" s="29"/>
      <c r="B162" s="30"/>
      <c r="C162" s="31"/>
      <c r="D162" s="31"/>
      <c r="E162" s="31"/>
      <c r="F162" s="54"/>
      <c r="G162" s="54"/>
      <c r="H162" s="31"/>
      <c r="I162" s="30"/>
      <c r="J162" s="31"/>
      <c r="K162" s="31"/>
    </row>
    <row r="163" customFormat="false" ht="15" hidden="false" customHeight="false" outlineLevel="0" collapsed="false">
      <c r="A163" s="29"/>
      <c r="B163" s="30"/>
      <c r="C163" s="31"/>
      <c r="D163" s="31"/>
      <c r="E163" s="31"/>
      <c r="F163" s="54"/>
      <c r="G163" s="54"/>
      <c r="H163" s="31"/>
      <c r="I163" s="30"/>
      <c r="J163" s="31"/>
      <c r="K163" s="31"/>
    </row>
    <row r="164" customFormat="false" ht="15" hidden="false" customHeight="false" outlineLevel="0" collapsed="false">
      <c r="A164" s="29"/>
      <c r="B164" s="30"/>
      <c r="C164" s="31"/>
      <c r="D164" s="31"/>
      <c r="E164" s="31"/>
      <c r="F164" s="54"/>
      <c r="G164" s="54"/>
      <c r="H164" s="31"/>
      <c r="I164" s="30"/>
      <c r="J164" s="31"/>
      <c r="K164" s="31"/>
    </row>
    <row r="165" customFormat="false" ht="15" hidden="false" customHeight="false" outlineLevel="0" collapsed="false">
      <c r="A165" s="29"/>
      <c r="B165" s="30"/>
      <c r="C165" s="31"/>
      <c r="D165" s="31"/>
      <c r="E165" s="31"/>
      <c r="F165" s="54"/>
      <c r="G165" s="54"/>
      <c r="H165" s="31"/>
      <c r="I165" s="30"/>
      <c r="J165" s="31"/>
      <c r="K165" s="31"/>
    </row>
    <row r="166" customFormat="false" ht="15" hidden="false" customHeight="false" outlineLevel="0" collapsed="false">
      <c r="A166" s="29"/>
      <c r="B166" s="30"/>
      <c r="C166" s="31"/>
      <c r="D166" s="31"/>
      <c r="E166" s="31"/>
      <c r="F166" s="54"/>
      <c r="G166" s="54"/>
      <c r="H166" s="31"/>
      <c r="I166" s="30"/>
      <c r="J166" s="31"/>
      <c r="K166" s="31"/>
    </row>
    <row r="167" customFormat="false" ht="15" hidden="false" customHeight="false" outlineLevel="0" collapsed="false">
      <c r="A167" s="29"/>
      <c r="B167" s="30"/>
      <c r="C167" s="31"/>
      <c r="D167" s="31"/>
      <c r="E167" s="31"/>
      <c r="F167" s="54"/>
      <c r="G167" s="54"/>
      <c r="H167" s="31"/>
      <c r="I167" s="30"/>
      <c r="J167" s="31"/>
      <c r="K167" s="31"/>
    </row>
    <row r="168" customFormat="false" ht="15" hidden="false" customHeight="false" outlineLevel="0" collapsed="false">
      <c r="A168" s="29"/>
      <c r="B168" s="30"/>
      <c r="C168" s="31"/>
      <c r="D168" s="31"/>
      <c r="E168" s="31"/>
      <c r="F168" s="54"/>
      <c r="G168" s="54"/>
      <c r="H168" s="31"/>
      <c r="I168" s="30"/>
      <c r="J168" s="31"/>
      <c r="K168" s="31"/>
    </row>
    <row r="169" customFormat="false" ht="15" hidden="false" customHeight="false" outlineLevel="0" collapsed="false">
      <c r="A169" s="29"/>
      <c r="B169" s="30"/>
      <c r="C169" s="31"/>
      <c r="D169" s="31"/>
      <c r="E169" s="31"/>
      <c r="F169" s="54"/>
      <c r="G169" s="54"/>
      <c r="H169" s="31"/>
      <c r="I169" s="30"/>
      <c r="J169" s="31"/>
      <c r="K169" s="31"/>
    </row>
    <row r="170" customFormat="false" ht="15" hidden="false" customHeight="false" outlineLevel="0" collapsed="false">
      <c r="A170" s="29"/>
      <c r="B170" s="30"/>
      <c r="C170" s="31"/>
      <c r="D170" s="31"/>
      <c r="E170" s="31"/>
      <c r="F170" s="54"/>
      <c r="G170" s="54"/>
      <c r="H170" s="31"/>
      <c r="I170" s="30"/>
      <c r="J170" s="31"/>
      <c r="K170" s="31"/>
    </row>
    <row r="171" customFormat="false" ht="15" hidden="false" customHeight="false" outlineLevel="0" collapsed="false">
      <c r="A171" s="29"/>
      <c r="B171" s="30"/>
      <c r="C171" s="31"/>
      <c r="D171" s="31"/>
      <c r="E171" s="31"/>
      <c r="F171" s="54"/>
      <c r="G171" s="54"/>
      <c r="H171" s="31"/>
      <c r="I171" s="30"/>
      <c r="J171" s="31"/>
      <c r="K171" s="31"/>
    </row>
    <row r="172" customFormat="false" ht="15" hidden="false" customHeight="false" outlineLevel="0" collapsed="false">
      <c r="A172" s="29"/>
      <c r="B172" s="30"/>
      <c r="C172" s="31"/>
      <c r="D172" s="31"/>
      <c r="E172" s="31"/>
      <c r="F172" s="54"/>
      <c r="G172" s="54"/>
      <c r="H172" s="31"/>
      <c r="I172" s="30"/>
      <c r="J172" s="31"/>
      <c r="K172" s="31"/>
    </row>
    <row r="173" customFormat="false" ht="15" hidden="false" customHeight="false" outlineLevel="0" collapsed="false">
      <c r="A173" s="29"/>
      <c r="B173" s="30"/>
      <c r="C173" s="31"/>
      <c r="D173" s="31"/>
      <c r="E173" s="31"/>
      <c r="F173" s="54"/>
      <c r="G173" s="54"/>
      <c r="H173" s="31"/>
      <c r="I173" s="30"/>
      <c r="J173" s="31"/>
      <c r="K173" s="31"/>
    </row>
    <row r="174" customFormat="false" ht="15" hidden="false" customHeight="false" outlineLevel="0" collapsed="false">
      <c r="A174" s="29"/>
      <c r="B174" s="30"/>
      <c r="C174" s="31"/>
      <c r="D174" s="31"/>
      <c r="E174" s="31"/>
      <c r="F174" s="54"/>
      <c r="G174" s="54"/>
      <c r="H174" s="31"/>
      <c r="I174" s="30"/>
      <c r="J174" s="31"/>
      <c r="K174" s="31"/>
    </row>
    <row r="175" customFormat="false" ht="15" hidden="false" customHeight="false" outlineLevel="0" collapsed="false">
      <c r="A175" s="29"/>
      <c r="B175" s="30"/>
      <c r="C175" s="31"/>
      <c r="D175" s="31"/>
      <c r="E175" s="31"/>
      <c r="F175" s="54"/>
      <c r="G175" s="54"/>
      <c r="H175" s="31"/>
      <c r="I175" s="30"/>
      <c r="J175" s="31"/>
      <c r="K175" s="31"/>
    </row>
    <row r="176" customFormat="false" ht="15" hidden="false" customHeight="false" outlineLevel="0" collapsed="false">
      <c r="A176" s="29"/>
      <c r="B176" s="30"/>
      <c r="C176" s="31"/>
      <c r="D176" s="31"/>
      <c r="E176" s="31"/>
      <c r="F176" s="54"/>
      <c r="G176" s="54"/>
      <c r="H176" s="31"/>
      <c r="I176" s="30"/>
      <c r="J176" s="31"/>
      <c r="K176" s="31"/>
    </row>
    <row r="177" customFormat="false" ht="15" hidden="false" customHeight="false" outlineLevel="0" collapsed="false">
      <c r="A177" s="29"/>
      <c r="B177" s="30"/>
      <c r="C177" s="31"/>
      <c r="D177" s="31"/>
      <c r="E177" s="31"/>
      <c r="F177" s="54"/>
      <c r="G177" s="54"/>
      <c r="H177" s="31"/>
      <c r="I177" s="30"/>
      <c r="J177" s="31"/>
      <c r="K177" s="31"/>
    </row>
    <row r="178" customFormat="false" ht="15" hidden="false" customHeight="false" outlineLevel="0" collapsed="false">
      <c r="A178" s="29"/>
      <c r="B178" s="30"/>
      <c r="C178" s="31"/>
      <c r="D178" s="31"/>
      <c r="E178" s="31"/>
      <c r="F178" s="54"/>
      <c r="G178" s="54"/>
      <c r="H178" s="31"/>
      <c r="I178" s="30"/>
      <c r="J178" s="31"/>
      <c r="K178" s="31"/>
    </row>
    <row r="179" customFormat="false" ht="15" hidden="false" customHeight="false" outlineLevel="0" collapsed="false">
      <c r="A179" s="29"/>
      <c r="B179" s="30"/>
      <c r="C179" s="31"/>
      <c r="D179" s="31"/>
      <c r="E179" s="31"/>
      <c r="F179" s="54"/>
      <c r="G179" s="54"/>
      <c r="H179" s="31"/>
      <c r="I179" s="30"/>
      <c r="J179" s="31"/>
      <c r="K179" s="31"/>
    </row>
    <row r="180" customFormat="false" ht="15" hidden="false" customHeight="false" outlineLevel="0" collapsed="false">
      <c r="A180" s="29"/>
      <c r="B180" s="30"/>
      <c r="C180" s="31"/>
      <c r="D180" s="31"/>
      <c r="E180" s="31"/>
      <c r="F180" s="54"/>
      <c r="G180" s="54"/>
      <c r="H180" s="31"/>
      <c r="I180" s="30"/>
      <c r="J180" s="31"/>
      <c r="K180" s="31"/>
    </row>
    <row r="181" customFormat="false" ht="15" hidden="false" customHeight="false" outlineLevel="0" collapsed="false">
      <c r="A181" s="29"/>
      <c r="B181" s="30"/>
      <c r="C181" s="31"/>
      <c r="D181" s="31"/>
      <c r="E181" s="31"/>
      <c r="F181" s="54"/>
      <c r="G181" s="54"/>
      <c r="H181" s="31"/>
      <c r="I181" s="30"/>
      <c r="J181" s="31"/>
      <c r="K181" s="31"/>
    </row>
    <row r="182" customFormat="false" ht="15" hidden="false" customHeight="false" outlineLevel="0" collapsed="false">
      <c r="A182" s="29"/>
      <c r="B182" s="30"/>
      <c r="C182" s="31"/>
      <c r="D182" s="31"/>
      <c r="E182" s="31"/>
      <c r="F182" s="54"/>
      <c r="G182" s="54"/>
      <c r="H182" s="31"/>
      <c r="I182" s="30"/>
      <c r="J182" s="31"/>
      <c r="K182" s="31"/>
    </row>
    <row r="183" customFormat="false" ht="15" hidden="false" customHeight="false" outlineLevel="0" collapsed="false">
      <c r="A183" s="29"/>
      <c r="B183" s="30"/>
      <c r="C183" s="31"/>
      <c r="D183" s="31"/>
      <c r="E183" s="31"/>
      <c r="F183" s="54"/>
      <c r="G183" s="54"/>
      <c r="H183" s="31"/>
      <c r="I183" s="30"/>
      <c r="J183" s="31"/>
      <c r="K183" s="31"/>
    </row>
    <row r="184" customFormat="false" ht="15" hidden="false" customHeight="false" outlineLevel="0" collapsed="false">
      <c r="A184" s="29"/>
      <c r="B184" s="30"/>
      <c r="C184" s="31"/>
      <c r="D184" s="31"/>
      <c r="E184" s="31"/>
      <c r="F184" s="54"/>
      <c r="G184" s="54"/>
      <c r="H184" s="31"/>
      <c r="I184" s="30"/>
      <c r="J184" s="31"/>
      <c r="K184" s="31"/>
    </row>
    <row r="185" customFormat="false" ht="15" hidden="false" customHeight="false" outlineLevel="0" collapsed="false">
      <c r="A185" s="29"/>
      <c r="B185" s="30"/>
      <c r="C185" s="31"/>
      <c r="D185" s="31"/>
      <c r="E185" s="31"/>
      <c r="F185" s="54"/>
      <c r="G185" s="54"/>
      <c r="H185" s="31"/>
      <c r="I185" s="30"/>
      <c r="J185" s="31"/>
      <c r="K185" s="31"/>
    </row>
    <row r="186" customFormat="false" ht="15" hidden="false" customHeight="false" outlineLevel="0" collapsed="false">
      <c r="A186" s="29"/>
      <c r="B186" s="30"/>
      <c r="C186" s="31"/>
      <c r="D186" s="31"/>
      <c r="E186" s="31"/>
      <c r="F186" s="54"/>
      <c r="G186" s="54"/>
      <c r="H186" s="31"/>
      <c r="I186" s="30"/>
      <c r="J186" s="31"/>
      <c r="K186" s="31"/>
    </row>
    <row r="187" customFormat="false" ht="15" hidden="false" customHeight="false" outlineLevel="0" collapsed="false">
      <c r="A187" s="29"/>
      <c r="B187" s="30"/>
      <c r="C187" s="31"/>
      <c r="D187" s="31"/>
      <c r="E187" s="31"/>
      <c r="F187" s="54"/>
      <c r="G187" s="54"/>
      <c r="H187" s="31"/>
      <c r="I187" s="30"/>
      <c r="J187" s="31"/>
      <c r="K187" s="31"/>
    </row>
    <row r="188" customFormat="false" ht="15" hidden="false" customHeight="false" outlineLevel="0" collapsed="false">
      <c r="A188" s="29"/>
      <c r="B188" s="30"/>
      <c r="C188" s="31"/>
      <c r="D188" s="31"/>
      <c r="E188" s="31"/>
      <c r="F188" s="54"/>
      <c r="G188" s="54"/>
      <c r="H188" s="31"/>
      <c r="I188" s="30"/>
      <c r="J188" s="31"/>
      <c r="K188" s="31"/>
    </row>
    <row r="189" customFormat="false" ht="15" hidden="false" customHeight="false" outlineLevel="0" collapsed="false">
      <c r="A189" s="29"/>
      <c r="B189" s="30"/>
      <c r="C189" s="31"/>
      <c r="D189" s="31"/>
      <c r="E189" s="31"/>
      <c r="F189" s="54"/>
      <c r="G189" s="54"/>
      <c r="H189" s="31"/>
      <c r="I189" s="30"/>
      <c r="J189" s="31"/>
      <c r="K189" s="31"/>
    </row>
    <row r="190" customFormat="false" ht="15" hidden="false" customHeight="false" outlineLevel="0" collapsed="false">
      <c r="A190" s="29"/>
      <c r="B190" s="30"/>
      <c r="C190" s="31"/>
      <c r="D190" s="31"/>
      <c r="E190" s="31"/>
      <c r="F190" s="54"/>
      <c r="G190" s="54"/>
      <c r="H190" s="31"/>
      <c r="I190" s="30"/>
      <c r="J190" s="31"/>
      <c r="K190" s="31"/>
    </row>
    <row r="191" customFormat="false" ht="15" hidden="false" customHeight="false" outlineLevel="0" collapsed="false">
      <c r="A191" s="29"/>
      <c r="B191" s="30"/>
      <c r="C191" s="31"/>
      <c r="D191" s="31"/>
      <c r="E191" s="31"/>
      <c r="F191" s="54"/>
      <c r="G191" s="54"/>
      <c r="H191" s="31"/>
      <c r="I191" s="30"/>
      <c r="J191" s="31"/>
      <c r="K191" s="31"/>
    </row>
    <row r="192" customFormat="false" ht="15" hidden="false" customHeight="false" outlineLevel="0" collapsed="false">
      <c r="A192" s="29"/>
      <c r="B192" s="30"/>
      <c r="C192" s="31"/>
      <c r="D192" s="31"/>
      <c r="E192" s="31"/>
      <c r="F192" s="54"/>
      <c r="G192" s="54"/>
      <c r="H192" s="31"/>
      <c r="I192" s="30"/>
      <c r="J192" s="31"/>
      <c r="K192" s="31"/>
    </row>
    <row r="193" customFormat="false" ht="15" hidden="false" customHeight="false" outlineLevel="0" collapsed="false">
      <c r="A193" s="29"/>
      <c r="B193" s="30"/>
      <c r="C193" s="31"/>
      <c r="D193" s="31"/>
      <c r="E193" s="31"/>
      <c r="F193" s="54"/>
      <c r="G193" s="54"/>
      <c r="H193" s="31"/>
      <c r="I193" s="30"/>
      <c r="J193" s="31"/>
      <c r="K193" s="31"/>
    </row>
    <row r="194" customFormat="false" ht="15" hidden="false" customHeight="false" outlineLevel="0" collapsed="false">
      <c r="A194" s="29"/>
      <c r="B194" s="30"/>
      <c r="C194" s="31"/>
      <c r="D194" s="31"/>
      <c r="E194" s="31"/>
      <c r="F194" s="54"/>
      <c r="G194" s="54"/>
      <c r="H194" s="31"/>
      <c r="I194" s="30"/>
      <c r="J194" s="31"/>
      <c r="K194" s="31"/>
    </row>
    <row r="195" customFormat="false" ht="15" hidden="false" customHeight="false" outlineLevel="0" collapsed="false">
      <c r="A195" s="29"/>
      <c r="B195" s="30"/>
      <c r="C195" s="31"/>
      <c r="D195" s="31"/>
      <c r="E195" s="31"/>
      <c r="F195" s="54"/>
      <c r="G195" s="54"/>
      <c r="H195" s="31"/>
      <c r="I195" s="30"/>
      <c r="J195" s="31"/>
      <c r="K195" s="31"/>
    </row>
    <row r="196" customFormat="false" ht="15" hidden="false" customHeight="false" outlineLevel="0" collapsed="false">
      <c r="A196" s="29"/>
      <c r="B196" s="30"/>
      <c r="C196" s="31"/>
      <c r="D196" s="31"/>
      <c r="E196" s="31"/>
      <c r="F196" s="54"/>
      <c r="G196" s="54"/>
      <c r="H196" s="31"/>
      <c r="I196" s="30"/>
      <c r="J196" s="31"/>
      <c r="K196" s="31"/>
    </row>
    <row r="197" customFormat="false" ht="15" hidden="false" customHeight="false" outlineLevel="0" collapsed="false">
      <c r="A197" s="29"/>
      <c r="B197" s="30"/>
      <c r="C197" s="31"/>
      <c r="D197" s="31"/>
      <c r="E197" s="31"/>
      <c r="F197" s="54"/>
      <c r="G197" s="54"/>
      <c r="H197" s="31"/>
      <c r="I197" s="30"/>
      <c r="J197" s="31"/>
      <c r="K197" s="31"/>
    </row>
    <row r="198" customFormat="false" ht="15" hidden="false" customHeight="false" outlineLevel="0" collapsed="false">
      <c r="A198" s="29"/>
      <c r="B198" s="30"/>
      <c r="C198" s="31"/>
      <c r="D198" s="31"/>
      <c r="E198" s="31"/>
      <c r="F198" s="54"/>
      <c r="G198" s="54"/>
      <c r="H198" s="31"/>
      <c r="I198" s="30"/>
      <c r="J198" s="31"/>
      <c r="K198" s="31"/>
    </row>
    <row r="199" customFormat="false" ht="15" hidden="false" customHeight="false" outlineLevel="0" collapsed="false">
      <c r="A199" s="29"/>
      <c r="B199" s="30"/>
      <c r="C199" s="31"/>
      <c r="D199" s="31"/>
      <c r="E199" s="31"/>
      <c r="F199" s="54"/>
      <c r="G199" s="54"/>
      <c r="H199" s="31"/>
      <c r="I199" s="30"/>
      <c r="J199" s="31"/>
      <c r="K199" s="31"/>
    </row>
    <row r="200" customFormat="false" ht="15" hidden="false" customHeight="false" outlineLevel="0" collapsed="false">
      <c r="A200" s="29"/>
      <c r="B200" s="30"/>
      <c r="C200" s="31"/>
      <c r="D200" s="31"/>
      <c r="E200" s="31"/>
      <c r="F200" s="54"/>
      <c r="G200" s="54"/>
      <c r="H200" s="31"/>
      <c r="I200" s="30"/>
      <c r="J200" s="31"/>
      <c r="K200" s="31"/>
    </row>
    <row r="201" customFormat="false" ht="15" hidden="false" customHeight="false" outlineLevel="0" collapsed="false">
      <c r="A201" s="29"/>
      <c r="B201" s="30"/>
      <c r="C201" s="31"/>
      <c r="D201" s="31"/>
      <c r="E201" s="31"/>
      <c r="F201" s="54"/>
      <c r="G201" s="54"/>
      <c r="H201" s="31"/>
      <c r="I201" s="30"/>
      <c r="J201" s="31"/>
      <c r="K201" s="31"/>
    </row>
    <row r="202" customFormat="false" ht="15" hidden="false" customHeight="false" outlineLevel="0" collapsed="false">
      <c r="A202" s="29"/>
      <c r="B202" s="30"/>
      <c r="C202" s="31"/>
      <c r="D202" s="31"/>
      <c r="E202" s="31"/>
      <c r="F202" s="54"/>
      <c r="G202" s="54"/>
      <c r="H202" s="31"/>
      <c r="I202" s="30"/>
      <c r="J202" s="31"/>
      <c r="K202" s="31"/>
    </row>
    <row r="203" customFormat="false" ht="15" hidden="false" customHeight="false" outlineLevel="0" collapsed="false">
      <c r="A203" s="29"/>
      <c r="B203" s="30"/>
      <c r="C203" s="31"/>
      <c r="D203" s="31"/>
      <c r="E203" s="31"/>
      <c r="F203" s="54"/>
      <c r="G203" s="54"/>
      <c r="H203" s="31"/>
      <c r="I203" s="30"/>
      <c r="J203" s="31"/>
      <c r="K203" s="31"/>
    </row>
    <row r="204" customFormat="false" ht="15" hidden="false" customHeight="false" outlineLevel="0" collapsed="false">
      <c r="A204" s="29"/>
      <c r="B204" s="30"/>
      <c r="C204" s="31"/>
      <c r="D204" s="31"/>
      <c r="E204" s="31"/>
      <c r="F204" s="54"/>
      <c r="G204" s="54"/>
      <c r="H204" s="31"/>
      <c r="I204" s="30"/>
      <c r="J204" s="31"/>
      <c r="K204" s="31"/>
    </row>
    <row r="206" customFormat="false" ht="15" hidden="false" customHeight="false" outlineLevel="0" collapsed="false">
      <c r="A206" s="2" t="s">
        <v>669</v>
      </c>
    </row>
  </sheetData>
  <autoFilter ref="A4:K204"/>
  <dataValidations count="4">
    <dataValidation allowBlank="true" errorStyle="stop" operator="between" showDropDown="false" showErrorMessage="false" showInputMessage="false" sqref="B5:B204" type="list">
      <formula1>"31 三聯式／電子計算機統一發票,35 三聯式收銀機及電子發票,32 二聯式／二聯式收銀機統一發票"</formula1>
      <formula2>0</formula2>
    </dataValidation>
    <dataValidation allowBlank="true" errorStyle="stop" operator="between" showDropDown="false" showErrorMessage="false" showInputMessage="false" sqref="H5:H204" type="list">
      <formula1>"應稅,零稅率,免稅,作廢"</formula1>
      <formula2>0</formula2>
    </dataValidation>
    <dataValidation allowBlank="true" errorStyle="stop" operator="between" showDropDown="false" showErrorMessage="false" showInputMessage="false" sqref="I5:I204" type="list">
      <formula1>"1 零稅率非經海關出口應附證明文件,2 零稅率經海關出口免附證明文件"</formula1>
      <formula2>0</formula2>
    </dataValidation>
    <dataValidation allowBlank="true" errorStyle="stop" operator="between" showDropDown="false" showErrorMessage="false" showInputMessage="false" sqref="K5:K204" type="list">
      <formula1>"未申報,已申報"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6"/>
    <col collapsed="false" customWidth="true" hidden="false" outlineLevel="0" max="3" min="3" style="0" width="70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670</v>
      </c>
    </row>
    <row r="2" customFormat="false" ht="15" hidden="false" customHeight="false" outlineLevel="0" collapsed="false">
      <c r="A2" s="2" t="s">
        <v>671</v>
      </c>
    </row>
    <row r="4" customFormat="false" ht="17.15" hidden="false" customHeight="false" outlineLevel="0" collapsed="false">
      <c r="A4" s="3" t="s">
        <v>405</v>
      </c>
      <c r="B4" s="3" t="s">
        <v>672</v>
      </c>
      <c r="C4" s="3" t="s">
        <v>660</v>
      </c>
      <c r="D4" s="3" t="s">
        <v>673</v>
      </c>
    </row>
    <row r="5" customFormat="false" ht="15" hidden="false" customHeight="false" outlineLevel="0" collapsed="false">
      <c r="A5" s="57" t="s">
        <v>674</v>
      </c>
      <c r="B5" s="58" t="s">
        <v>675</v>
      </c>
      <c r="C5" s="59" t="s">
        <v>676</v>
      </c>
      <c r="D5" s="59" t="s">
        <v>677</v>
      </c>
    </row>
    <row r="6" customFormat="false" ht="15" hidden="false" customHeight="false" outlineLevel="0" collapsed="false">
      <c r="A6" s="57" t="s">
        <v>678</v>
      </c>
      <c r="B6" s="58" t="s">
        <v>679</v>
      </c>
      <c r="C6" s="59" t="s">
        <v>680</v>
      </c>
      <c r="D6" s="59" t="s">
        <v>681</v>
      </c>
    </row>
    <row r="7" customFormat="false" ht="15" hidden="false" customHeight="false" outlineLevel="0" collapsed="false">
      <c r="A7" s="57" t="s">
        <v>682</v>
      </c>
      <c r="B7" s="58" t="s">
        <v>679</v>
      </c>
      <c r="C7" s="59" t="s">
        <v>683</v>
      </c>
      <c r="D7" s="59" t="s">
        <v>684</v>
      </c>
    </row>
    <row r="8" customFormat="false" ht="15" hidden="false" customHeight="false" outlineLevel="0" collapsed="false">
      <c r="A8" s="57" t="s">
        <v>685</v>
      </c>
      <c r="B8" s="58" t="s">
        <v>686</v>
      </c>
      <c r="C8" s="59" t="s">
        <v>687</v>
      </c>
      <c r="D8" s="59" t="s">
        <v>688</v>
      </c>
    </row>
    <row r="9" customFormat="false" ht="15" hidden="false" customHeight="false" outlineLevel="0" collapsed="false">
      <c r="A9" s="57" t="s">
        <v>689</v>
      </c>
      <c r="B9" s="60" t="s">
        <v>337</v>
      </c>
      <c r="C9" s="61" t="s">
        <v>690</v>
      </c>
      <c r="D9" s="59" t="s">
        <v>691</v>
      </c>
    </row>
    <row r="10" customFormat="false" ht="15" hidden="false" customHeight="false" outlineLevel="0" collapsed="false">
      <c r="A10" s="57" t="s">
        <v>692</v>
      </c>
      <c r="B10" s="60" t="s">
        <v>693</v>
      </c>
      <c r="C10" s="61" t="s">
        <v>694</v>
      </c>
      <c r="D10" s="59" t="s">
        <v>695</v>
      </c>
    </row>
    <row r="11" customFormat="false" ht="15" hidden="false" customHeight="false" outlineLevel="0" collapsed="false">
      <c r="A11" s="57" t="s">
        <v>696</v>
      </c>
      <c r="B11" s="60" t="s">
        <v>697</v>
      </c>
      <c r="C11" s="61" t="s">
        <v>698</v>
      </c>
      <c r="D11" s="59" t="s">
        <v>699</v>
      </c>
    </row>
    <row r="12" customFormat="false" ht="15" hidden="false" customHeight="false" outlineLevel="0" collapsed="false">
      <c r="A12" s="57" t="s">
        <v>700</v>
      </c>
      <c r="B12" s="60" t="s">
        <v>701</v>
      </c>
      <c r="C12" s="61" t="s">
        <v>698</v>
      </c>
      <c r="D12" s="59" t="s">
        <v>702</v>
      </c>
    </row>
    <row r="13" customFormat="false" ht="15" hidden="false" customHeight="false" outlineLevel="0" collapsed="false">
      <c r="A13" s="57" t="s">
        <v>703</v>
      </c>
      <c r="B13" s="58" t="s">
        <v>704</v>
      </c>
      <c r="C13" s="61" t="s">
        <v>705</v>
      </c>
      <c r="D13" s="59" t="s">
        <v>706</v>
      </c>
    </row>
    <row r="14" customFormat="false" ht="15" hidden="false" customHeight="false" outlineLevel="0" collapsed="false">
      <c r="A14" s="57" t="s">
        <v>707</v>
      </c>
      <c r="B14" s="58" t="s">
        <v>708</v>
      </c>
      <c r="C14" s="61" t="s">
        <v>709</v>
      </c>
      <c r="D14" s="59" t="s">
        <v>710</v>
      </c>
    </row>
    <row r="15" customFormat="false" ht="15" hidden="false" customHeight="false" outlineLevel="0" collapsed="false">
      <c r="A15" s="57" t="s">
        <v>711</v>
      </c>
      <c r="B15" s="58" t="s">
        <v>712</v>
      </c>
      <c r="C15" s="59" t="s">
        <v>713</v>
      </c>
      <c r="D15" s="59" t="s">
        <v>714</v>
      </c>
    </row>
    <row r="16" customFormat="false" ht="15" hidden="false" customHeight="false" outlineLevel="0" collapsed="false">
      <c r="A16" s="57" t="s">
        <v>715</v>
      </c>
      <c r="B16" s="58" t="s">
        <v>679</v>
      </c>
      <c r="C16" s="59" t="s">
        <v>716</v>
      </c>
      <c r="D16" s="59" t="s">
        <v>717</v>
      </c>
    </row>
    <row r="17" customFormat="false" ht="15" hidden="false" customHeight="false" outlineLevel="0" collapsed="false">
      <c r="A17" s="57" t="s">
        <v>718</v>
      </c>
      <c r="B17" s="58" t="s">
        <v>343</v>
      </c>
      <c r="C17" s="61" t="s">
        <v>719</v>
      </c>
      <c r="D17" s="59" t="s">
        <v>720</v>
      </c>
    </row>
    <row r="18" customFormat="false" ht="15" hidden="false" customHeight="false" outlineLevel="0" collapsed="false">
      <c r="A18" s="57" t="s">
        <v>721</v>
      </c>
      <c r="B18" s="58" t="s">
        <v>343</v>
      </c>
      <c r="C18" s="59" t="s">
        <v>722</v>
      </c>
      <c r="D18" s="59" t="s">
        <v>723</v>
      </c>
    </row>
    <row r="19" customFormat="false" ht="15" hidden="false" customHeight="false" outlineLevel="0" collapsed="false">
      <c r="A19" s="57" t="s">
        <v>724</v>
      </c>
      <c r="B19" s="58" t="s">
        <v>725</v>
      </c>
      <c r="C19" s="61" t="s">
        <v>726</v>
      </c>
      <c r="D19" s="59" t="s">
        <v>727</v>
      </c>
    </row>
    <row r="20" customFormat="false" ht="15" hidden="false" customHeight="false" outlineLevel="0" collapsed="false">
      <c r="A20" s="57" t="s">
        <v>728</v>
      </c>
      <c r="B20" s="58" t="s">
        <v>729</v>
      </c>
      <c r="C20" s="59" t="s">
        <v>730</v>
      </c>
      <c r="D20" s="59" t="s">
        <v>731</v>
      </c>
    </row>
    <row r="21" customFormat="false" ht="15" hidden="false" customHeight="false" outlineLevel="0" collapsed="false">
      <c r="A21" s="57" t="s">
        <v>732</v>
      </c>
      <c r="B21" s="58" t="s">
        <v>733</v>
      </c>
      <c r="C21" s="59" t="s">
        <v>734</v>
      </c>
      <c r="D21" s="59" t="s">
        <v>735</v>
      </c>
    </row>
    <row r="22" customFormat="false" ht="15" hidden="false" customHeight="false" outlineLevel="0" collapsed="false">
      <c r="A22" s="57" t="s">
        <v>736</v>
      </c>
      <c r="B22" s="58" t="s">
        <v>737</v>
      </c>
      <c r="C22" s="61" t="s">
        <v>738</v>
      </c>
      <c r="D22" s="59" t="s">
        <v>739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26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1" t="s">
        <v>740</v>
      </c>
    </row>
    <row r="2" customFormat="false" ht="15" hidden="false" customHeight="false" outlineLevel="0" collapsed="false">
      <c r="A2" s="2" t="s">
        <v>741</v>
      </c>
    </row>
    <row r="4" customFormat="false" ht="17.15" hidden="false" customHeight="false" outlineLevel="0" collapsed="false">
      <c r="A4" s="3" t="s">
        <v>742</v>
      </c>
      <c r="B4" s="3" t="s">
        <v>743</v>
      </c>
      <c r="C4" s="3" t="s">
        <v>744</v>
      </c>
      <c r="D4" s="3" t="s">
        <v>745</v>
      </c>
      <c r="E4" s="3" t="s">
        <v>746</v>
      </c>
      <c r="F4" s="3" t="s">
        <v>747</v>
      </c>
      <c r="G4" s="3" t="s">
        <v>748</v>
      </c>
    </row>
    <row r="5" customFormat="false" ht="15" hidden="false" customHeight="false" outlineLevel="0" collapsed="false">
      <c r="A5" s="9" t="s">
        <v>500</v>
      </c>
      <c r="B5" s="10" t="s">
        <v>749</v>
      </c>
      <c r="C5" s="10" t="s">
        <v>750</v>
      </c>
      <c r="D5" s="10" t="s">
        <v>191</v>
      </c>
      <c r="E5" s="10" t="s">
        <v>751</v>
      </c>
      <c r="F5" s="10"/>
      <c r="G5" s="9" t="s">
        <v>752</v>
      </c>
    </row>
    <row r="6" customFormat="false" ht="15" hidden="false" customHeight="false" outlineLevel="0" collapsed="false">
      <c r="A6" s="9" t="s">
        <v>500</v>
      </c>
      <c r="B6" s="10" t="s">
        <v>749</v>
      </c>
      <c r="C6" s="10" t="s">
        <v>753</v>
      </c>
      <c r="D6" s="10" t="s">
        <v>753</v>
      </c>
      <c r="E6" s="10" t="s">
        <v>754</v>
      </c>
      <c r="F6" s="10" t="s">
        <v>755</v>
      </c>
      <c r="G6" s="9" t="s">
        <v>756</v>
      </c>
    </row>
    <row r="7" customFormat="false" ht="15" hidden="false" customHeight="false" outlineLevel="0" collapsed="false">
      <c r="A7" s="9" t="s">
        <v>500</v>
      </c>
      <c r="B7" s="10" t="s">
        <v>749</v>
      </c>
      <c r="C7" s="9" t="s">
        <v>757</v>
      </c>
      <c r="D7" s="9" t="s">
        <v>757</v>
      </c>
      <c r="E7" s="10" t="s">
        <v>754</v>
      </c>
      <c r="F7" s="10"/>
      <c r="G7" s="9" t="s">
        <v>758</v>
      </c>
    </row>
    <row r="8" customFormat="false" ht="15" hidden="false" customHeight="false" outlineLevel="0" collapsed="false">
      <c r="A8" s="9" t="s">
        <v>500</v>
      </c>
      <c r="B8" s="10" t="s">
        <v>749</v>
      </c>
      <c r="C8" s="9" t="s">
        <v>759</v>
      </c>
      <c r="D8" s="9" t="s">
        <v>759</v>
      </c>
      <c r="E8" s="10" t="s">
        <v>754</v>
      </c>
      <c r="F8" s="10"/>
      <c r="G8" s="9" t="s">
        <v>760</v>
      </c>
    </row>
    <row r="9" customFormat="false" ht="15" hidden="false" customHeight="false" outlineLevel="0" collapsed="false">
      <c r="A9" s="9" t="s">
        <v>639</v>
      </c>
      <c r="B9" s="10" t="s">
        <v>761</v>
      </c>
      <c r="C9" s="10" t="s">
        <v>750</v>
      </c>
      <c r="D9" s="10" t="s">
        <v>196</v>
      </c>
      <c r="E9" s="10" t="s">
        <v>751</v>
      </c>
      <c r="F9" s="10"/>
      <c r="G9" s="9" t="s">
        <v>762</v>
      </c>
    </row>
    <row r="10" customFormat="false" ht="15" hidden="false" customHeight="false" outlineLevel="0" collapsed="false">
      <c r="A10" s="9" t="s">
        <v>639</v>
      </c>
      <c r="B10" s="10" t="s">
        <v>761</v>
      </c>
      <c r="C10" s="10" t="s">
        <v>763</v>
      </c>
      <c r="D10" s="10" t="s">
        <v>764</v>
      </c>
      <c r="E10" s="10" t="s">
        <v>754</v>
      </c>
      <c r="F10" s="10" t="s">
        <v>765</v>
      </c>
      <c r="G10" s="9" t="s">
        <v>766</v>
      </c>
    </row>
    <row r="11" customFormat="false" ht="15" hidden="false" customHeight="false" outlineLevel="0" collapsed="false">
      <c r="A11" s="9" t="s">
        <v>639</v>
      </c>
      <c r="B11" s="10" t="s">
        <v>761</v>
      </c>
      <c r="C11" s="9" t="s">
        <v>759</v>
      </c>
      <c r="D11" s="9" t="s">
        <v>759</v>
      </c>
      <c r="E11" s="10" t="s">
        <v>754</v>
      </c>
      <c r="F11" s="10"/>
      <c r="G11" s="9" t="s">
        <v>767</v>
      </c>
    </row>
    <row r="12" customFormat="false" ht="15" hidden="false" customHeight="false" outlineLevel="0" collapsed="false">
      <c r="A12" s="9" t="s">
        <v>639</v>
      </c>
      <c r="B12" s="10" t="s">
        <v>761</v>
      </c>
      <c r="C12" s="10" t="s">
        <v>768</v>
      </c>
      <c r="D12" s="10" t="s">
        <v>647</v>
      </c>
      <c r="E12" s="10" t="s">
        <v>769</v>
      </c>
      <c r="F12" s="10" t="s">
        <v>770</v>
      </c>
      <c r="G12" s="9" t="s">
        <v>771</v>
      </c>
    </row>
    <row r="13" customFormat="false" ht="15" hidden="false" customHeight="false" outlineLevel="0" collapsed="false">
      <c r="A13" s="9" t="s">
        <v>336</v>
      </c>
      <c r="B13" s="10" t="s">
        <v>70</v>
      </c>
      <c r="C13" s="10" t="s">
        <v>750</v>
      </c>
      <c r="D13" s="10" t="s">
        <v>191</v>
      </c>
      <c r="E13" s="10" t="s">
        <v>751</v>
      </c>
      <c r="F13" s="10"/>
      <c r="G13" s="9" t="s">
        <v>772</v>
      </c>
    </row>
    <row r="14" customFormat="false" ht="15" hidden="false" customHeight="false" outlineLevel="0" collapsed="false">
      <c r="A14" s="9" t="s">
        <v>336</v>
      </c>
      <c r="B14" s="10" t="s">
        <v>70</v>
      </c>
      <c r="C14" s="10" t="s">
        <v>327</v>
      </c>
      <c r="D14" s="10" t="s">
        <v>200</v>
      </c>
      <c r="E14" s="10" t="s">
        <v>773</v>
      </c>
      <c r="F14" s="10" t="s">
        <v>774</v>
      </c>
      <c r="G14" s="9" t="s">
        <v>775</v>
      </c>
    </row>
    <row r="15" customFormat="false" ht="15" hidden="false" customHeight="false" outlineLevel="0" collapsed="false">
      <c r="A15" s="9" t="s">
        <v>336</v>
      </c>
      <c r="B15" s="10" t="s">
        <v>70</v>
      </c>
      <c r="C15" s="10" t="s">
        <v>763</v>
      </c>
      <c r="D15" s="10" t="s">
        <v>776</v>
      </c>
      <c r="E15" s="10" t="s">
        <v>777</v>
      </c>
      <c r="F15" s="10" t="s">
        <v>778</v>
      </c>
      <c r="G15" s="9" t="s">
        <v>779</v>
      </c>
    </row>
    <row r="16" customFormat="false" ht="15" hidden="false" customHeight="false" outlineLevel="0" collapsed="false">
      <c r="A16" s="9" t="s">
        <v>780</v>
      </c>
      <c r="B16" s="10" t="s">
        <v>781</v>
      </c>
      <c r="C16" s="10" t="s">
        <v>782</v>
      </c>
      <c r="D16" s="10" t="s">
        <v>783</v>
      </c>
      <c r="E16" s="10" t="s">
        <v>754</v>
      </c>
      <c r="F16" s="10" t="s">
        <v>784</v>
      </c>
      <c r="G16" s="9" t="s">
        <v>785</v>
      </c>
    </row>
    <row r="17" customFormat="false" ht="15" hidden="false" customHeight="false" outlineLevel="0" collapsed="false">
      <c r="A17" s="9" t="s">
        <v>780</v>
      </c>
      <c r="B17" s="10" t="s">
        <v>781</v>
      </c>
      <c r="C17" s="10" t="s">
        <v>753</v>
      </c>
      <c r="D17" s="10" t="s">
        <v>753</v>
      </c>
      <c r="E17" s="10" t="s">
        <v>754</v>
      </c>
      <c r="F17" s="10" t="s">
        <v>786</v>
      </c>
      <c r="G17" s="9" t="s">
        <v>787</v>
      </c>
    </row>
    <row r="18" customFormat="false" ht="15" hidden="false" customHeight="false" outlineLevel="0" collapsed="false">
      <c r="A18" s="9" t="s">
        <v>780</v>
      </c>
      <c r="B18" s="10" t="s">
        <v>781</v>
      </c>
      <c r="C18" s="9" t="s">
        <v>757</v>
      </c>
      <c r="D18" s="9" t="s">
        <v>757</v>
      </c>
      <c r="E18" s="10" t="s">
        <v>754</v>
      </c>
      <c r="F18" s="10"/>
      <c r="G18" s="9" t="s">
        <v>788</v>
      </c>
    </row>
  </sheetData>
  <dataValidations count="1">
    <dataValidation allowBlank="true" errorStyle="stop" operator="between" showDropDown="false" showErrorMessage="false" showInputMessage="false" sqref="E5:E500" type="list">
      <formula1>"送出,同意,確認,核准,退回,撤回,已用印"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3" min="3" style="0" width="60"/>
    <col collapsed="false" customWidth="true" hidden="false" outlineLevel="0" max="4" min="4" style="0" width="28"/>
  </cols>
  <sheetData>
    <row r="1" customFormat="false" ht="17.35" hidden="false" customHeight="false" outlineLevel="0" collapsed="false">
      <c r="A1" s="1" t="s">
        <v>789</v>
      </c>
    </row>
    <row r="3" customFormat="false" ht="17.15" hidden="false" customHeight="false" outlineLevel="0" collapsed="false">
      <c r="A3" s="3" t="s">
        <v>790</v>
      </c>
      <c r="B3" s="3" t="s">
        <v>743</v>
      </c>
      <c r="C3" s="3" t="s">
        <v>791</v>
      </c>
      <c r="D3" s="3" t="s">
        <v>792</v>
      </c>
    </row>
    <row r="4" customFormat="false" ht="15" hidden="false" customHeight="false" outlineLevel="0" collapsed="false">
      <c r="A4" s="4" t="s">
        <v>793</v>
      </c>
      <c r="B4" s="6" t="s">
        <v>725</v>
      </c>
      <c r="C4" s="4" t="s">
        <v>794</v>
      </c>
      <c r="D4" s="4" t="s">
        <v>795</v>
      </c>
    </row>
    <row r="5" customFormat="false" ht="15" hidden="false" customHeight="false" outlineLevel="0" collapsed="false">
      <c r="A5" s="4" t="s">
        <v>796</v>
      </c>
      <c r="B5" s="6" t="s">
        <v>725</v>
      </c>
      <c r="C5" s="4" t="s">
        <v>797</v>
      </c>
      <c r="D5" s="4" t="s">
        <v>798</v>
      </c>
    </row>
    <row r="6" customFormat="false" ht="15" hidden="false" customHeight="false" outlineLevel="0" collapsed="false">
      <c r="A6" s="4" t="s">
        <v>799</v>
      </c>
      <c r="B6" s="6" t="s">
        <v>800</v>
      </c>
      <c r="C6" s="4" t="s">
        <v>801</v>
      </c>
      <c r="D6" s="4" t="s">
        <v>802</v>
      </c>
    </row>
    <row r="7" customFormat="false" ht="15" hidden="false" customHeight="false" outlineLevel="0" collapsed="false">
      <c r="A7" s="4" t="s">
        <v>803</v>
      </c>
      <c r="B7" s="6" t="s">
        <v>800</v>
      </c>
      <c r="C7" s="4" t="s">
        <v>804</v>
      </c>
      <c r="D7" s="4" t="s">
        <v>805</v>
      </c>
    </row>
    <row r="8" customFormat="false" ht="15" hidden="false" customHeight="false" outlineLevel="0" collapsed="false">
      <c r="A8" s="4" t="s">
        <v>806</v>
      </c>
      <c r="B8" s="6" t="s">
        <v>807</v>
      </c>
      <c r="C8" s="4" t="s">
        <v>808</v>
      </c>
      <c r="D8" s="4" t="s">
        <v>809</v>
      </c>
    </row>
    <row r="9" customFormat="false" ht="29.85" hidden="false" customHeight="false" outlineLevel="0" collapsed="false">
      <c r="A9" s="4" t="s">
        <v>810</v>
      </c>
      <c r="B9" s="6" t="s">
        <v>725</v>
      </c>
      <c r="C9" s="4" t="s">
        <v>811</v>
      </c>
      <c r="D9" s="4" t="s">
        <v>812</v>
      </c>
    </row>
    <row r="10" customFormat="false" ht="29.85" hidden="false" customHeight="false" outlineLevel="0" collapsed="false">
      <c r="A10" s="4" t="s">
        <v>813</v>
      </c>
      <c r="B10" s="6" t="s">
        <v>725</v>
      </c>
      <c r="C10" s="4" t="s">
        <v>814</v>
      </c>
      <c r="D10" s="4" t="s">
        <v>815</v>
      </c>
    </row>
    <row r="11" customFormat="false" ht="15" hidden="false" customHeight="false" outlineLevel="0" collapsed="false">
      <c r="A11" s="4" t="s">
        <v>816</v>
      </c>
      <c r="B11" s="4" t="s">
        <v>817</v>
      </c>
      <c r="C11" s="4" t="s">
        <v>818</v>
      </c>
      <c r="D11" s="4" t="s">
        <v>819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40"/>
  </cols>
  <sheetData>
    <row r="1" customFormat="false" ht="21.6" hidden="false" customHeight="false" outlineLevel="0" collapsed="false">
      <c r="A1" s="62" t="s">
        <v>820</v>
      </c>
    </row>
    <row r="3" customFormat="false" ht="17.15" hidden="false" customHeight="false" outlineLevel="0" collapsed="false">
      <c r="A3" s="3" t="s">
        <v>743</v>
      </c>
      <c r="B3" s="3" t="s">
        <v>821</v>
      </c>
      <c r="C3" s="3" t="s">
        <v>822</v>
      </c>
      <c r="D3" s="3" t="s">
        <v>823</v>
      </c>
      <c r="E3" s="3" t="s">
        <v>189</v>
      </c>
    </row>
    <row r="4" customFormat="false" ht="15" hidden="false" customHeight="false" outlineLevel="0" collapsed="false">
      <c r="A4" s="6" t="s">
        <v>824</v>
      </c>
      <c r="B4" s="4" t="s">
        <v>320</v>
      </c>
      <c r="C4" s="4" t="s">
        <v>825</v>
      </c>
      <c r="D4" s="4" t="s">
        <v>312</v>
      </c>
      <c r="E4" s="4" t="s">
        <v>826</v>
      </c>
    </row>
    <row r="5" customFormat="false" ht="29.85" hidden="false" customHeight="false" outlineLevel="0" collapsed="false">
      <c r="A5" s="6" t="s">
        <v>824</v>
      </c>
      <c r="B5" s="4" t="s">
        <v>437</v>
      </c>
      <c r="C5" s="4" t="s">
        <v>827</v>
      </c>
      <c r="D5" s="4" t="s">
        <v>312</v>
      </c>
      <c r="E5" s="4" t="s">
        <v>828</v>
      </c>
    </row>
    <row r="6" customFormat="false" ht="15" hidden="false" customHeight="false" outlineLevel="0" collapsed="false">
      <c r="A6" s="6" t="s">
        <v>824</v>
      </c>
      <c r="B6" s="4" t="s">
        <v>829</v>
      </c>
      <c r="C6" s="4" t="s">
        <v>830</v>
      </c>
      <c r="D6" s="4" t="s">
        <v>312</v>
      </c>
      <c r="E6" s="4" t="s">
        <v>831</v>
      </c>
    </row>
    <row r="7" customFormat="false" ht="15" hidden="false" customHeight="false" outlineLevel="0" collapsed="false">
      <c r="A7" s="6" t="s">
        <v>824</v>
      </c>
      <c r="B7" s="4" t="s">
        <v>489</v>
      </c>
      <c r="C7" s="4" t="s">
        <v>832</v>
      </c>
      <c r="D7" s="4" t="s">
        <v>312</v>
      </c>
      <c r="E7" s="4" t="s">
        <v>833</v>
      </c>
    </row>
    <row r="8" customFormat="false" ht="15" hidden="false" customHeight="false" outlineLevel="0" collapsed="false">
      <c r="A8" s="6" t="s">
        <v>824</v>
      </c>
      <c r="B8" s="4" t="s">
        <v>490</v>
      </c>
      <c r="C8" s="4" t="s">
        <v>834</v>
      </c>
      <c r="D8" s="4" t="s">
        <v>312</v>
      </c>
      <c r="E8" s="4"/>
    </row>
    <row r="9" customFormat="false" ht="15" hidden="false" customHeight="false" outlineLevel="0" collapsed="false">
      <c r="A9" s="6" t="s">
        <v>835</v>
      </c>
      <c r="B9" s="4" t="s">
        <v>622</v>
      </c>
      <c r="C9" s="4" t="s">
        <v>825</v>
      </c>
      <c r="D9" s="4" t="s">
        <v>312</v>
      </c>
      <c r="E9" s="4" t="s">
        <v>836</v>
      </c>
    </row>
    <row r="10" customFormat="false" ht="15" hidden="false" customHeight="false" outlineLevel="0" collapsed="false">
      <c r="A10" s="6" t="s">
        <v>835</v>
      </c>
      <c r="B10" s="4" t="s">
        <v>633</v>
      </c>
      <c r="C10" s="4" t="s">
        <v>825</v>
      </c>
      <c r="D10" s="4" t="s">
        <v>312</v>
      </c>
      <c r="E10" s="4" t="s">
        <v>837</v>
      </c>
    </row>
    <row r="11" customFormat="false" ht="15" hidden="false" customHeight="false" outlineLevel="0" collapsed="false">
      <c r="A11" s="6" t="s">
        <v>835</v>
      </c>
      <c r="B11" s="4" t="s">
        <v>838</v>
      </c>
      <c r="C11" s="4" t="s">
        <v>830</v>
      </c>
      <c r="D11" s="4" t="s">
        <v>312</v>
      </c>
      <c r="E11" s="4" t="s">
        <v>839</v>
      </c>
    </row>
    <row r="12" customFormat="false" ht="15" hidden="false" customHeight="false" outlineLevel="0" collapsed="false">
      <c r="A12" s="6" t="s">
        <v>840</v>
      </c>
      <c r="B12" s="4" t="s">
        <v>841</v>
      </c>
      <c r="C12" s="4" t="s">
        <v>842</v>
      </c>
      <c r="D12" s="4" t="s">
        <v>313</v>
      </c>
      <c r="E12" s="4" t="s">
        <v>843</v>
      </c>
    </row>
    <row r="13" customFormat="false" ht="15" hidden="false" customHeight="false" outlineLevel="0" collapsed="false">
      <c r="A13" s="6" t="s">
        <v>840</v>
      </c>
      <c r="B13" s="4" t="s">
        <v>844</v>
      </c>
      <c r="C13" s="4" t="s">
        <v>845</v>
      </c>
      <c r="D13" s="4" t="s">
        <v>312</v>
      </c>
      <c r="E13" s="4" t="s">
        <v>846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2026-10-20T16:36:47Z</dcterms:created>
  <dc:creator>openpyxl</dc:creator>
  <dc:description/>
  <dc:language>en-US</dc:language>
  <cp:lastModifiedBy/>
  <dcterms:modified xsi:type="dcterms:W3CDTF">2026-10-20T16:36:48Z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