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薪資總表" sheetId="1" state="visible" r:id="rId1"/>
    <sheet name="每日出勤" sheetId="2" state="visible" r:id="rId2"/>
    <sheet name="員工設定" sheetId="3" state="visible" r:id="rId3"/>
    <sheet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color rgb="00595959"/>
      <sz val="10"/>
    </font>
    <font>
      <name val="微軟正黑體"/>
      <b val="1"/>
      <color rgb="00FFFFFF"/>
      <sz val="10"/>
    </font>
    <font>
      <name val="微軟正黑體"/>
      <sz val="10"/>
    </font>
    <font>
      <name val="微軟正黑體"/>
      <color rgb="00003366"/>
      <sz val="10"/>
    </font>
    <font>
      <name val="微軟正黑體"/>
      <b val="1"/>
      <sz val="10"/>
    </font>
    <font>
      <name val="微軟正黑體"/>
      <b val="1"/>
      <color rgb="00C00000"/>
      <sz val="10"/>
    </font>
    <font>
      <name val="微軟正黑體"/>
      <b val="1"/>
      <color rgb="00002060"/>
      <sz val="10"/>
    </font>
    <font>
      <name val="微軟正黑體"/>
      <b val="1"/>
      <color rgb="001F4E79"/>
      <sz val="13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D9D9D9"/>
      </right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 style="thin">
        <color rgb="00D9D9D9"/>
      </right>
      <top style="thin">
        <color rgb="00000000"/>
      </top>
      <bottom style="double">
        <color rgb="00000000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3" fontId="6" fillId="8" borderId="1" pivotButton="0" quotePrefix="0" xfId="0"/>
    <xf numFmtId="3" fontId="6" fillId="9" borderId="1" pivotButton="0" quotePrefix="0" xfId="0"/>
    <xf numFmtId="3" fontId="7" fillId="10" borderId="1" pivotButton="0" quotePrefix="0" xfId="0"/>
    <xf numFmtId="0" fontId="8" fillId="11" borderId="2" applyAlignment="1" pivotButton="0" quotePrefix="0" xfId="0">
      <alignment horizontal="center" vertical="center"/>
    </xf>
    <xf numFmtId="0" fontId="0" fillId="11" borderId="2" pivotButton="0" quotePrefix="0" xfId="0"/>
    <xf numFmtId="3" fontId="8" fillId="11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4" fillId="0" borderId="1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6" borderId="1" pivotButton="0" quotePrefix="0" xfId="0"/>
    <xf numFmtId="0" fontId="3" fillId="2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/>
    </xf>
    <xf numFmtId="164" fontId="4" fillId="0" borderId="1" pivotButton="0" quotePrefix="0" xfId="0"/>
    <xf numFmtId="0" fontId="9" fillId="11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2" customWidth="1" min="4" max="4"/>
    <col width="15" customWidth="1" min="5" max="5"/>
    <col width="15" customWidth="1" min="6" max="6"/>
    <col width="131" customWidth="1" min="7" max="7"/>
    <col width="15" customWidth="1" min="8" max="8"/>
    <col width="66" customWidth="1" min="9" max="9"/>
    <col width="71" customWidth="1" min="10" max="10"/>
    <col width="44" customWidth="1" min="11" max="11"/>
    <col width="44" customWidth="1" min="12" max="12"/>
    <col width="96" customWidth="1" min="13" max="13"/>
    <col width="50" customWidth="1" min="14" max="14"/>
    <col width="27" customWidth="1" min="15" max="15"/>
    <col width="14" customWidth="1" min="16" max="16"/>
    <col width="17" customWidth="1" min="17" max="17"/>
  </cols>
  <sheetData>
    <row r="1">
      <c r="A1" s="1" t="inlineStr">
        <is>
          <t>【大眾實業股份有限公司】2026年9月份 12位員工薪資結算總表</t>
        </is>
      </c>
    </row>
    <row r="2">
      <c r="A2" s="2" t="inlineStr">
        <is>
          <t>計薪週期：2026/09/01 ~ 2026/09/30 ｜ 發放日：2026/10/05 ｜ 幣別：新台幣 (TWD) ｜ 本表各欄位皆由 Excel 公式連動每日出勤(1~30日)</t>
        </is>
      </c>
    </row>
    <row r="4">
      <c r="A4" s="3" t="inlineStr">
        <is>
          <t>員工基本資料</t>
        </is>
      </c>
      <c r="B4" s="33" t="n"/>
      <c r="C4" s="34" t="n"/>
      <c r="D4" s="4" t="inlineStr">
        <is>
          <t>一、應發薪資項目（A）</t>
        </is>
      </c>
      <c r="E4" s="33" t="n"/>
      <c r="F4" s="33" t="n"/>
      <c r="G4" s="33" t="n"/>
      <c r="H4" s="34" t="n"/>
      <c r="I4" s="5" t="inlineStr">
        <is>
          <t>二、法定與出勤應扣項目（B）</t>
        </is>
      </c>
      <c r="J4" s="33" t="n"/>
      <c r="K4" s="33" t="n"/>
      <c r="L4" s="33" t="n"/>
      <c r="M4" s="33" t="n"/>
      <c r="N4" s="33" t="n"/>
      <c r="O4" s="34" t="n"/>
      <c r="P4" s="3" t="inlineStr">
        <is>
          <t>三、實領金額（A-B）</t>
        </is>
      </c>
      <c r="Q4" s="6" t="inlineStr">
        <is>
          <t>四、雇主負擔成本</t>
        </is>
      </c>
    </row>
    <row r="5">
      <c r="A5" s="7" t="inlineStr">
        <is>
          <t>員工編號</t>
        </is>
      </c>
      <c r="B5" s="7" t="inlineStr">
        <is>
          <t>員工姓名</t>
        </is>
      </c>
      <c r="C5" s="7" t="inlineStr">
        <is>
          <t>職稱</t>
        </is>
      </c>
      <c r="D5" s="7" t="inlineStr">
        <is>
          <t>出勤天數</t>
        </is>
      </c>
      <c r="E5" s="7" t="inlineStr">
        <is>
          <t>正常薪資</t>
        </is>
      </c>
      <c r="F5" s="7" t="inlineStr">
        <is>
          <t>餐費補貼</t>
        </is>
      </c>
      <c r="G5" s="7" t="inlineStr">
        <is>
          <t>加班薪資</t>
        </is>
      </c>
      <c r="H5" s="7" t="inlineStr">
        <is>
          <t>【應發總額】</t>
        </is>
      </c>
      <c r="I5" s="7" t="inlineStr">
        <is>
          <t>請假扣薪</t>
        </is>
      </c>
      <c r="J5" s="7" t="inlineStr">
        <is>
          <t>遲到早退扣</t>
        </is>
      </c>
      <c r="K5" s="7" t="inlineStr">
        <is>
          <t>勞保自付</t>
        </is>
      </c>
      <c r="L5" s="7" t="inlineStr">
        <is>
          <t>健保自付</t>
        </is>
      </c>
      <c r="M5" s="7" t="inlineStr">
        <is>
          <t>自提退休金</t>
        </is>
      </c>
      <c r="N5" s="7" t="inlineStr">
        <is>
          <t>預支/其他</t>
        </is>
      </c>
      <c r="O5" s="7" t="inlineStr">
        <is>
          <t>【應扣總額】</t>
        </is>
      </c>
      <c r="P5" s="7" t="inlineStr">
        <is>
          <t>【實領薪資】</t>
        </is>
      </c>
      <c r="Q5" s="7" t="inlineStr">
        <is>
          <t>勞退雇主提撥(6%)</t>
        </is>
      </c>
    </row>
    <row r="6">
      <c r="A6" s="35" t="inlineStr">
        <is>
          <t>{{EMP_ID}}</t>
        </is>
      </c>
      <c r="B6" s="35" t="inlineStr">
        <is>
          <t>{{EMP_NAME}}</t>
        </is>
      </c>
      <c r="C6" s="35" t="inlineStr">
        <is>
          <t>{{TITLE}}</t>
        </is>
      </c>
      <c r="D6" s="36" t="inlineStr">
        <is>
          <t>{{WORK_DAYS}}</t>
        </is>
      </c>
      <c r="E6" s="36" t="inlineStr">
        <is>
          <t>{{BASE_SALARY}}</t>
        </is>
      </c>
      <c r="F6" s="36" t="inlineStr">
        <is>
          <t>{{MEAL_ALLOWANCE}}</t>
        </is>
      </c>
      <c r="G6" s="36" t="inlineStr">
        <is>
          <t>{{OVERTIME_PAY}}</t>
        </is>
      </c>
      <c r="H6" s="37" t="inlineStr">
        <is>
          <t>{{TOTAL_PAYABLE}}</t>
        </is>
      </c>
      <c r="I6" s="36" t="inlineStr">
        <is>
          <t>{{LEAVE_DEDUCT}}</t>
        </is>
      </c>
      <c r="J6" s="36" t="inlineStr">
        <is>
          <t>{{LATE_DEDUCT}}</t>
        </is>
      </c>
      <c r="K6" s="36" t="inlineStr">
        <is>
          <t>{{LABOR_INS}}</t>
        </is>
      </c>
      <c r="L6" s="36" t="inlineStr">
        <is>
          <t>{{HEALTH_INS}}</t>
        </is>
      </c>
      <c r="M6" s="36" t="inlineStr">
        <is>
          <t>{{PENSION_SELF}}</t>
        </is>
      </c>
      <c r="N6" s="36" t="inlineStr">
        <is>
          <t>{{OTHER_DEDUCT}}</t>
        </is>
      </c>
      <c r="O6" s="38" t="inlineStr">
        <is>
          <t>{{TOTAL_DEDUCT}}</t>
        </is>
      </c>
      <c r="P6" s="39" t="inlineStr">
        <is>
          <t>{{NET_SALARY}}</t>
        </is>
      </c>
      <c r="Q6" s="36" t="inlineStr">
        <is>
          <t>{{PENSION_COMPANY}}</t>
        </is>
      </c>
    </row>
    <row r="7">
      <c r="A7" s="13" t="inlineStr">
        <is>
          <t>合計 ({{TOTAL_EMPLOYEES}} 位員工總額)</t>
        </is>
      </c>
      <c r="B7" s="40" t="n"/>
      <c r="C7" s="41" t="n"/>
      <c r="D7" s="15">
        <f>SUM(D6:D6)</f>
        <v/>
      </c>
      <c r="E7" s="15">
        <f>SUM(E6:E6)</f>
        <v/>
      </c>
      <c r="F7" s="15">
        <f>SUM(F6:F6)</f>
        <v/>
      </c>
      <c r="G7" s="15">
        <f>SUM(G6:G6)</f>
        <v/>
      </c>
      <c r="H7" s="15">
        <f>SUM(H6:H6)</f>
        <v/>
      </c>
      <c r="I7" s="15">
        <f>SUM(I6:I6)</f>
        <v/>
      </c>
      <c r="J7" s="15">
        <f>SUM(J6:J6)</f>
        <v/>
      </c>
      <c r="K7" s="15">
        <f>SUM(K6:K6)</f>
        <v/>
      </c>
      <c r="L7" s="15">
        <f>SUM(L6:L6)</f>
        <v/>
      </c>
      <c r="M7" s="15">
        <f>SUM(M6:M6)</f>
        <v/>
      </c>
      <c r="N7" s="15">
        <f>SUM(N6:N6)</f>
        <v/>
      </c>
      <c r="O7" s="15">
        <f>SUM(O6:O6)</f>
        <v/>
      </c>
      <c r="P7" s="15">
        <f>SUM(P6:P6)</f>
        <v/>
      </c>
      <c r="Q7" s="15">
        <f>SUM(Q6:Q6)</f>
        <v/>
      </c>
    </row>
    <row r="8"/>
    <row r="9">
      <c r="A9" s="16" t="inlineStr">
        <is>
          <t>備註說明：</t>
        </is>
      </c>
      <c r="B9" s="2" t="inlineStr">
        <is>
          <t>1. 本表正常時薪按日薪 1,300 元 ÷ 8 小時 = 162.5 元計；平日加班前 2 小時按 1.33 倍、超過 2 小時按 1.66 倍計算。</t>
        </is>
      </c>
    </row>
    <row r="10">
      <c r="B10" s="2" t="inlineStr">
        <is>
          <t>2. 每日出勤工作表已內建「當日加班時數自動拆分」公式（前2H=MIN(時數,2)，超2H=MAX(0,時數-2)），確保按日分段計算完全合規！</t>
        </is>
      </c>
    </row>
    <row r="11">
      <c r="B11" s="2" t="inlineStr">
        <is>
          <t>3. 勞退雇主提撥 6% 係屬雇主法定成本，依法不得自員工薪資內扣除，本表特別列出以利管理會計成本勾稽。</t>
        </is>
      </c>
    </row>
    <row r="12"/>
    <row r="13">
      <c r="B13" s="16" t="inlineStr">
        <is>
          <t>核准：____________________</t>
        </is>
      </c>
      <c r="F13" s="16" t="inlineStr">
        <is>
          <t>覆核：____________________</t>
        </is>
      </c>
      <c r="K13" s="16" t="inlineStr">
        <is>
          <t>審核：____________________</t>
        </is>
      </c>
      <c r="O13" s="16" t="inlineStr">
        <is>
          <t>製表：____________________</t>
        </is>
      </c>
    </row>
  </sheetData>
  <mergeCells count="6">
    <mergeCell ref="Q4"/>
    <mergeCell ref="P4"/>
    <mergeCell ref="A18:C18"/>
    <mergeCell ref="I4:O4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25" customWidth="1" min="12" max="12"/>
  </cols>
  <sheetData>
    <row r="1">
      <c r="A1" s="1" t="inlineStr">
        <is>
          <t>【2026年9月份 每日出勤登打與工時日誌（1日～30日）】</t>
        </is>
      </c>
    </row>
    <row r="2">
      <c r="A2" s="2" t="inlineStr">
        <is>
          <t>會計操作：不需照順序！只要填寫「正常工時」與「當日加班時數(F欄)」，G欄(前2H)與H欄(超2H)自動拆分！月底總表自動加總</t>
        </is>
      </c>
    </row>
    <row r="4">
      <c r="A4" s="7" t="inlineStr">
        <is>
          <t>出勤日期</t>
        </is>
      </c>
      <c r="B4" s="7" t="inlineStr">
        <is>
          <t>員工編號</t>
        </is>
      </c>
      <c r="C4" s="7" t="inlineStr">
        <is>
          <t>姓名</t>
        </is>
      </c>
      <c r="D4" s="7" t="inlineStr">
        <is>
          <t>出勤狀態</t>
        </is>
      </c>
      <c r="E4" s="7" t="inlineStr">
        <is>
          <t>正常工時(H)</t>
        </is>
      </c>
      <c r="F4" s="17" t="inlineStr">
        <is>
          <t>當日加班總時數(H)</t>
        </is>
      </c>
      <c r="G4" s="18" t="inlineStr">
        <is>
          <t>【自動】加班前2H(1.33)</t>
        </is>
      </c>
      <c r="H4" s="18" t="inlineStr">
        <is>
          <t>【自動】加班超2H(1.66)</t>
        </is>
      </c>
      <c r="I4" s="7" t="inlineStr">
        <is>
          <t>請假時數(H)</t>
        </is>
      </c>
      <c r="J4" s="7" t="inlineStr">
        <is>
          <t>遲到/早退(分)</t>
        </is>
      </c>
      <c r="K4" s="7" t="inlineStr">
        <is>
          <t>預支/代扣款</t>
        </is>
      </c>
      <c r="L4" s="7" t="inlineStr">
        <is>
          <t>日常備註</t>
        </is>
      </c>
    </row>
    <row r="5">
      <c r="A5" s="8" t="inlineStr">
        <is>
          <t>2026/09/01</t>
        </is>
      </c>
      <c r="B5" s="8" t="inlineStr">
        <is>
          <t>EMP01</t>
        </is>
      </c>
      <c r="C5" s="8" t="inlineStr">
        <is>
          <t>陳建宏</t>
        </is>
      </c>
      <c r="D5" s="8" t="inlineStr">
        <is>
          <t>出勤正常</t>
        </is>
      </c>
      <c r="E5" s="19" t="n">
        <v>8</v>
      </c>
      <c r="F5" s="19" t="n">
        <v>0</v>
      </c>
      <c r="G5" s="20">
        <f>IF(F5&gt;0, MIN(F5, 2), 0)</f>
        <v/>
      </c>
      <c r="H5" s="20">
        <f>IF(F5&gt;2, F5-2, 0)</f>
        <v/>
      </c>
      <c r="I5" s="19" t="n">
        <v>0</v>
      </c>
      <c r="J5" s="19" t="n">
        <v>0</v>
      </c>
      <c r="K5" s="19" t="n">
        <v>0</v>
      </c>
      <c r="L5" s="21" t="inlineStr"/>
    </row>
    <row r="6">
      <c r="A6" s="8" t="inlineStr">
        <is>
          <t>2026/09/01</t>
        </is>
      </c>
      <c r="B6" s="8" t="inlineStr">
        <is>
          <t>EMP02</t>
        </is>
      </c>
      <c r="C6" s="8" t="inlineStr">
        <is>
          <t>林美玲</t>
        </is>
      </c>
      <c r="D6" s="8" t="inlineStr">
        <is>
          <t>出勤正常</t>
        </is>
      </c>
      <c r="E6" s="19" t="n">
        <v>8</v>
      </c>
      <c r="F6" s="19" t="n">
        <v>0</v>
      </c>
      <c r="G6" s="20">
        <f>IF(F6&gt;0, MIN(F6, 2), 0)</f>
        <v/>
      </c>
      <c r="H6" s="20">
        <f>IF(F6&gt;2, F6-2, 0)</f>
        <v/>
      </c>
      <c r="I6" s="19" t="n">
        <v>0</v>
      </c>
      <c r="J6" s="19" t="n">
        <v>0</v>
      </c>
      <c r="K6" s="19" t="n">
        <v>0</v>
      </c>
      <c r="L6" s="21" t="inlineStr"/>
    </row>
    <row r="7">
      <c r="A7" s="8" t="inlineStr">
        <is>
          <t>2026/09/01</t>
        </is>
      </c>
      <c r="B7" s="8" t="inlineStr">
        <is>
          <t>EMP03</t>
        </is>
      </c>
      <c r="C7" s="8" t="inlineStr">
        <is>
          <t>張志成</t>
        </is>
      </c>
      <c r="D7" s="8" t="inlineStr">
        <is>
          <t>出勤正常</t>
        </is>
      </c>
      <c r="E7" s="19" t="n">
        <v>8</v>
      </c>
      <c r="F7" s="19" t="n">
        <v>0</v>
      </c>
      <c r="G7" s="20">
        <f>IF(F7&gt;0, MIN(F7, 2), 0)</f>
        <v/>
      </c>
      <c r="H7" s="20">
        <f>IF(F7&gt;2, F7-2, 0)</f>
        <v/>
      </c>
      <c r="I7" s="19" t="n">
        <v>0</v>
      </c>
      <c r="J7" s="19" t="n">
        <v>0</v>
      </c>
      <c r="K7" s="19" t="n">
        <v>0</v>
      </c>
      <c r="L7" s="21" t="inlineStr"/>
    </row>
    <row r="8">
      <c r="A8" s="8" t="inlineStr">
        <is>
          <t>2026/09/01</t>
        </is>
      </c>
      <c r="B8" s="8" t="inlineStr">
        <is>
          <t>EMP04</t>
        </is>
      </c>
      <c r="C8" s="8" t="inlineStr">
        <is>
          <t>黃國榮</t>
        </is>
      </c>
      <c r="D8" s="8" t="inlineStr">
        <is>
          <t>出勤正常</t>
        </is>
      </c>
      <c r="E8" s="19" t="n">
        <v>8</v>
      </c>
      <c r="F8" s="19" t="n">
        <v>0</v>
      </c>
      <c r="G8" s="20">
        <f>IF(F8&gt;0, MIN(F8, 2), 0)</f>
        <v/>
      </c>
      <c r="H8" s="20">
        <f>IF(F8&gt;2, F8-2, 0)</f>
        <v/>
      </c>
      <c r="I8" s="19" t="n">
        <v>0</v>
      </c>
      <c r="J8" s="19" t="n">
        <v>0</v>
      </c>
      <c r="K8" s="19" t="n">
        <v>0</v>
      </c>
      <c r="L8" s="21" t="inlineStr"/>
    </row>
    <row r="9">
      <c r="A9" s="8" t="inlineStr">
        <is>
          <t>2026/09/01</t>
        </is>
      </c>
      <c r="B9" s="8" t="inlineStr">
        <is>
          <t>EMP05</t>
        </is>
      </c>
      <c r="C9" s="8" t="inlineStr">
        <is>
          <t>李雅婷</t>
        </is>
      </c>
      <c r="D9" s="8" t="inlineStr">
        <is>
          <t>出勤正常</t>
        </is>
      </c>
      <c r="E9" s="19" t="n">
        <v>8</v>
      </c>
      <c r="F9" s="19" t="n">
        <v>0</v>
      </c>
      <c r="G9" s="20">
        <f>IF(F9&gt;0, MIN(F9, 2), 0)</f>
        <v/>
      </c>
      <c r="H9" s="20">
        <f>IF(F9&gt;2, F9-2, 0)</f>
        <v/>
      </c>
      <c r="I9" s="19" t="n">
        <v>0</v>
      </c>
      <c r="J9" s="19" t="n">
        <v>0</v>
      </c>
      <c r="K9" s="19" t="n">
        <v>0</v>
      </c>
      <c r="L9" s="21" t="inlineStr"/>
    </row>
    <row r="10">
      <c r="A10" s="8" t="inlineStr">
        <is>
          <t>2026/09/01</t>
        </is>
      </c>
      <c r="B10" s="8" t="inlineStr">
        <is>
          <t>EMP06</t>
        </is>
      </c>
      <c r="C10" s="8" t="inlineStr">
        <is>
          <t>王俊傑</t>
        </is>
      </c>
      <c r="D10" s="8" t="inlineStr">
        <is>
          <t>出勤正常</t>
        </is>
      </c>
      <c r="E10" s="19" t="n">
        <v>8</v>
      </c>
      <c r="F10" s="19" t="n">
        <v>0</v>
      </c>
      <c r="G10" s="20">
        <f>IF(F10&gt;0, MIN(F10, 2), 0)</f>
        <v/>
      </c>
      <c r="H10" s="20">
        <f>IF(F10&gt;2, F10-2, 0)</f>
        <v/>
      </c>
      <c r="I10" s="19" t="n">
        <v>0</v>
      </c>
      <c r="J10" s="19" t="n">
        <v>0</v>
      </c>
      <c r="K10" s="19" t="n">
        <v>0</v>
      </c>
      <c r="L10" s="21" t="inlineStr"/>
    </row>
    <row r="11">
      <c r="A11" s="8" t="inlineStr">
        <is>
          <t>2026/09/01</t>
        </is>
      </c>
      <c r="B11" s="8" t="inlineStr">
        <is>
          <t>EMP07</t>
        </is>
      </c>
      <c r="C11" s="8" t="inlineStr">
        <is>
          <t>吳佩芬</t>
        </is>
      </c>
      <c r="D11" s="8" t="inlineStr">
        <is>
          <t>出勤正常</t>
        </is>
      </c>
      <c r="E11" s="19" t="n">
        <v>8</v>
      </c>
      <c r="F11" s="19" t="n">
        <v>0</v>
      </c>
      <c r="G11" s="20">
        <f>IF(F11&gt;0, MIN(F11, 2), 0)</f>
        <v/>
      </c>
      <c r="H11" s="20">
        <f>IF(F11&gt;2, F11-2, 0)</f>
        <v/>
      </c>
      <c r="I11" s="19" t="n">
        <v>0</v>
      </c>
      <c r="J11" s="19" t="n">
        <v>0</v>
      </c>
      <c r="K11" s="19" t="n">
        <v>0</v>
      </c>
      <c r="L11" s="21" t="inlineStr"/>
    </row>
    <row r="12">
      <c r="A12" s="8" t="inlineStr">
        <is>
          <t>2026/09/01</t>
        </is>
      </c>
      <c r="B12" s="8" t="inlineStr">
        <is>
          <t>EMP08</t>
        </is>
      </c>
      <c r="C12" s="8" t="inlineStr">
        <is>
          <t>劉家豪</t>
        </is>
      </c>
      <c r="D12" s="8" t="inlineStr">
        <is>
          <t>出勤正常</t>
        </is>
      </c>
      <c r="E12" s="19" t="n">
        <v>8</v>
      </c>
      <c r="F12" s="19" t="n">
        <v>0</v>
      </c>
      <c r="G12" s="20">
        <f>IF(F12&gt;0, MIN(F12, 2), 0)</f>
        <v/>
      </c>
      <c r="H12" s="20">
        <f>IF(F12&gt;2, F12-2, 0)</f>
        <v/>
      </c>
      <c r="I12" s="19" t="n">
        <v>0</v>
      </c>
      <c r="J12" s="19" t="n">
        <v>0</v>
      </c>
      <c r="K12" s="19" t="n">
        <v>0</v>
      </c>
      <c r="L12" s="21" t="inlineStr"/>
    </row>
    <row r="13">
      <c r="A13" s="8" t="inlineStr">
        <is>
          <t>2026/09/01</t>
        </is>
      </c>
      <c r="B13" s="8" t="inlineStr">
        <is>
          <t>EMP09</t>
        </is>
      </c>
      <c r="C13" s="8" t="inlineStr">
        <is>
          <t>蔡佳蓉</t>
        </is>
      </c>
      <c r="D13" s="8" t="inlineStr">
        <is>
          <t>出勤正常</t>
        </is>
      </c>
      <c r="E13" s="19" t="n">
        <v>8</v>
      </c>
      <c r="F13" s="19" t="n">
        <v>0</v>
      </c>
      <c r="G13" s="20">
        <f>IF(F13&gt;0, MIN(F13, 2), 0)</f>
        <v/>
      </c>
      <c r="H13" s="20">
        <f>IF(F13&gt;2, F13-2, 0)</f>
        <v/>
      </c>
      <c r="I13" s="19" t="n">
        <v>0</v>
      </c>
      <c r="J13" s="19" t="n">
        <v>0</v>
      </c>
      <c r="K13" s="19" t="n">
        <v>0</v>
      </c>
      <c r="L13" s="21" t="inlineStr"/>
    </row>
    <row r="14">
      <c r="A14" s="8" t="inlineStr">
        <is>
          <t>2026/09/01</t>
        </is>
      </c>
      <c r="B14" s="8" t="inlineStr">
        <is>
          <t>EMP10</t>
        </is>
      </c>
      <c r="C14" s="8" t="inlineStr">
        <is>
          <t>許博凱</t>
        </is>
      </c>
      <c r="D14" s="8" t="inlineStr">
        <is>
          <t>出勤正常</t>
        </is>
      </c>
      <c r="E14" s="19" t="n">
        <v>8</v>
      </c>
      <c r="F14" s="19" t="n">
        <v>0</v>
      </c>
      <c r="G14" s="20">
        <f>IF(F14&gt;0, MIN(F14, 2), 0)</f>
        <v/>
      </c>
      <c r="H14" s="20">
        <f>IF(F14&gt;2, F14-2, 0)</f>
        <v/>
      </c>
      <c r="I14" s="19" t="n">
        <v>0</v>
      </c>
      <c r="J14" s="19" t="n">
        <v>0</v>
      </c>
      <c r="K14" s="19" t="n">
        <v>0</v>
      </c>
      <c r="L14" s="21" t="inlineStr"/>
    </row>
    <row r="15">
      <c r="A15" s="8" t="inlineStr">
        <is>
          <t>2026/09/01</t>
        </is>
      </c>
      <c r="B15" s="8" t="inlineStr">
        <is>
          <t>EMP11</t>
        </is>
      </c>
      <c r="C15" s="8" t="inlineStr">
        <is>
          <t>鄭淑芬</t>
        </is>
      </c>
      <c r="D15" s="8" t="inlineStr">
        <is>
          <t>出勤正常</t>
        </is>
      </c>
      <c r="E15" s="19" t="n">
        <v>8</v>
      </c>
      <c r="F15" s="19" t="n">
        <v>0</v>
      </c>
      <c r="G15" s="20">
        <f>IF(F15&gt;0, MIN(F15, 2), 0)</f>
        <v/>
      </c>
      <c r="H15" s="20">
        <f>IF(F15&gt;2, F15-2, 0)</f>
        <v/>
      </c>
      <c r="I15" s="19" t="n">
        <v>0</v>
      </c>
      <c r="J15" s="19" t="n">
        <v>0</v>
      </c>
      <c r="K15" s="19" t="n">
        <v>0</v>
      </c>
      <c r="L15" s="21" t="inlineStr"/>
    </row>
    <row r="16">
      <c r="A16" s="8" t="inlineStr">
        <is>
          <t>2026/09/01</t>
        </is>
      </c>
      <c r="B16" s="8" t="inlineStr">
        <is>
          <t>EMP12</t>
        </is>
      </c>
      <c r="C16" s="8" t="inlineStr">
        <is>
          <t>謝宗翰</t>
        </is>
      </c>
      <c r="D16" s="8" t="inlineStr">
        <is>
          <t>出勤正常</t>
        </is>
      </c>
      <c r="E16" s="19" t="n">
        <v>8</v>
      </c>
      <c r="F16" s="19" t="n">
        <v>0</v>
      </c>
      <c r="G16" s="20">
        <f>IF(F16&gt;0, MIN(F16, 2), 0)</f>
        <v/>
      </c>
      <c r="H16" s="20">
        <f>IF(F16&gt;2, F16-2, 0)</f>
        <v/>
      </c>
      <c r="I16" s="19" t="n">
        <v>0</v>
      </c>
      <c r="J16" s="19" t="n">
        <v>0</v>
      </c>
      <c r="K16" s="19" t="n">
        <v>0</v>
      </c>
      <c r="L16" s="21" t="inlineStr"/>
    </row>
    <row r="17">
      <c r="A17" s="8" t="inlineStr">
        <is>
          <t>2026/09/02</t>
        </is>
      </c>
      <c r="B17" s="8" t="inlineStr">
        <is>
          <t>EMP01</t>
        </is>
      </c>
      <c r="C17" s="8" t="inlineStr">
        <is>
          <t>陳建宏</t>
        </is>
      </c>
      <c r="D17" s="8" t="inlineStr">
        <is>
          <t>出勤正常</t>
        </is>
      </c>
      <c r="E17" s="19" t="n">
        <v>8</v>
      </c>
      <c r="F17" s="19" t="n">
        <v>3</v>
      </c>
      <c r="G17" s="20">
        <f>IF(F17&gt;0, MIN(F17, 2), 0)</f>
        <v/>
      </c>
      <c r="H17" s="20">
        <f>IF(F17&gt;2, F17-2, 0)</f>
        <v/>
      </c>
      <c r="I17" s="19" t="n">
        <v>0</v>
      </c>
      <c r="J17" s="19" t="n">
        <v>0</v>
      </c>
      <c r="K17" s="19" t="n">
        <v>0</v>
      </c>
      <c r="L17" s="21" t="inlineStr">
        <is>
          <t>產線搶修</t>
        </is>
      </c>
    </row>
    <row r="18">
      <c r="A18" s="8" t="inlineStr">
        <is>
          <t>2026/09/02</t>
        </is>
      </c>
      <c r="B18" s="8" t="inlineStr">
        <is>
          <t>EMP02</t>
        </is>
      </c>
      <c r="C18" s="8" t="inlineStr">
        <is>
          <t>林美玲</t>
        </is>
      </c>
      <c r="D18" s="8" t="inlineStr">
        <is>
          <t>出勤正常</t>
        </is>
      </c>
      <c r="E18" s="19" t="n">
        <v>8</v>
      </c>
      <c r="F18" s="19" t="n">
        <v>0</v>
      </c>
      <c r="G18" s="20">
        <f>IF(F18&gt;0, MIN(F18, 2), 0)</f>
        <v/>
      </c>
      <c r="H18" s="20">
        <f>IF(F18&gt;2, F18-2, 0)</f>
        <v/>
      </c>
      <c r="I18" s="19" t="n">
        <v>0</v>
      </c>
      <c r="J18" s="19" t="n">
        <v>0</v>
      </c>
      <c r="K18" s="19" t="n">
        <v>0</v>
      </c>
      <c r="L18" s="21" t="inlineStr"/>
    </row>
    <row r="19">
      <c r="A19" s="8" t="inlineStr">
        <is>
          <t>2026/09/02</t>
        </is>
      </c>
      <c r="B19" s="8" t="inlineStr">
        <is>
          <t>EMP03</t>
        </is>
      </c>
      <c r="C19" s="8" t="inlineStr">
        <is>
          <t>張志成</t>
        </is>
      </c>
      <c r="D19" s="8" t="inlineStr">
        <is>
          <t>出勤正常</t>
        </is>
      </c>
      <c r="E19" s="19" t="n">
        <v>8</v>
      </c>
      <c r="F19" s="19" t="n">
        <v>0</v>
      </c>
      <c r="G19" s="20">
        <f>IF(F19&gt;0, MIN(F19, 2), 0)</f>
        <v/>
      </c>
      <c r="H19" s="20">
        <f>IF(F19&gt;2, F19-2, 0)</f>
        <v/>
      </c>
      <c r="I19" s="19" t="n">
        <v>0</v>
      </c>
      <c r="J19" s="19" t="n">
        <v>0</v>
      </c>
      <c r="K19" s="19" t="n">
        <v>0</v>
      </c>
      <c r="L19" s="21" t="inlineStr"/>
    </row>
    <row r="20">
      <c r="A20" s="8" t="inlineStr">
        <is>
          <t>2026/09/02</t>
        </is>
      </c>
      <c r="B20" s="8" t="inlineStr">
        <is>
          <t>EMP04</t>
        </is>
      </c>
      <c r="C20" s="8" t="inlineStr">
        <is>
          <t>黃國榮</t>
        </is>
      </c>
      <c r="D20" s="8" t="inlineStr">
        <is>
          <t>出勤正常</t>
        </is>
      </c>
      <c r="E20" s="19" t="n">
        <v>8</v>
      </c>
      <c r="F20" s="19" t="n">
        <v>4</v>
      </c>
      <c r="G20" s="20">
        <f>IF(F20&gt;0, MIN(F20, 2), 0)</f>
        <v/>
      </c>
      <c r="H20" s="20">
        <f>IF(F20&gt;2, F20-2, 0)</f>
        <v/>
      </c>
      <c r="I20" s="19" t="n">
        <v>0</v>
      </c>
      <c r="J20" s="19" t="n">
        <v>0</v>
      </c>
      <c r="K20" s="19" t="n">
        <v>0</v>
      </c>
      <c r="L20" s="21" t="inlineStr">
        <is>
          <t>模具保養</t>
        </is>
      </c>
    </row>
    <row r="21">
      <c r="A21" s="8" t="inlineStr">
        <is>
          <t>2026/09/02</t>
        </is>
      </c>
      <c r="B21" s="8" t="inlineStr">
        <is>
          <t>EMP05</t>
        </is>
      </c>
      <c r="C21" s="8" t="inlineStr">
        <is>
          <t>李雅婷</t>
        </is>
      </c>
      <c r="D21" s="8" t="inlineStr">
        <is>
          <t>出勤正常</t>
        </is>
      </c>
      <c r="E21" s="19" t="n">
        <v>8</v>
      </c>
      <c r="F21" s="19" t="n">
        <v>0</v>
      </c>
      <c r="G21" s="20">
        <f>IF(F21&gt;0, MIN(F21, 2), 0)</f>
        <v/>
      </c>
      <c r="H21" s="20">
        <f>IF(F21&gt;2, F21-2, 0)</f>
        <v/>
      </c>
      <c r="I21" s="19" t="n">
        <v>0</v>
      </c>
      <c r="J21" s="19" t="n">
        <v>0</v>
      </c>
      <c r="K21" s="19" t="n">
        <v>0</v>
      </c>
      <c r="L21" s="21" t="inlineStr"/>
    </row>
    <row r="22">
      <c r="A22" s="8" t="inlineStr">
        <is>
          <t>2026/09/02</t>
        </is>
      </c>
      <c r="B22" s="8" t="inlineStr">
        <is>
          <t>EMP06</t>
        </is>
      </c>
      <c r="C22" s="8" t="inlineStr">
        <is>
          <t>王俊傑</t>
        </is>
      </c>
      <c r="D22" s="8" t="inlineStr">
        <is>
          <t>出勤正常</t>
        </is>
      </c>
      <c r="E22" s="19" t="n">
        <v>8</v>
      </c>
      <c r="F22" s="19" t="n">
        <v>0</v>
      </c>
      <c r="G22" s="20">
        <f>IF(F22&gt;0, MIN(F22, 2), 0)</f>
        <v/>
      </c>
      <c r="H22" s="20">
        <f>IF(F22&gt;2, F22-2, 0)</f>
        <v/>
      </c>
      <c r="I22" s="19" t="n">
        <v>0</v>
      </c>
      <c r="J22" s="19" t="n">
        <v>0</v>
      </c>
      <c r="K22" s="19" t="n">
        <v>0</v>
      </c>
      <c r="L22" s="21" t="inlineStr"/>
    </row>
    <row r="23">
      <c r="A23" s="8" t="inlineStr">
        <is>
          <t>2026/09/02</t>
        </is>
      </c>
      <c r="B23" s="8" t="inlineStr">
        <is>
          <t>EMP07</t>
        </is>
      </c>
      <c r="C23" s="8" t="inlineStr">
        <is>
          <t>吳佩芬</t>
        </is>
      </c>
      <c r="D23" s="8" t="inlineStr">
        <is>
          <t>出勤正常</t>
        </is>
      </c>
      <c r="E23" s="19" t="n">
        <v>8</v>
      </c>
      <c r="F23" s="19" t="n">
        <v>0</v>
      </c>
      <c r="G23" s="20">
        <f>IF(F23&gt;0, MIN(F23, 2), 0)</f>
        <v/>
      </c>
      <c r="H23" s="20">
        <f>IF(F23&gt;2, F23-2, 0)</f>
        <v/>
      </c>
      <c r="I23" s="19" t="n">
        <v>0</v>
      </c>
      <c r="J23" s="19" t="n">
        <v>0</v>
      </c>
      <c r="K23" s="19" t="n">
        <v>0</v>
      </c>
      <c r="L23" s="21" t="inlineStr"/>
    </row>
    <row r="24">
      <c r="A24" s="8" t="inlineStr">
        <is>
          <t>2026/09/02</t>
        </is>
      </c>
      <c r="B24" s="8" t="inlineStr">
        <is>
          <t>EMP08</t>
        </is>
      </c>
      <c r="C24" s="8" t="inlineStr">
        <is>
          <t>劉家豪</t>
        </is>
      </c>
      <c r="D24" s="8" t="inlineStr">
        <is>
          <t>出勤正常</t>
        </is>
      </c>
      <c r="E24" s="19" t="n">
        <v>8</v>
      </c>
      <c r="F24" s="19" t="n">
        <v>0</v>
      </c>
      <c r="G24" s="20">
        <f>IF(F24&gt;0, MIN(F24, 2), 0)</f>
        <v/>
      </c>
      <c r="H24" s="20">
        <f>IF(F24&gt;2, F24-2, 0)</f>
        <v/>
      </c>
      <c r="I24" s="19" t="n">
        <v>0</v>
      </c>
      <c r="J24" s="19" t="n">
        <v>0</v>
      </c>
      <c r="K24" s="19" t="n">
        <v>0</v>
      </c>
      <c r="L24" s="21" t="inlineStr"/>
    </row>
    <row r="25">
      <c r="A25" s="8" t="inlineStr">
        <is>
          <t>2026/09/02</t>
        </is>
      </c>
      <c r="B25" s="8" t="inlineStr">
        <is>
          <t>EMP09</t>
        </is>
      </c>
      <c r="C25" s="8" t="inlineStr">
        <is>
          <t>蔡佳蓉</t>
        </is>
      </c>
      <c r="D25" s="8" t="inlineStr">
        <is>
          <t>出勤正常</t>
        </is>
      </c>
      <c r="E25" s="19" t="n">
        <v>8</v>
      </c>
      <c r="F25" s="19" t="n">
        <v>0</v>
      </c>
      <c r="G25" s="20">
        <f>IF(F25&gt;0, MIN(F25, 2), 0)</f>
        <v/>
      </c>
      <c r="H25" s="20">
        <f>IF(F25&gt;2, F25-2, 0)</f>
        <v/>
      </c>
      <c r="I25" s="19" t="n">
        <v>0</v>
      </c>
      <c r="J25" s="19" t="n">
        <v>0</v>
      </c>
      <c r="K25" s="19" t="n">
        <v>0</v>
      </c>
      <c r="L25" s="21" t="inlineStr"/>
    </row>
    <row r="26">
      <c r="A26" s="8" t="inlineStr">
        <is>
          <t>2026/09/02</t>
        </is>
      </c>
      <c r="B26" s="8" t="inlineStr">
        <is>
          <t>EMP10</t>
        </is>
      </c>
      <c r="C26" s="8" t="inlineStr">
        <is>
          <t>許博凱</t>
        </is>
      </c>
      <c r="D26" s="8" t="inlineStr">
        <is>
          <t>出勤正常</t>
        </is>
      </c>
      <c r="E26" s="19" t="n">
        <v>8</v>
      </c>
      <c r="F26" s="19" t="n">
        <v>0</v>
      </c>
      <c r="G26" s="20">
        <f>IF(F26&gt;0, MIN(F26, 2), 0)</f>
        <v/>
      </c>
      <c r="H26" s="20">
        <f>IF(F26&gt;2, F26-2, 0)</f>
        <v/>
      </c>
      <c r="I26" s="19" t="n">
        <v>0</v>
      </c>
      <c r="J26" s="19" t="n">
        <v>0</v>
      </c>
      <c r="K26" s="19" t="n">
        <v>0</v>
      </c>
      <c r="L26" s="21" t="inlineStr"/>
    </row>
    <row r="27">
      <c r="A27" s="8" t="inlineStr">
        <is>
          <t>2026/09/02</t>
        </is>
      </c>
      <c r="B27" s="8" t="inlineStr">
        <is>
          <t>EMP11</t>
        </is>
      </c>
      <c r="C27" s="8" t="inlineStr">
        <is>
          <t>鄭淑芬</t>
        </is>
      </c>
      <c r="D27" s="8" t="inlineStr">
        <is>
          <t>出勤正常</t>
        </is>
      </c>
      <c r="E27" s="19" t="n">
        <v>8</v>
      </c>
      <c r="F27" s="19" t="n">
        <v>2</v>
      </c>
      <c r="G27" s="20">
        <f>IF(F27&gt;0, MIN(F27, 2), 0)</f>
        <v/>
      </c>
      <c r="H27" s="20">
        <f>IF(F27&gt;2, F27-2, 0)</f>
        <v/>
      </c>
      <c r="I27" s="19" t="n">
        <v>0</v>
      </c>
      <c r="J27" s="19" t="n">
        <v>0</v>
      </c>
      <c r="K27" s="19" t="n">
        <v>0</v>
      </c>
      <c r="L27" s="21" t="inlineStr">
        <is>
          <t>常規品檢</t>
        </is>
      </c>
    </row>
    <row r="28">
      <c r="A28" s="8" t="inlineStr">
        <is>
          <t>2026/09/02</t>
        </is>
      </c>
      <c r="B28" s="8" t="inlineStr">
        <is>
          <t>EMP12</t>
        </is>
      </c>
      <c r="C28" s="8" t="inlineStr">
        <is>
          <t>謝宗翰</t>
        </is>
      </c>
      <c r="D28" s="8" t="inlineStr">
        <is>
          <t>出勤正常</t>
        </is>
      </c>
      <c r="E28" s="19" t="n">
        <v>8</v>
      </c>
      <c r="F28" s="19" t="n">
        <v>0</v>
      </c>
      <c r="G28" s="20">
        <f>IF(F28&gt;0, MIN(F28, 2), 0)</f>
        <v/>
      </c>
      <c r="H28" s="20">
        <f>IF(F28&gt;2, F28-2, 0)</f>
        <v/>
      </c>
      <c r="I28" s="19" t="n">
        <v>0</v>
      </c>
      <c r="J28" s="19" t="n">
        <v>0</v>
      </c>
      <c r="K28" s="19" t="n">
        <v>0</v>
      </c>
      <c r="L28" s="21" t="inlineStr"/>
    </row>
    <row r="29">
      <c r="A29" s="8" t="inlineStr">
        <is>
          <t>2026/09/03</t>
        </is>
      </c>
      <c r="B29" s="8" t="inlineStr">
        <is>
          <t>EMP01</t>
        </is>
      </c>
      <c r="C29" s="8" t="inlineStr">
        <is>
          <t>陳建宏</t>
        </is>
      </c>
      <c r="D29" s="8" t="inlineStr">
        <is>
          <t>出勤正常</t>
        </is>
      </c>
      <c r="E29" s="19" t="n">
        <v>8</v>
      </c>
      <c r="F29" s="19" t="n">
        <v>0</v>
      </c>
      <c r="G29" s="20">
        <f>IF(F29&gt;0, MIN(F29, 2), 0)</f>
        <v/>
      </c>
      <c r="H29" s="20">
        <f>IF(F29&gt;2, F29-2, 0)</f>
        <v/>
      </c>
      <c r="I29" s="19" t="n">
        <v>0</v>
      </c>
      <c r="J29" s="19" t="n">
        <v>0</v>
      </c>
      <c r="K29" s="19" t="n">
        <v>0</v>
      </c>
      <c r="L29" s="21" t="inlineStr"/>
    </row>
    <row r="30">
      <c r="A30" s="8" t="inlineStr">
        <is>
          <t>2026/09/03</t>
        </is>
      </c>
      <c r="B30" s="8" t="inlineStr">
        <is>
          <t>EMP02</t>
        </is>
      </c>
      <c r="C30" s="8" t="inlineStr">
        <is>
          <t>林美玲</t>
        </is>
      </c>
      <c r="D30" s="8" t="inlineStr">
        <is>
          <t>出勤正常</t>
        </is>
      </c>
      <c r="E30" s="19" t="n">
        <v>8</v>
      </c>
      <c r="F30" s="19" t="n">
        <v>0</v>
      </c>
      <c r="G30" s="20">
        <f>IF(F30&gt;0, MIN(F30, 2), 0)</f>
        <v/>
      </c>
      <c r="H30" s="20">
        <f>IF(F30&gt;2, F30-2, 0)</f>
        <v/>
      </c>
      <c r="I30" s="19" t="n">
        <v>0</v>
      </c>
      <c r="J30" s="19" t="n">
        <v>0</v>
      </c>
      <c r="K30" s="19" t="n">
        <v>0</v>
      </c>
      <c r="L30" s="21" t="inlineStr"/>
    </row>
    <row r="31">
      <c r="A31" s="8" t="inlineStr">
        <is>
          <t>2026/09/03</t>
        </is>
      </c>
      <c r="B31" s="8" t="inlineStr">
        <is>
          <t>EMP03</t>
        </is>
      </c>
      <c r="C31" s="8" t="inlineStr">
        <is>
          <t>張志成</t>
        </is>
      </c>
      <c r="D31" s="8" t="inlineStr">
        <is>
          <t>出勤正常</t>
        </is>
      </c>
      <c r="E31" s="19" t="n">
        <v>8</v>
      </c>
      <c r="F31" s="19" t="n">
        <v>3</v>
      </c>
      <c r="G31" s="20">
        <f>IF(F31&gt;0, MIN(F31, 2), 0)</f>
        <v/>
      </c>
      <c r="H31" s="20">
        <f>IF(F31&gt;2, F31-2, 0)</f>
        <v/>
      </c>
      <c r="I31" s="19" t="n">
        <v>0</v>
      </c>
      <c r="J31" s="19" t="n">
        <v>0</v>
      </c>
      <c r="K31" s="19" t="n">
        <v>0</v>
      </c>
      <c r="L31" s="21" t="inlineStr">
        <is>
          <t>物料盤點</t>
        </is>
      </c>
    </row>
    <row r="32">
      <c r="A32" s="8" t="inlineStr">
        <is>
          <t>2026/09/03</t>
        </is>
      </c>
      <c r="B32" s="8" t="inlineStr">
        <is>
          <t>EMP04</t>
        </is>
      </c>
      <c r="C32" s="8" t="inlineStr">
        <is>
          <t>黃國榮</t>
        </is>
      </c>
      <c r="D32" s="8" t="inlineStr">
        <is>
          <t>出勤正常</t>
        </is>
      </c>
      <c r="E32" s="19" t="n">
        <v>8</v>
      </c>
      <c r="F32" s="19" t="n">
        <v>0</v>
      </c>
      <c r="G32" s="20">
        <f>IF(F32&gt;0, MIN(F32, 2), 0)</f>
        <v/>
      </c>
      <c r="H32" s="20">
        <f>IF(F32&gt;2, F32-2, 0)</f>
        <v/>
      </c>
      <c r="I32" s="19" t="n">
        <v>0</v>
      </c>
      <c r="J32" s="19" t="n">
        <v>0</v>
      </c>
      <c r="K32" s="19" t="n">
        <v>0</v>
      </c>
      <c r="L32" s="21" t="inlineStr"/>
    </row>
    <row r="33">
      <c r="A33" s="8" t="inlineStr">
        <is>
          <t>2026/09/03</t>
        </is>
      </c>
      <c r="B33" s="8" t="inlineStr">
        <is>
          <t>EMP05</t>
        </is>
      </c>
      <c r="C33" s="8" t="inlineStr">
        <is>
          <t>李雅婷</t>
        </is>
      </c>
      <c r="D33" s="8" t="inlineStr">
        <is>
          <t>出勤正常</t>
        </is>
      </c>
      <c r="E33" s="19" t="n">
        <v>8</v>
      </c>
      <c r="F33" s="19" t="n">
        <v>0</v>
      </c>
      <c r="G33" s="20">
        <f>IF(F33&gt;0, MIN(F33, 2), 0)</f>
        <v/>
      </c>
      <c r="H33" s="20">
        <f>IF(F33&gt;2, F33-2, 0)</f>
        <v/>
      </c>
      <c r="I33" s="19" t="n">
        <v>0</v>
      </c>
      <c r="J33" s="19" t="n">
        <v>0</v>
      </c>
      <c r="K33" s="19" t="n">
        <v>0</v>
      </c>
      <c r="L33" s="21" t="inlineStr"/>
    </row>
    <row r="34">
      <c r="A34" s="8" t="inlineStr">
        <is>
          <t>2026/09/03</t>
        </is>
      </c>
      <c r="B34" s="8" t="inlineStr">
        <is>
          <t>EMP06</t>
        </is>
      </c>
      <c r="C34" s="8" t="inlineStr">
        <is>
          <t>王俊傑</t>
        </is>
      </c>
      <c r="D34" s="8" t="inlineStr">
        <is>
          <t>出勤正常</t>
        </is>
      </c>
      <c r="E34" s="19" t="n">
        <v>8</v>
      </c>
      <c r="F34" s="19" t="n">
        <v>3</v>
      </c>
      <c r="G34" s="20">
        <f>IF(F34&gt;0, MIN(F34, 2), 0)</f>
        <v/>
      </c>
      <c r="H34" s="20">
        <f>IF(F34&gt;2, F34-2, 0)</f>
        <v/>
      </c>
      <c r="I34" s="19" t="n">
        <v>0</v>
      </c>
      <c r="J34" s="19" t="n">
        <v>0</v>
      </c>
      <c r="K34" s="19" t="n">
        <v>0</v>
      </c>
      <c r="L34" s="21" t="inlineStr">
        <is>
          <t>組裝趕單</t>
        </is>
      </c>
    </row>
    <row r="35">
      <c r="A35" s="8" t="inlineStr">
        <is>
          <t>2026/09/03</t>
        </is>
      </c>
      <c r="B35" s="8" t="inlineStr">
        <is>
          <t>EMP07</t>
        </is>
      </c>
      <c r="C35" s="8" t="inlineStr">
        <is>
          <t>吳佩芬</t>
        </is>
      </c>
      <c r="D35" s="8" t="inlineStr">
        <is>
          <t>出勤正常</t>
        </is>
      </c>
      <c r="E35" s="19" t="n">
        <v>8</v>
      </c>
      <c r="F35" s="19" t="n">
        <v>0</v>
      </c>
      <c r="G35" s="20">
        <f>IF(F35&gt;0, MIN(F35, 2), 0)</f>
        <v/>
      </c>
      <c r="H35" s="20">
        <f>IF(F35&gt;2, F35-2, 0)</f>
        <v/>
      </c>
      <c r="I35" s="19" t="n">
        <v>0</v>
      </c>
      <c r="J35" s="19" t="n">
        <v>0</v>
      </c>
      <c r="K35" s="19" t="n">
        <v>0</v>
      </c>
      <c r="L35" s="21" t="inlineStr"/>
    </row>
    <row r="36">
      <c r="A36" s="8" t="inlineStr">
        <is>
          <t>2026/09/03</t>
        </is>
      </c>
      <c r="B36" s="8" t="inlineStr">
        <is>
          <t>EMP08</t>
        </is>
      </c>
      <c r="C36" s="8" t="inlineStr">
        <is>
          <t>劉家豪</t>
        </is>
      </c>
      <c r="D36" s="8" t="inlineStr">
        <is>
          <t>出勤正常</t>
        </is>
      </c>
      <c r="E36" s="19" t="n">
        <v>8</v>
      </c>
      <c r="F36" s="19" t="n">
        <v>4</v>
      </c>
      <c r="G36" s="20">
        <f>IF(F36&gt;0, MIN(F36, 2), 0)</f>
        <v/>
      </c>
      <c r="H36" s="20">
        <f>IF(F36&gt;2, F36-2, 0)</f>
        <v/>
      </c>
      <c r="I36" s="19" t="n">
        <v>0</v>
      </c>
      <c r="J36" s="19" t="n">
        <v>0</v>
      </c>
      <c r="K36" s="19" t="n">
        <v>0</v>
      </c>
      <c r="L36" s="21" t="inlineStr">
        <is>
          <t>CNC調機</t>
        </is>
      </c>
    </row>
    <row r="37">
      <c r="A37" s="8" t="inlineStr">
        <is>
          <t>2026/09/03</t>
        </is>
      </c>
      <c r="B37" s="8" t="inlineStr">
        <is>
          <t>EMP09</t>
        </is>
      </c>
      <c r="C37" s="8" t="inlineStr">
        <is>
          <t>蔡佳蓉</t>
        </is>
      </c>
      <c r="D37" s="8" t="inlineStr">
        <is>
          <t>出勤正常</t>
        </is>
      </c>
      <c r="E37" s="19" t="n">
        <v>8</v>
      </c>
      <c r="F37" s="19" t="n">
        <v>0</v>
      </c>
      <c r="G37" s="20">
        <f>IF(F37&gt;0, MIN(F37, 2), 0)</f>
        <v/>
      </c>
      <c r="H37" s="20">
        <f>IF(F37&gt;2, F37-2, 0)</f>
        <v/>
      </c>
      <c r="I37" s="19" t="n">
        <v>0</v>
      </c>
      <c r="J37" s="19" t="n">
        <v>0</v>
      </c>
      <c r="K37" s="19" t="n">
        <v>0</v>
      </c>
      <c r="L37" s="21" t="inlineStr"/>
    </row>
    <row r="38">
      <c r="A38" s="8" t="inlineStr">
        <is>
          <t>2026/09/03</t>
        </is>
      </c>
      <c r="B38" s="8" t="inlineStr">
        <is>
          <t>EMP10</t>
        </is>
      </c>
      <c r="C38" s="8" t="inlineStr">
        <is>
          <t>許博凱</t>
        </is>
      </c>
      <c r="D38" s="8" t="inlineStr">
        <is>
          <t>出勤正常</t>
        </is>
      </c>
      <c r="E38" s="19" t="n">
        <v>8</v>
      </c>
      <c r="F38" s="19" t="n">
        <v>0</v>
      </c>
      <c r="G38" s="20">
        <f>IF(F38&gt;0, MIN(F38, 2), 0)</f>
        <v/>
      </c>
      <c r="H38" s="20">
        <f>IF(F38&gt;2, F38-2, 0)</f>
        <v/>
      </c>
      <c r="I38" s="19" t="n">
        <v>0</v>
      </c>
      <c r="J38" s="19" t="n">
        <v>0</v>
      </c>
      <c r="K38" s="19" t="n">
        <v>0</v>
      </c>
      <c r="L38" s="21" t="inlineStr"/>
    </row>
    <row r="39">
      <c r="A39" s="8" t="inlineStr">
        <is>
          <t>2026/09/03</t>
        </is>
      </c>
      <c r="B39" s="8" t="inlineStr">
        <is>
          <t>EMP11</t>
        </is>
      </c>
      <c r="C39" s="8" t="inlineStr">
        <is>
          <t>鄭淑芬</t>
        </is>
      </c>
      <c r="D39" s="8" t="inlineStr">
        <is>
          <t>出勤正常</t>
        </is>
      </c>
      <c r="E39" s="19" t="n">
        <v>8</v>
      </c>
      <c r="F39" s="19" t="n">
        <v>0</v>
      </c>
      <c r="G39" s="20">
        <f>IF(F39&gt;0, MIN(F39, 2), 0)</f>
        <v/>
      </c>
      <c r="H39" s="20">
        <f>IF(F39&gt;2, F39-2, 0)</f>
        <v/>
      </c>
      <c r="I39" s="19" t="n">
        <v>0</v>
      </c>
      <c r="J39" s="19" t="n">
        <v>0</v>
      </c>
      <c r="K39" s="19" t="n">
        <v>0</v>
      </c>
      <c r="L39" s="21" t="inlineStr"/>
    </row>
    <row r="40">
      <c r="A40" s="8" t="inlineStr">
        <is>
          <t>2026/09/03</t>
        </is>
      </c>
      <c r="B40" s="8" t="inlineStr">
        <is>
          <t>EMP12</t>
        </is>
      </c>
      <c r="C40" s="8" t="inlineStr">
        <is>
          <t>謝宗翰</t>
        </is>
      </c>
      <c r="D40" s="8" t="inlineStr">
        <is>
          <t>出勤正常</t>
        </is>
      </c>
      <c r="E40" s="19" t="n">
        <v>8</v>
      </c>
      <c r="F40" s="19" t="n">
        <v>0</v>
      </c>
      <c r="G40" s="20">
        <f>IF(F40&gt;0, MIN(F40, 2), 0)</f>
        <v/>
      </c>
      <c r="H40" s="20">
        <f>IF(F40&gt;2, F40-2, 0)</f>
        <v/>
      </c>
      <c r="I40" s="19" t="n">
        <v>0</v>
      </c>
      <c r="J40" s="19" t="n">
        <v>0</v>
      </c>
      <c r="K40" s="19" t="n">
        <v>0</v>
      </c>
      <c r="L40" s="21" t="inlineStr"/>
    </row>
    <row r="41">
      <c r="A41" s="8" t="inlineStr">
        <is>
          <t>2026/09/04</t>
        </is>
      </c>
      <c r="B41" s="8" t="inlineStr">
        <is>
          <t>EMP01</t>
        </is>
      </c>
      <c r="C41" s="8" t="inlineStr">
        <is>
          <t>陳建宏</t>
        </is>
      </c>
      <c r="D41" s="8" t="inlineStr">
        <is>
          <t>出勤正常</t>
        </is>
      </c>
      <c r="E41" s="19" t="n">
        <v>8</v>
      </c>
      <c r="F41" s="19" t="n">
        <v>0</v>
      </c>
      <c r="G41" s="20">
        <f>IF(F41&gt;0, MIN(F41, 2), 0)</f>
        <v/>
      </c>
      <c r="H41" s="20">
        <f>IF(F41&gt;2, F41-2, 0)</f>
        <v/>
      </c>
      <c r="I41" s="19" t="n">
        <v>0</v>
      </c>
      <c r="J41" s="19" t="n">
        <v>0</v>
      </c>
      <c r="K41" s="19" t="n">
        <v>0</v>
      </c>
      <c r="L41" s="21" t="inlineStr"/>
    </row>
    <row r="42">
      <c r="A42" s="8" t="inlineStr">
        <is>
          <t>2026/09/04</t>
        </is>
      </c>
      <c r="B42" s="8" t="inlineStr">
        <is>
          <t>EMP02</t>
        </is>
      </c>
      <c r="C42" s="8" t="inlineStr">
        <is>
          <t>林美玲</t>
        </is>
      </c>
      <c r="D42" s="8" t="inlineStr">
        <is>
          <t>請假</t>
        </is>
      </c>
      <c r="E42" s="19" t="n">
        <v>0</v>
      </c>
      <c r="F42" s="19" t="n">
        <v>0</v>
      </c>
      <c r="G42" s="20">
        <f>IF(F42&gt;0, MIN(F42, 2), 0)</f>
        <v/>
      </c>
      <c r="H42" s="20">
        <f>IF(F42&gt;2, F42-2, 0)</f>
        <v/>
      </c>
      <c r="I42" s="19" t="n">
        <v>8</v>
      </c>
      <c r="J42" s="19" t="n">
        <v>15</v>
      </c>
      <c r="K42" s="19" t="n">
        <v>0</v>
      </c>
      <c r="L42" s="21" t="inlineStr">
        <is>
          <t>病假1天(8H)，遲到15分</t>
        </is>
      </c>
    </row>
    <row r="43">
      <c r="A43" s="8" t="inlineStr">
        <is>
          <t>2026/09/04</t>
        </is>
      </c>
      <c r="B43" s="8" t="inlineStr">
        <is>
          <t>EMP03</t>
        </is>
      </c>
      <c r="C43" s="8" t="inlineStr">
        <is>
          <t>張志成</t>
        </is>
      </c>
      <c r="D43" s="8" t="inlineStr">
        <is>
          <t>出勤正常</t>
        </is>
      </c>
      <c r="E43" s="19" t="n">
        <v>8</v>
      </c>
      <c r="F43" s="19" t="n">
        <v>0</v>
      </c>
      <c r="G43" s="20">
        <f>IF(F43&gt;0, MIN(F43, 2), 0)</f>
        <v/>
      </c>
      <c r="H43" s="20">
        <f>IF(F43&gt;2, F43-2, 0)</f>
        <v/>
      </c>
      <c r="I43" s="19" t="n">
        <v>0</v>
      </c>
      <c r="J43" s="19" t="n">
        <v>0</v>
      </c>
      <c r="K43" s="19" t="n">
        <v>0</v>
      </c>
      <c r="L43" s="21" t="inlineStr"/>
    </row>
    <row r="44">
      <c r="A44" s="8" t="inlineStr">
        <is>
          <t>2026/09/04</t>
        </is>
      </c>
      <c r="B44" s="8" t="inlineStr">
        <is>
          <t>EMP04</t>
        </is>
      </c>
      <c r="C44" s="8" t="inlineStr">
        <is>
          <t>黃國榮</t>
        </is>
      </c>
      <c r="D44" s="8" t="inlineStr">
        <is>
          <t>出勤正常</t>
        </is>
      </c>
      <c r="E44" s="19" t="n">
        <v>8</v>
      </c>
      <c r="F44" s="19" t="n">
        <v>3</v>
      </c>
      <c r="G44" s="20">
        <f>IF(F44&gt;0, MIN(F44, 2), 0)</f>
        <v/>
      </c>
      <c r="H44" s="20">
        <f>IF(F44&gt;2, F44-2, 0)</f>
        <v/>
      </c>
      <c r="I44" s="19" t="n">
        <v>0</v>
      </c>
      <c r="J44" s="19" t="n">
        <v>0</v>
      </c>
      <c r="K44" s="19" t="n">
        <v>0</v>
      </c>
      <c r="L44" s="21" t="inlineStr">
        <is>
          <t>機台調試</t>
        </is>
      </c>
    </row>
    <row r="45">
      <c r="A45" s="8" t="inlineStr">
        <is>
          <t>2026/09/04</t>
        </is>
      </c>
      <c r="B45" s="8" t="inlineStr">
        <is>
          <t>EMP05</t>
        </is>
      </c>
      <c r="C45" s="8" t="inlineStr">
        <is>
          <t>李雅婷</t>
        </is>
      </c>
      <c r="D45" s="8" t="inlineStr">
        <is>
          <t>出勤正常</t>
        </is>
      </c>
      <c r="E45" s="19" t="n">
        <v>8</v>
      </c>
      <c r="F45" s="19" t="n">
        <v>0</v>
      </c>
      <c r="G45" s="20">
        <f>IF(F45&gt;0, MIN(F45, 2), 0)</f>
        <v/>
      </c>
      <c r="H45" s="20">
        <f>IF(F45&gt;2, F45-2, 0)</f>
        <v/>
      </c>
      <c r="I45" s="19" t="n">
        <v>0</v>
      </c>
      <c r="J45" s="19" t="n">
        <v>0</v>
      </c>
      <c r="K45" s="19" t="n">
        <v>0</v>
      </c>
      <c r="L45" s="21" t="inlineStr"/>
    </row>
    <row r="46">
      <c r="A46" s="8" t="inlineStr">
        <is>
          <t>2026/09/04</t>
        </is>
      </c>
      <c r="B46" s="8" t="inlineStr">
        <is>
          <t>EMP06</t>
        </is>
      </c>
      <c r="C46" s="8" t="inlineStr">
        <is>
          <t>王俊傑</t>
        </is>
      </c>
      <c r="D46" s="8" t="inlineStr">
        <is>
          <t>出勤正常</t>
        </is>
      </c>
      <c r="E46" s="19" t="n">
        <v>8</v>
      </c>
      <c r="F46" s="19" t="n">
        <v>0</v>
      </c>
      <c r="G46" s="20">
        <f>IF(F46&gt;0, MIN(F46, 2), 0)</f>
        <v/>
      </c>
      <c r="H46" s="20">
        <f>IF(F46&gt;2, F46-2, 0)</f>
        <v/>
      </c>
      <c r="I46" s="19" t="n">
        <v>0</v>
      </c>
      <c r="J46" s="19" t="n">
        <v>0</v>
      </c>
      <c r="K46" s="19" t="n">
        <v>0</v>
      </c>
      <c r="L46" s="21" t="inlineStr"/>
    </row>
    <row r="47">
      <c r="A47" s="8" t="inlineStr">
        <is>
          <t>2026/09/04</t>
        </is>
      </c>
      <c r="B47" s="8" t="inlineStr">
        <is>
          <t>EMP07</t>
        </is>
      </c>
      <c r="C47" s="8" t="inlineStr">
        <is>
          <t>吳佩芬</t>
        </is>
      </c>
      <c r="D47" s="8" t="inlineStr">
        <is>
          <t>出勤正常</t>
        </is>
      </c>
      <c r="E47" s="19" t="n">
        <v>8</v>
      </c>
      <c r="F47" s="19" t="n">
        <v>0</v>
      </c>
      <c r="G47" s="20">
        <f>IF(F47&gt;0, MIN(F47, 2), 0)</f>
        <v/>
      </c>
      <c r="H47" s="20">
        <f>IF(F47&gt;2, F47-2, 0)</f>
        <v/>
      </c>
      <c r="I47" s="19" t="n">
        <v>0</v>
      </c>
      <c r="J47" s="19" t="n">
        <v>0</v>
      </c>
      <c r="K47" s="19" t="n">
        <v>0</v>
      </c>
      <c r="L47" s="21" t="inlineStr"/>
    </row>
    <row r="48">
      <c r="A48" s="8" t="inlineStr">
        <is>
          <t>2026/09/04</t>
        </is>
      </c>
      <c r="B48" s="8" t="inlineStr">
        <is>
          <t>EMP08</t>
        </is>
      </c>
      <c r="C48" s="8" t="inlineStr">
        <is>
          <t>劉家豪</t>
        </is>
      </c>
      <c r="D48" s="8" t="inlineStr">
        <is>
          <t>出勤正常</t>
        </is>
      </c>
      <c r="E48" s="19" t="n">
        <v>8</v>
      </c>
      <c r="F48" s="19" t="n">
        <v>0</v>
      </c>
      <c r="G48" s="20">
        <f>IF(F48&gt;0, MIN(F48, 2), 0)</f>
        <v/>
      </c>
      <c r="H48" s="20">
        <f>IF(F48&gt;2, F48-2, 0)</f>
        <v/>
      </c>
      <c r="I48" s="19" t="n">
        <v>0</v>
      </c>
      <c r="J48" s="19" t="n">
        <v>0</v>
      </c>
      <c r="K48" s="19" t="n">
        <v>0</v>
      </c>
      <c r="L48" s="21" t="inlineStr"/>
    </row>
    <row r="49">
      <c r="A49" s="8" t="inlineStr">
        <is>
          <t>2026/09/04</t>
        </is>
      </c>
      <c r="B49" s="8" t="inlineStr">
        <is>
          <t>EMP09</t>
        </is>
      </c>
      <c r="C49" s="8" t="inlineStr">
        <is>
          <t>蔡佳蓉</t>
        </is>
      </c>
      <c r="D49" s="8" t="inlineStr">
        <is>
          <t>出勤正常</t>
        </is>
      </c>
      <c r="E49" s="19" t="n">
        <v>8</v>
      </c>
      <c r="F49" s="19" t="n">
        <v>2</v>
      </c>
      <c r="G49" s="20">
        <f>IF(F49&gt;0, MIN(F49, 2), 0)</f>
        <v/>
      </c>
      <c r="H49" s="20">
        <f>IF(F49&gt;2, F49-2, 0)</f>
        <v/>
      </c>
      <c r="I49" s="19" t="n">
        <v>0</v>
      </c>
      <c r="J49" s="19" t="n">
        <v>10</v>
      </c>
      <c r="K49" s="19" t="n">
        <v>0</v>
      </c>
      <c r="L49" s="21" t="inlineStr">
        <is>
          <t>遲到10分，加班2H</t>
        </is>
      </c>
    </row>
    <row r="50">
      <c r="A50" s="8" t="inlineStr">
        <is>
          <t>2026/09/04</t>
        </is>
      </c>
      <c r="B50" s="8" t="inlineStr">
        <is>
          <t>EMP10</t>
        </is>
      </c>
      <c r="C50" s="8" t="inlineStr">
        <is>
          <t>許博凱</t>
        </is>
      </c>
      <c r="D50" s="8" t="inlineStr">
        <is>
          <t>出勤正常</t>
        </is>
      </c>
      <c r="E50" s="19" t="n">
        <v>8</v>
      </c>
      <c r="F50" s="19" t="n">
        <v>0</v>
      </c>
      <c r="G50" s="20">
        <f>IF(F50&gt;0, MIN(F50, 2), 0)</f>
        <v/>
      </c>
      <c r="H50" s="20">
        <f>IF(F50&gt;2, F50-2, 0)</f>
        <v/>
      </c>
      <c r="I50" s="19" t="n">
        <v>0</v>
      </c>
      <c r="J50" s="19" t="n">
        <v>0</v>
      </c>
      <c r="K50" s="19" t="n">
        <v>0</v>
      </c>
      <c r="L50" s="21" t="inlineStr"/>
    </row>
    <row r="51">
      <c r="A51" s="8" t="inlineStr">
        <is>
          <t>2026/09/04</t>
        </is>
      </c>
      <c r="B51" s="8" t="inlineStr">
        <is>
          <t>EMP11</t>
        </is>
      </c>
      <c r="C51" s="8" t="inlineStr">
        <is>
          <t>鄭淑芬</t>
        </is>
      </c>
      <c r="D51" s="8" t="inlineStr">
        <is>
          <t>出勤正常</t>
        </is>
      </c>
      <c r="E51" s="19" t="n">
        <v>8</v>
      </c>
      <c r="F51" s="19" t="n">
        <v>0</v>
      </c>
      <c r="G51" s="20">
        <f>IF(F51&gt;0, MIN(F51, 2), 0)</f>
        <v/>
      </c>
      <c r="H51" s="20">
        <f>IF(F51&gt;2, F51-2, 0)</f>
        <v/>
      </c>
      <c r="I51" s="19" t="n">
        <v>0</v>
      </c>
      <c r="J51" s="19" t="n">
        <v>0</v>
      </c>
      <c r="K51" s="19" t="n">
        <v>0</v>
      </c>
      <c r="L51" s="21" t="inlineStr"/>
    </row>
    <row r="52">
      <c r="A52" s="8" t="inlineStr">
        <is>
          <t>2026/09/04</t>
        </is>
      </c>
      <c r="B52" s="8" t="inlineStr">
        <is>
          <t>EMP12</t>
        </is>
      </c>
      <c r="C52" s="8" t="inlineStr">
        <is>
          <t>謝宗翰</t>
        </is>
      </c>
      <c r="D52" s="8" t="inlineStr">
        <is>
          <t>請假</t>
        </is>
      </c>
      <c r="E52" s="19" t="n">
        <v>0</v>
      </c>
      <c r="F52" s="19" t="n">
        <v>0</v>
      </c>
      <c r="G52" s="20">
        <f>IF(F52&gt;0, MIN(F52, 2), 0)</f>
        <v/>
      </c>
      <c r="H52" s="20">
        <f>IF(F52&gt;2, F52-2, 0)</f>
        <v/>
      </c>
      <c r="I52" s="19" t="n">
        <v>8</v>
      </c>
      <c r="J52" s="19" t="n">
        <v>20</v>
      </c>
      <c r="K52" s="19" t="n">
        <v>0</v>
      </c>
      <c r="L52" s="21" t="inlineStr">
        <is>
          <t>事假1天(8H)，遲到20分</t>
        </is>
      </c>
    </row>
    <row r="53">
      <c r="A53" s="22" t="inlineStr">
        <is>
          <t>2026/09/05</t>
        </is>
      </c>
      <c r="B53" s="22" t="inlineStr">
        <is>
          <t>EMP01</t>
        </is>
      </c>
      <c r="C53" s="22" t="inlineStr">
        <is>
          <t>陳建宏</t>
        </is>
      </c>
      <c r="D53" s="22" t="inlineStr">
        <is>
          <t>例假日 (休)</t>
        </is>
      </c>
      <c r="E53" s="23" t="n">
        <v>0</v>
      </c>
      <c r="F53" s="23" t="n">
        <v>0</v>
      </c>
      <c r="G53" s="24">
        <f>IF(F53&gt;0, MIN(F53, 2), 0)</f>
        <v/>
      </c>
      <c r="H53" s="24">
        <f>IF(F53&gt;2, F53-2, 0)</f>
        <v/>
      </c>
      <c r="I53" s="23" t="n">
        <v>0</v>
      </c>
      <c r="J53" s="23" t="n">
        <v>0</v>
      </c>
      <c r="K53" s="23" t="n">
        <v>0</v>
      </c>
      <c r="L53" s="25" t="inlineStr">
        <is>
          <t>週末例假</t>
        </is>
      </c>
    </row>
    <row r="54">
      <c r="A54" s="22" t="inlineStr">
        <is>
          <t>2026/09/05</t>
        </is>
      </c>
      <c r="B54" s="22" t="inlineStr">
        <is>
          <t>EMP02</t>
        </is>
      </c>
      <c r="C54" s="22" t="inlineStr">
        <is>
          <t>林美玲</t>
        </is>
      </c>
      <c r="D54" s="22" t="inlineStr">
        <is>
          <t>例假日 (休)</t>
        </is>
      </c>
      <c r="E54" s="23" t="n">
        <v>0</v>
      </c>
      <c r="F54" s="23" t="n">
        <v>0</v>
      </c>
      <c r="G54" s="24">
        <f>IF(F54&gt;0, MIN(F54, 2), 0)</f>
        <v/>
      </c>
      <c r="H54" s="24">
        <f>IF(F54&gt;2, F54-2, 0)</f>
        <v/>
      </c>
      <c r="I54" s="23" t="n">
        <v>0</v>
      </c>
      <c r="J54" s="23" t="n">
        <v>0</v>
      </c>
      <c r="K54" s="23" t="n">
        <v>0</v>
      </c>
      <c r="L54" s="25" t="inlineStr">
        <is>
          <t>週末例假</t>
        </is>
      </c>
    </row>
    <row r="55">
      <c r="A55" s="22" t="inlineStr">
        <is>
          <t>2026/09/05</t>
        </is>
      </c>
      <c r="B55" s="22" t="inlineStr">
        <is>
          <t>EMP03</t>
        </is>
      </c>
      <c r="C55" s="22" t="inlineStr">
        <is>
          <t>張志成</t>
        </is>
      </c>
      <c r="D55" s="22" t="inlineStr">
        <is>
          <t>例假日 (休)</t>
        </is>
      </c>
      <c r="E55" s="23" t="n">
        <v>0</v>
      </c>
      <c r="F55" s="23" t="n">
        <v>0</v>
      </c>
      <c r="G55" s="24">
        <f>IF(F55&gt;0, MIN(F55, 2), 0)</f>
        <v/>
      </c>
      <c r="H55" s="24">
        <f>IF(F55&gt;2, F55-2, 0)</f>
        <v/>
      </c>
      <c r="I55" s="23" t="n">
        <v>0</v>
      </c>
      <c r="J55" s="23" t="n">
        <v>0</v>
      </c>
      <c r="K55" s="23" t="n">
        <v>0</v>
      </c>
      <c r="L55" s="25" t="inlineStr">
        <is>
          <t>週末例假</t>
        </is>
      </c>
    </row>
    <row r="56">
      <c r="A56" s="22" t="inlineStr">
        <is>
          <t>2026/09/05</t>
        </is>
      </c>
      <c r="B56" s="22" t="inlineStr">
        <is>
          <t>EMP04</t>
        </is>
      </c>
      <c r="C56" s="22" t="inlineStr">
        <is>
          <t>黃國榮</t>
        </is>
      </c>
      <c r="D56" s="22" t="inlineStr">
        <is>
          <t>例假日 (休)</t>
        </is>
      </c>
      <c r="E56" s="23" t="n">
        <v>0</v>
      </c>
      <c r="F56" s="23" t="n">
        <v>0</v>
      </c>
      <c r="G56" s="24">
        <f>IF(F56&gt;0, MIN(F56, 2), 0)</f>
        <v/>
      </c>
      <c r="H56" s="24">
        <f>IF(F56&gt;2, F56-2, 0)</f>
        <v/>
      </c>
      <c r="I56" s="23" t="n">
        <v>0</v>
      </c>
      <c r="J56" s="23" t="n">
        <v>0</v>
      </c>
      <c r="K56" s="23" t="n">
        <v>0</v>
      </c>
      <c r="L56" s="25" t="inlineStr">
        <is>
          <t>週末例假</t>
        </is>
      </c>
    </row>
    <row r="57">
      <c r="A57" s="22" t="inlineStr">
        <is>
          <t>2026/09/05</t>
        </is>
      </c>
      <c r="B57" s="22" t="inlineStr">
        <is>
          <t>EMP05</t>
        </is>
      </c>
      <c r="C57" s="22" t="inlineStr">
        <is>
          <t>李雅婷</t>
        </is>
      </c>
      <c r="D57" s="22" t="inlineStr">
        <is>
          <t>例假日 (休)</t>
        </is>
      </c>
      <c r="E57" s="23" t="n">
        <v>0</v>
      </c>
      <c r="F57" s="23" t="n">
        <v>0</v>
      </c>
      <c r="G57" s="24">
        <f>IF(F57&gt;0, MIN(F57, 2), 0)</f>
        <v/>
      </c>
      <c r="H57" s="24">
        <f>IF(F57&gt;2, F57-2, 0)</f>
        <v/>
      </c>
      <c r="I57" s="23" t="n">
        <v>0</v>
      </c>
      <c r="J57" s="23" t="n">
        <v>0</v>
      </c>
      <c r="K57" s="23" t="n">
        <v>0</v>
      </c>
      <c r="L57" s="25" t="inlineStr">
        <is>
          <t>週末例假</t>
        </is>
      </c>
    </row>
    <row r="58">
      <c r="A58" s="22" t="inlineStr">
        <is>
          <t>2026/09/05</t>
        </is>
      </c>
      <c r="B58" s="22" t="inlineStr">
        <is>
          <t>EMP06</t>
        </is>
      </c>
      <c r="C58" s="22" t="inlineStr">
        <is>
          <t>王俊傑</t>
        </is>
      </c>
      <c r="D58" s="22" t="inlineStr">
        <is>
          <t>例假日 (休)</t>
        </is>
      </c>
      <c r="E58" s="23" t="n">
        <v>0</v>
      </c>
      <c r="F58" s="23" t="n">
        <v>0</v>
      </c>
      <c r="G58" s="24">
        <f>IF(F58&gt;0, MIN(F58, 2), 0)</f>
        <v/>
      </c>
      <c r="H58" s="24">
        <f>IF(F58&gt;2, F58-2, 0)</f>
        <v/>
      </c>
      <c r="I58" s="23" t="n">
        <v>0</v>
      </c>
      <c r="J58" s="23" t="n">
        <v>0</v>
      </c>
      <c r="K58" s="23" t="n">
        <v>0</v>
      </c>
      <c r="L58" s="25" t="inlineStr">
        <is>
          <t>週末例假</t>
        </is>
      </c>
    </row>
    <row r="59">
      <c r="A59" s="22" t="inlineStr">
        <is>
          <t>2026/09/05</t>
        </is>
      </c>
      <c r="B59" s="22" t="inlineStr">
        <is>
          <t>EMP07</t>
        </is>
      </c>
      <c r="C59" s="22" t="inlineStr">
        <is>
          <t>吳佩芬</t>
        </is>
      </c>
      <c r="D59" s="22" t="inlineStr">
        <is>
          <t>例假日 (休)</t>
        </is>
      </c>
      <c r="E59" s="23" t="n">
        <v>0</v>
      </c>
      <c r="F59" s="23" t="n">
        <v>0</v>
      </c>
      <c r="G59" s="24">
        <f>IF(F59&gt;0, MIN(F59, 2), 0)</f>
        <v/>
      </c>
      <c r="H59" s="24">
        <f>IF(F59&gt;2, F59-2, 0)</f>
        <v/>
      </c>
      <c r="I59" s="23" t="n">
        <v>0</v>
      </c>
      <c r="J59" s="23" t="n">
        <v>0</v>
      </c>
      <c r="K59" s="23" t="n">
        <v>0</v>
      </c>
      <c r="L59" s="25" t="inlineStr">
        <is>
          <t>週末例假</t>
        </is>
      </c>
    </row>
    <row r="60">
      <c r="A60" s="22" t="inlineStr">
        <is>
          <t>2026/09/05</t>
        </is>
      </c>
      <c r="B60" s="22" t="inlineStr">
        <is>
          <t>EMP08</t>
        </is>
      </c>
      <c r="C60" s="22" t="inlineStr">
        <is>
          <t>劉家豪</t>
        </is>
      </c>
      <c r="D60" s="22" t="inlineStr">
        <is>
          <t>例假日 (休)</t>
        </is>
      </c>
      <c r="E60" s="23" t="n">
        <v>0</v>
      </c>
      <c r="F60" s="23" t="n">
        <v>0</v>
      </c>
      <c r="G60" s="24">
        <f>IF(F60&gt;0, MIN(F60, 2), 0)</f>
        <v/>
      </c>
      <c r="H60" s="24">
        <f>IF(F60&gt;2, F60-2, 0)</f>
        <v/>
      </c>
      <c r="I60" s="23" t="n">
        <v>0</v>
      </c>
      <c r="J60" s="23" t="n">
        <v>0</v>
      </c>
      <c r="K60" s="23" t="n">
        <v>0</v>
      </c>
      <c r="L60" s="25" t="inlineStr">
        <is>
          <t>週末例假</t>
        </is>
      </c>
    </row>
    <row r="61">
      <c r="A61" s="22" t="inlineStr">
        <is>
          <t>2026/09/05</t>
        </is>
      </c>
      <c r="B61" s="22" t="inlineStr">
        <is>
          <t>EMP09</t>
        </is>
      </c>
      <c r="C61" s="22" t="inlineStr">
        <is>
          <t>蔡佳蓉</t>
        </is>
      </c>
      <c r="D61" s="22" t="inlineStr">
        <is>
          <t>例假日 (休)</t>
        </is>
      </c>
      <c r="E61" s="23" t="n">
        <v>0</v>
      </c>
      <c r="F61" s="23" t="n">
        <v>0</v>
      </c>
      <c r="G61" s="24">
        <f>IF(F61&gt;0, MIN(F61, 2), 0)</f>
        <v/>
      </c>
      <c r="H61" s="24">
        <f>IF(F61&gt;2, F61-2, 0)</f>
        <v/>
      </c>
      <c r="I61" s="23" t="n">
        <v>0</v>
      </c>
      <c r="J61" s="23" t="n">
        <v>0</v>
      </c>
      <c r="K61" s="23" t="n">
        <v>0</v>
      </c>
      <c r="L61" s="25" t="inlineStr">
        <is>
          <t>週末例假</t>
        </is>
      </c>
    </row>
    <row r="62">
      <c r="A62" s="22" t="inlineStr">
        <is>
          <t>2026/09/05</t>
        </is>
      </c>
      <c r="B62" s="22" t="inlineStr">
        <is>
          <t>EMP10</t>
        </is>
      </c>
      <c r="C62" s="22" t="inlineStr">
        <is>
          <t>許博凱</t>
        </is>
      </c>
      <c r="D62" s="22" t="inlineStr">
        <is>
          <t>例假日 (休)</t>
        </is>
      </c>
      <c r="E62" s="23" t="n">
        <v>0</v>
      </c>
      <c r="F62" s="23" t="n">
        <v>0</v>
      </c>
      <c r="G62" s="24">
        <f>IF(F62&gt;0, MIN(F62, 2), 0)</f>
        <v/>
      </c>
      <c r="H62" s="24">
        <f>IF(F62&gt;2, F62-2, 0)</f>
        <v/>
      </c>
      <c r="I62" s="23" t="n">
        <v>0</v>
      </c>
      <c r="J62" s="23" t="n">
        <v>0</v>
      </c>
      <c r="K62" s="23" t="n">
        <v>0</v>
      </c>
      <c r="L62" s="25" t="inlineStr">
        <is>
          <t>週末例假</t>
        </is>
      </c>
    </row>
    <row r="63">
      <c r="A63" s="22" t="inlineStr">
        <is>
          <t>2026/09/05</t>
        </is>
      </c>
      <c r="B63" s="22" t="inlineStr">
        <is>
          <t>EMP11</t>
        </is>
      </c>
      <c r="C63" s="22" t="inlineStr">
        <is>
          <t>鄭淑芬</t>
        </is>
      </c>
      <c r="D63" s="22" t="inlineStr">
        <is>
          <t>例假日 (休)</t>
        </is>
      </c>
      <c r="E63" s="23" t="n">
        <v>0</v>
      </c>
      <c r="F63" s="23" t="n">
        <v>0</v>
      </c>
      <c r="G63" s="24">
        <f>IF(F63&gt;0, MIN(F63, 2), 0)</f>
        <v/>
      </c>
      <c r="H63" s="24">
        <f>IF(F63&gt;2, F63-2, 0)</f>
        <v/>
      </c>
      <c r="I63" s="23" t="n">
        <v>0</v>
      </c>
      <c r="J63" s="23" t="n">
        <v>0</v>
      </c>
      <c r="K63" s="23" t="n">
        <v>0</v>
      </c>
      <c r="L63" s="25" t="inlineStr">
        <is>
          <t>週末例假</t>
        </is>
      </c>
    </row>
    <row r="64">
      <c r="A64" s="22" t="inlineStr">
        <is>
          <t>2026/09/05</t>
        </is>
      </c>
      <c r="B64" s="22" t="inlineStr">
        <is>
          <t>EMP12</t>
        </is>
      </c>
      <c r="C64" s="22" t="inlineStr">
        <is>
          <t>謝宗翰</t>
        </is>
      </c>
      <c r="D64" s="22" t="inlineStr">
        <is>
          <t>例假日 (休)</t>
        </is>
      </c>
      <c r="E64" s="23" t="n">
        <v>0</v>
      </c>
      <c r="F64" s="23" t="n">
        <v>0</v>
      </c>
      <c r="G64" s="24">
        <f>IF(F64&gt;0, MIN(F64, 2), 0)</f>
        <v/>
      </c>
      <c r="H64" s="24">
        <f>IF(F64&gt;2, F64-2, 0)</f>
        <v/>
      </c>
      <c r="I64" s="23" t="n">
        <v>0</v>
      </c>
      <c r="J64" s="23" t="n">
        <v>0</v>
      </c>
      <c r="K64" s="23" t="n">
        <v>0</v>
      </c>
      <c r="L64" s="25" t="inlineStr">
        <is>
          <t>週末例假</t>
        </is>
      </c>
    </row>
    <row r="65">
      <c r="A65" s="22" t="inlineStr">
        <is>
          <t>2026/09/06</t>
        </is>
      </c>
      <c r="B65" s="22" t="inlineStr">
        <is>
          <t>EMP01</t>
        </is>
      </c>
      <c r="C65" s="22" t="inlineStr">
        <is>
          <t>陳建宏</t>
        </is>
      </c>
      <c r="D65" s="22" t="inlineStr">
        <is>
          <t>例假日 (休)</t>
        </is>
      </c>
      <c r="E65" s="23" t="n">
        <v>0</v>
      </c>
      <c r="F65" s="23" t="n">
        <v>0</v>
      </c>
      <c r="G65" s="24">
        <f>IF(F65&gt;0, MIN(F65, 2), 0)</f>
        <v/>
      </c>
      <c r="H65" s="24">
        <f>IF(F65&gt;2, F65-2, 0)</f>
        <v/>
      </c>
      <c r="I65" s="23" t="n">
        <v>0</v>
      </c>
      <c r="J65" s="23" t="n">
        <v>0</v>
      </c>
      <c r="K65" s="23" t="n">
        <v>0</v>
      </c>
      <c r="L65" s="25" t="inlineStr">
        <is>
          <t>週末例假</t>
        </is>
      </c>
    </row>
    <row r="66">
      <c r="A66" s="22" t="inlineStr">
        <is>
          <t>2026/09/06</t>
        </is>
      </c>
      <c r="B66" s="22" t="inlineStr">
        <is>
          <t>EMP02</t>
        </is>
      </c>
      <c r="C66" s="22" t="inlineStr">
        <is>
          <t>林美玲</t>
        </is>
      </c>
      <c r="D66" s="22" t="inlineStr">
        <is>
          <t>例假日 (休)</t>
        </is>
      </c>
      <c r="E66" s="23" t="n">
        <v>0</v>
      </c>
      <c r="F66" s="23" t="n">
        <v>0</v>
      </c>
      <c r="G66" s="24">
        <f>IF(F66&gt;0, MIN(F66, 2), 0)</f>
        <v/>
      </c>
      <c r="H66" s="24">
        <f>IF(F66&gt;2, F66-2, 0)</f>
        <v/>
      </c>
      <c r="I66" s="23" t="n">
        <v>0</v>
      </c>
      <c r="J66" s="23" t="n">
        <v>0</v>
      </c>
      <c r="K66" s="23" t="n">
        <v>0</v>
      </c>
      <c r="L66" s="25" t="inlineStr">
        <is>
          <t>週末例假</t>
        </is>
      </c>
    </row>
    <row r="67">
      <c r="A67" s="22" t="inlineStr">
        <is>
          <t>2026/09/06</t>
        </is>
      </c>
      <c r="B67" s="22" t="inlineStr">
        <is>
          <t>EMP03</t>
        </is>
      </c>
      <c r="C67" s="22" t="inlineStr">
        <is>
          <t>張志成</t>
        </is>
      </c>
      <c r="D67" s="22" t="inlineStr">
        <is>
          <t>例假日 (休)</t>
        </is>
      </c>
      <c r="E67" s="23" t="n">
        <v>0</v>
      </c>
      <c r="F67" s="23" t="n">
        <v>0</v>
      </c>
      <c r="G67" s="24">
        <f>IF(F67&gt;0, MIN(F67, 2), 0)</f>
        <v/>
      </c>
      <c r="H67" s="24">
        <f>IF(F67&gt;2, F67-2, 0)</f>
        <v/>
      </c>
      <c r="I67" s="23" t="n">
        <v>0</v>
      </c>
      <c r="J67" s="23" t="n">
        <v>0</v>
      </c>
      <c r="K67" s="23" t="n">
        <v>0</v>
      </c>
      <c r="L67" s="25" t="inlineStr">
        <is>
          <t>週末例假</t>
        </is>
      </c>
    </row>
    <row r="68">
      <c r="A68" s="22" t="inlineStr">
        <is>
          <t>2026/09/06</t>
        </is>
      </c>
      <c r="B68" s="22" t="inlineStr">
        <is>
          <t>EMP04</t>
        </is>
      </c>
      <c r="C68" s="22" t="inlineStr">
        <is>
          <t>黃國榮</t>
        </is>
      </c>
      <c r="D68" s="22" t="inlineStr">
        <is>
          <t>例假日 (休)</t>
        </is>
      </c>
      <c r="E68" s="23" t="n">
        <v>0</v>
      </c>
      <c r="F68" s="23" t="n">
        <v>0</v>
      </c>
      <c r="G68" s="24">
        <f>IF(F68&gt;0, MIN(F68, 2), 0)</f>
        <v/>
      </c>
      <c r="H68" s="24">
        <f>IF(F68&gt;2, F68-2, 0)</f>
        <v/>
      </c>
      <c r="I68" s="23" t="n">
        <v>0</v>
      </c>
      <c r="J68" s="23" t="n">
        <v>0</v>
      </c>
      <c r="K68" s="23" t="n">
        <v>0</v>
      </c>
      <c r="L68" s="25" t="inlineStr">
        <is>
          <t>週末例假</t>
        </is>
      </c>
    </row>
    <row r="69">
      <c r="A69" s="22" t="inlineStr">
        <is>
          <t>2026/09/06</t>
        </is>
      </c>
      <c r="B69" s="22" t="inlineStr">
        <is>
          <t>EMP05</t>
        </is>
      </c>
      <c r="C69" s="22" t="inlineStr">
        <is>
          <t>李雅婷</t>
        </is>
      </c>
      <c r="D69" s="22" t="inlineStr">
        <is>
          <t>例假日 (休)</t>
        </is>
      </c>
      <c r="E69" s="23" t="n">
        <v>0</v>
      </c>
      <c r="F69" s="23" t="n">
        <v>0</v>
      </c>
      <c r="G69" s="24">
        <f>IF(F69&gt;0, MIN(F69, 2), 0)</f>
        <v/>
      </c>
      <c r="H69" s="24">
        <f>IF(F69&gt;2, F69-2, 0)</f>
        <v/>
      </c>
      <c r="I69" s="23" t="n">
        <v>0</v>
      </c>
      <c r="J69" s="23" t="n">
        <v>0</v>
      </c>
      <c r="K69" s="23" t="n">
        <v>0</v>
      </c>
      <c r="L69" s="25" t="inlineStr">
        <is>
          <t>週末例假</t>
        </is>
      </c>
    </row>
    <row r="70">
      <c r="A70" s="22" t="inlineStr">
        <is>
          <t>2026/09/06</t>
        </is>
      </c>
      <c r="B70" s="22" t="inlineStr">
        <is>
          <t>EMP06</t>
        </is>
      </c>
      <c r="C70" s="22" t="inlineStr">
        <is>
          <t>王俊傑</t>
        </is>
      </c>
      <c r="D70" s="22" t="inlineStr">
        <is>
          <t>例假日 (休)</t>
        </is>
      </c>
      <c r="E70" s="23" t="n">
        <v>0</v>
      </c>
      <c r="F70" s="23" t="n">
        <v>0</v>
      </c>
      <c r="G70" s="24">
        <f>IF(F70&gt;0, MIN(F70, 2), 0)</f>
        <v/>
      </c>
      <c r="H70" s="24">
        <f>IF(F70&gt;2, F70-2, 0)</f>
        <v/>
      </c>
      <c r="I70" s="23" t="n">
        <v>0</v>
      </c>
      <c r="J70" s="23" t="n">
        <v>0</v>
      </c>
      <c r="K70" s="23" t="n">
        <v>0</v>
      </c>
      <c r="L70" s="25" t="inlineStr">
        <is>
          <t>週末例假</t>
        </is>
      </c>
    </row>
    <row r="71">
      <c r="A71" s="22" t="inlineStr">
        <is>
          <t>2026/09/06</t>
        </is>
      </c>
      <c r="B71" s="22" t="inlineStr">
        <is>
          <t>EMP07</t>
        </is>
      </c>
      <c r="C71" s="22" t="inlineStr">
        <is>
          <t>吳佩芬</t>
        </is>
      </c>
      <c r="D71" s="22" t="inlineStr">
        <is>
          <t>例假日 (休)</t>
        </is>
      </c>
      <c r="E71" s="23" t="n">
        <v>0</v>
      </c>
      <c r="F71" s="23" t="n">
        <v>0</v>
      </c>
      <c r="G71" s="24">
        <f>IF(F71&gt;0, MIN(F71, 2), 0)</f>
        <v/>
      </c>
      <c r="H71" s="24">
        <f>IF(F71&gt;2, F71-2, 0)</f>
        <v/>
      </c>
      <c r="I71" s="23" t="n">
        <v>0</v>
      </c>
      <c r="J71" s="23" t="n">
        <v>0</v>
      </c>
      <c r="K71" s="23" t="n">
        <v>0</v>
      </c>
      <c r="L71" s="25" t="inlineStr">
        <is>
          <t>週末例假</t>
        </is>
      </c>
    </row>
    <row r="72">
      <c r="A72" s="22" t="inlineStr">
        <is>
          <t>2026/09/06</t>
        </is>
      </c>
      <c r="B72" s="22" t="inlineStr">
        <is>
          <t>EMP08</t>
        </is>
      </c>
      <c r="C72" s="22" t="inlineStr">
        <is>
          <t>劉家豪</t>
        </is>
      </c>
      <c r="D72" s="22" t="inlineStr">
        <is>
          <t>例假日 (休)</t>
        </is>
      </c>
      <c r="E72" s="23" t="n">
        <v>0</v>
      </c>
      <c r="F72" s="23" t="n">
        <v>0</v>
      </c>
      <c r="G72" s="24">
        <f>IF(F72&gt;0, MIN(F72, 2), 0)</f>
        <v/>
      </c>
      <c r="H72" s="24">
        <f>IF(F72&gt;2, F72-2, 0)</f>
        <v/>
      </c>
      <c r="I72" s="23" t="n">
        <v>0</v>
      </c>
      <c r="J72" s="23" t="n">
        <v>0</v>
      </c>
      <c r="K72" s="23" t="n">
        <v>0</v>
      </c>
      <c r="L72" s="25" t="inlineStr">
        <is>
          <t>週末例假</t>
        </is>
      </c>
    </row>
    <row r="73">
      <c r="A73" s="22" t="inlineStr">
        <is>
          <t>2026/09/06</t>
        </is>
      </c>
      <c r="B73" s="22" t="inlineStr">
        <is>
          <t>EMP09</t>
        </is>
      </c>
      <c r="C73" s="22" t="inlineStr">
        <is>
          <t>蔡佳蓉</t>
        </is>
      </c>
      <c r="D73" s="22" t="inlineStr">
        <is>
          <t>例假日 (休)</t>
        </is>
      </c>
      <c r="E73" s="23" t="n">
        <v>0</v>
      </c>
      <c r="F73" s="23" t="n">
        <v>0</v>
      </c>
      <c r="G73" s="24">
        <f>IF(F73&gt;0, MIN(F73, 2), 0)</f>
        <v/>
      </c>
      <c r="H73" s="24">
        <f>IF(F73&gt;2, F73-2, 0)</f>
        <v/>
      </c>
      <c r="I73" s="23" t="n">
        <v>0</v>
      </c>
      <c r="J73" s="23" t="n">
        <v>0</v>
      </c>
      <c r="K73" s="23" t="n">
        <v>0</v>
      </c>
      <c r="L73" s="25" t="inlineStr">
        <is>
          <t>週末例假</t>
        </is>
      </c>
    </row>
    <row r="74">
      <c r="A74" s="22" t="inlineStr">
        <is>
          <t>2026/09/06</t>
        </is>
      </c>
      <c r="B74" s="22" t="inlineStr">
        <is>
          <t>EMP10</t>
        </is>
      </c>
      <c r="C74" s="22" t="inlineStr">
        <is>
          <t>許博凱</t>
        </is>
      </c>
      <c r="D74" s="22" t="inlineStr">
        <is>
          <t>例假日 (休)</t>
        </is>
      </c>
      <c r="E74" s="23" t="n">
        <v>0</v>
      </c>
      <c r="F74" s="23" t="n">
        <v>0</v>
      </c>
      <c r="G74" s="24">
        <f>IF(F74&gt;0, MIN(F74, 2), 0)</f>
        <v/>
      </c>
      <c r="H74" s="24">
        <f>IF(F74&gt;2, F74-2, 0)</f>
        <v/>
      </c>
      <c r="I74" s="23" t="n">
        <v>0</v>
      </c>
      <c r="J74" s="23" t="n">
        <v>0</v>
      </c>
      <c r="K74" s="23" t="n">
        <v>0</v>
      </c>
      <c r="L74" s="25" t="inlineStr">
        <is>
          <t>週末例假</t>
        </is>
      </c>
    </row>
    <row r="75">
      <c r="A75" s="22" t="inlineStr">
        <is>
          <t>2026/09/06</t>
        </is>
      </c>
      <c r="B75" s="22" t="inlineStr">
        <is>
          <t>EMP11</t>
        </is>
      </c>
      <c r="C75" s="22" t="inlineStr">
        <is>
          <t>鄭淑芬</t>
        </is>
      </c>
      <c r="D75" s="22" t="inlineStr">
        <is>
          <t>例假日 (休)</t>
        </is>
      </c>
      <c r="E75" s="23" t="n">
        <v>0</v>
      </c>
      <c r="F75" s="23" t="n">
        <v>0</v>
      </c>
      <c r="G75" s="24">
        <f>IF(F75&gt;0, MIN(F75, 2), 0)</f>
        <v/>
      </c>
      <c r="H75" s="24">
        <f>IF(F75&gt;2, F75-2, 0)</f>
        <v/>
      </c>
      <c r="I75" s="23" t="n">
        <v>0</v>
      </c>
      <c r="J75" s="23" t="n">
        <v>0</v>
      </c>
      <c r="K75" s="23" t="n">
        <v>0</v>
      </c>
      <c r="L75" s="25" t="inlineStr">
        <is>
          <t>週末例假</t>
        </is>
      </c>
    </row>
    <row r="76">
      <c r="A76" s="22" t="inlineStr">
        <is>
          <t>2026/09/06</t>
        </is>
      </c>
      <c r="B76" s="22" t="inlineStr">
        <is>
          <t>EMP12</t>
        </is>
      </c>
      <c r="C76" s="22" t="inlineStr">
        <is>
          <t>謝宗翰</t>
        </is>
      </c>
      <c r="D76" s="22" t="inlineStr">
        <is>
          <t>例假日 (休)</t>
        </is>
      </c>
      <c r="E76" s="23" t="n">
        <v>0</v>
      </c>
      <c r="F76" s="23" t="n">
        <v>0</v>
      </c>
      <c r="G76" s="24">
        <f>IF(F76&gt;0, MIN(F76, 2), 0)</f>
        <v/>
      </c>
      <c r="H76" s="24">
        <f>IF(F76&gt;2, F76-2, 0)</f>
        <v/>
      </c>
      <c r="I76" s="23" t="n">
        <v>0</v>
      </c>
      <c r="J76" s="23" t="n">
        <v>0</v>
      </c>
      <c r="K76" s="23" t="n">
        <v>0</v>
      </c>
      <c r="L76" s="25" t="inlineStr">
        <is>
          <t>週末例假</t>
        </is>
      </c>
    </row>
    <row r="77">
      <c r="A77" s="8" t="inlineStr">
        <is>
          <t>2026/09/07</t>
        </is>
      </c>
      <c r="B77" s="8" t="inlineStr">
        <is>
          <t>EMP01</t>
        </is>
      </c>
      <c r="C77" s="8" t="inlineStr">
        <is>
          <t>陳建宏</t>
        </is>
      </c>
      <c r="D77" s="8" t="inlineStr">
        <is>
          <t>出勤正常</t>
        </is>
      </c>
      <c r="E77" s="19" t="n">
        <v>8</v>
      </c>
      <c r="F77" s="19" t="n">
        <v>0</v>
      </c>
      <c r="G77" s="20">
        <f>IF(F77&gt;0, MIN(F77, 2), 0)</f>
        <v/>
      </c>
      <c r="H77" s="20">
        <f>IF(F77&gt;2, F77-2, 0)</f>
        <v/>
      </c>
      <c r="I77" s="19" t="n">
        <v>0</v>
      </c>
      <c r="J77" s="19" t="n">
        <v>0</v>
      </c>
      <c r="K77" s="19" t="n">
        <v>0</v>
      </c>
      <c r="L77" s="21" t="inlineStr"/>
    </row>
    <row r="78">
      <c r="A78" s="8" t="inlineStr">
        <is>
          <t>2026/09/07</t>
        </is>
      </c>
      <c r="B78" s="8" t="inlineStr">
        <is>
          <t>EMP02</t>
        </is>
      </c>
      <c r="C78" s="8" t="inlineStr">
        <is>
          <t>林美玲</t>
        </is>
      </c>
      <c r="D78" s="8" t="inlineStr">
        <is>
          <t>出勤正常</t>
        </is>
      </c>
      <c r="E78" s="19" t="n">
        <v>8</v>
      </c>
      <c r="F78" s="19" t="n">
        <v>0</v>
      </c>
      <c r="G78" s="20">
        <f>IF(F78&gt;0, MIN(F78, 2), 0)</f>
        <v/>
      </c>
      <c r="H78" s="20">
        <f>IF(F78&gt;2, F78-2, 0)</f>
        <v/>
      </c>
      <c r="I78" s="19" t="n">
        <v>0</v>
      </c>
      <c r="J78" s="19" t="n">
        <v>0</v>
      </c>
      <c r="K78" s="19" t="n">
        <v>0</v>
      </c>
      <c r="L78" s="21" t="inlineStr"/>
    </row>
    <row r="79">
      <c r="A79" s="8" t="inlineStr">
        <is>
          <t>2026/09/07</t>
        </is>
      </c>
      <c r="B79" s="8" t="inlineStr">
        <is>
          <t>EMP03</t>
        </is>
      </c>
      <c r="C79" s="8" t="inlineStr">
        <is>
          <t>張志成</t>
        </is>
      </c>
      <c r="D79" s="8" t="inlineStr">
        <is>
          <t>出勤正常</t>
        </is>
      </c>
      <c r="E79" s="19" t="n">
        <v>8</v>
      </c>
      <c r="F79" s="19" t="n">
        <v>3</v>
      </c>
      <c r="G79" s="20">
        <f>IF(F79&gt;0, MIN(F79, 2), 0)</f>
        <v/>
      </c>
      <c r="H79" s="20">
        <f>IF(F79&gt;2, F79-2, 0)</f>
        <v/>
      </c>
      <c r="I79" s="19" t="n">
        <v>0</v>
      </c>
      <c r="J79" s="19" t="n">
        <v>0</v>
      </c>
      <c r="K79" s="19" t="n">
        <v>0</v>
      </c>
      <c r="L79" s="21" t="inlineStr">
        <is>
          <t>物料盤點</t>
        </is>
      </c>
    </row>
    <row r="80">
      <c r="A80" s="8" t="inlineStr">
        <is>
          <t>2026/09/07</t>
        </is>
      </c>
      <c r="B80" s="8" t="inlineStr">
        <is>
          <t>EMP04</t>
        </is>
      </c>
      <c r="C80" s="8" t="inlineStr">
        <is>
          <t>黃國榮</t>
        </is>
      </c>
      <c r="D80" s="8" t="inlineStr">
        <is>
          <t>出勤正常</t>
        </is>
      </c>
      <c r="E80" s="19" t="n">
        <v>8</v>
      </c>
      <c r="F80" s="19" t="n">
        <v>0</v>
      </c>
      <c r="G80" s="20">
        <f>IF(F80&gt;0, MIN(F80, 2), 0)</f>
        <v/>
      </c>
      <c r="H80" s="20">
        <f>IF(F80&gt;2, F80-2, 0)</f>
        <v/>
      </c>
      <c r="I80" s="19" t="n">
        <v>0</v>
      </c>
      <c r="J80" s="19" t="n">
        <v>0</v>
      </c>
      <c r="K80" s="19" t="n">
        <v>0</v>
      </c>
      <c r="L80" s="21" t="inlineStr"/>
    </row>
    <row r="81">
      <c r="A81" s="8" t="inlineStr">
        <is>
          <t>2026/09/07</t>
        </is>
      </c>
      <c r="B81" s="8" t="inlineStr">
        <is>
          <t>EMP05</t>
        </is>
      </c>
      <c r="C81" s="8" t="inlineStr">
        <is>
          <t>李雅婷</t>
        </is>
      </c>
      <c r="D81" s="8" t="inlineStr">
        <is>
          <t>請假</t>
        </is>
      </c>
      <c r="E81" s="19" t="n">
        <v>0</v>
      </c>
      <c r="F81" s="19" t="n">
        <v>0</v>
      </c>
      <c r="G81" s="20">
        <f>IF(F81&gt;0, MIN(F81, 2), 0)</f>
        <v/>
      </c>
      <c r="H81" s="20">
        <f>IF(F81&gt;2, F81-2, 0)</f>
        <v/>
      </c>
      <c r="I81" s="19" t="n">
        <v>8</v>
      </c>
      <c r="J81" s="19" t="n">
        <v>0</v>
      </c>
      <c r="K81" s="19" t="n">
        <v>0</v>
      </c>
      <c r="L81" s="21" t="inlineStr">
        <is>
          <t>事假1天(8H)</t>
        </is>
      </c>
    </row>
    <row r="82">
      <c r="A82" s="8" t="inlineStr">
        <is>
          <t>2026/09/07</t>
        </is>
      </c>
      <c r="B82" s="8" t="inlineStr">
        <is>
          <t>EMP06</t>
        </is>
      </c>
      <c r="C82" s="8" t="inlineStr">
        <is>
          <t>王俊傑</t>
        </is>
      </c>
      <c r="D82" s="8" t="inlineStr">
        <is>
          <t>出勤正常</t>
        </is>
      </c>
      <c r="E82" s="19" t="n">
        <v>8</v>
      </c>
      <c r="F82" s="19" t="n">
        <v>0</v>
      </c>
      <c r="G82" s="20">
        <f>IF(F82&gt;0, MIN(F82, 2), 0)</f>
        <v/>
      </c>
      <c r="H82" s="20">
        <f>IF(F82&gt;2, F82-2, 0)</f>
        <v/>
      </c>
      <c r="I82" s="19" t="n">
        <v>0</v>
      </c>
      <c r="J82" s="19" t="n">
        <v>0</v>
      </c>
      <c r="K82" s="19" t="n">
        <v>0</v>
      </c>
      <c r="L82" s="21" t="inlineStr"/>
    </row>
    <row r="83">
      <c r="A83" s="8" t="inlineStr">
        <is>
          <t>2026/09/07</t>
        </is>
      </c>
      <c r="B83" s="8" t="inlineStr">
        <is>
          <t>EMP07</t>
        </is>
      </c>
      <c r="C83" s="8" t="inlineStr">
        <is>
          <t>吳佩芬</t>
        </is>
      </c>
      <c r="D83" s="8" t="inlineStr">
        <is>
          <t>出勤正常</t>
        </is>
      </c>
      <c r="E83" s="19" t="n">
        <v>8</v>
      </c>
      <c r="F83" s="19" t="n">
        <v>0</v>
      </c>
      <c r="G83" s="20">
        <f>IF(F83&gt;0, MIN(F83, 2), 0)</f>
        <v/>
      </c>
      <c r="H83" s="20">
        <f>IF(F83&gt;2, F83-2, 0)</f>
        <v/>
      </c>
      <c r="I83" s="19" t="n">
        <v>0</v>
      </c>
      <c r="J83" s="19" t="n">
        <v>0</v>
      </c>
      <c r="K83" s="19" t="n">
        <v>0</v>
      </c>
      <c r="L83" s="21" t="inlineStr"/>
    </row>
    <row r="84">
      <c r="A84" s="8" t="inlineStr">
        <is>
          <t>2026/09/07</t>
        </is>
      </c>
      <c r="B84" s="8" t="inlineStr">
        <is>
          <t>EMP08</t>
        </is>
      </c>
      <c r="C84" s="8" t="inlineStr">
        <is>
          <t>劉家豪</t>
        </is>
      </c>
      <c r="D84" s="8" t="inlineStr">
        <is>
          <t>出勤正常</t>
        </is>
      </c>
      <c r="E84" s="19" t="n">
        <v>8</v>
      </c>
      <c r="F84" s="19" t="n">
        <v>4</v>
      </c>
      <c r="G84" s="20">
        <f>IF(F84&gt;0, MIN(F84, 2), 0)</f>
        <v/>
      </c>
      <c r="H84" s="20">
        <f>IF(F84&gt;2, F84-2, 0)</f>
        <v/>
      </c>
      <c r="I84" s="19" t="n">
        <v>0</v>
      </c>
      <c r="J84" s="19" t="n">
        <v>0</v>
      </c>
      <c r="K84" s="19" t="n">
        <v>0</v>
      </c>
      <c r="L84" s="21" t="inlineStr">
        <is>
          <t>新模試機</t>
        </is>
      </c>
    </row>
    <row r="85">
      <c r="A85" s="8" t="inlineStr">
        <is>
          <t>2026/09/07</t>
        </is>
      </c>
      <c r="B85" s="8" t="inlineStr">
        <is>
          <t>EMP09</t>
        </is>
      </c>
      <c r="C85" s="8" t="inlineStr">
        <is>
          <t>蔡佳蓉</t>
        </is>
      </c>
      <c r="D85" s="8" t="inlineStr">
        <is>
          <t>出勤正常</t>
        </is>
      </c>
      <c r="E85" s="19" t="n">
        <v>8</v>
      </c>
      <c r="F85" s="19" t="n">
        <v>0</v>
      </c>
      <c r="G85" s="20">
        <f>IF(F85&gt;0, MIN(F85, 2), 0)</f>
        <v/>
      </c>
      <c r="H85" s="20">
        <f>IF(F85&gt;2, F85-2, 0)</f>
        <v/>
      </c>
      <c r="I85" s="19" t="n">
        <v>0</v>
      </c>
      <c r="J85" s="19" t="n">
        <v>0</v>
      </c>
      <c r="K85" s="19" t="n">
        <v>0</v>
      </c>
      <c r="L85" s="21" t="inlineStr"/>
    </row>
    <row r="86">
      <c r="A86" s="8" t="inlineStr">
        <is>
          <t>2026/09/07</t>
        </is>
      </c>
      <c r="B86" s="8" t="inlineStr">
        <is>
          <t>EMP10</t>
        </is>
      </c>
      <c r="C86" s="8" t="inlineStr">
        <is>
          <t>許博凱</t>
        </is>
      </c>
      <c r="D86" s="8" t="inlineStr">
        <is>
          <t>出勤正常</t>
        </is>
      </c>
      <c r="E86" s="19" t="n">
        <v>8</v>
      </c>
      <c r="F86" s="19" t="n">
        <v>0</v>
      </c>
      <c r="G86" s="20">
        <f>IF(F86&gt;0, MIN(F86, 2), 0)</f>
        <v/>
      </c>
      <c r="H86" s="20">
        <f>IF(F86&gt;2, F86-2, 0)</f>
        <v/>
      </c>
      <c r="I86" s="19" t="n">
        <v>0</v>
      </c>
      <c r="J86" s="19" t="n">
        <v>0</v>
      </c>
      <c r="K86" s="19" t="n">
        <v>0</v>
      </c>
      <c r="L86" s="21" t="inlineStr"/>
    </row>
    <row r="87">
      <c r="A87" s="8" t="inlineStr">
        <is>
          <t>2026/09/07</t>
        </is>
      </c>
      <c r="B87" s="8" t="inlineStr">
        <is>
          <t>EMP11</t>
        </is>
      </c>
      <c r="C87" s="8" t="inlineStr">
        <is>
          <t>鄭淑芬</t>
        </is>
      </c>
      <c r="D87" s="8" t="inlineStr">
        <is>
          <t>出勤正常</t>
        </is>
      </c>
      <c r="E87" s="19" t="n">
        <v>8</v>
      </c>
      <c r="F87" s="19" t="n">
        <v>0</v>
      </c>
      <c r="G87" s="20">
        <f>IF(F87&gt;0, MIN(F87, 2), 0)</f>
        <v/>
      </c>
      <c r="H87" s="20">
        <f>IF(F87&gt;2, F87-2, 0)</f>
        <v/>
      </c>
      <c r="I87" s="19" t="n">
        <v>0</v>
      </c>
      <c r="J87" s="19" t="n">
        <v>0</v>
      </c>
      <c r="K87" s="19" t="n">
        <v>0</v>
      </c>
      <c r="L87" s="21" t="inlineStr"/>
    </row>
    <row r="88">
      <c r="A88" s="8" t="inlineStr">
        <is>
          <t>2026/09/07</t>
        </is>
      </c>
      <c r="B88" s="8" t="inlineStr">
        <is>
          <t>EMP12</t>
        </is>
      </c>
      <c r="C88" s="8" t="inlineStr">
        <is>
          <t>謝宗翰</t>
        </is>
      </c>
      <c r="D88" s="8" t="inlineStr">
        <is>
          <t>出勤正常</t>
        </is>
      </c>
      <c r="E88" s="19" t="n">
        <v>8</v>
      </c>
      <c r="F88" s="19" t="n">
        <v>0</v>
      </c>
      <c r="G88" s="20">
        <f>IF(F88&gt;0, MIN(F88, 2), 0)</f>
        <v/>
      </c>
      <c r="H88" s="20">
        <f>IF(F88&gt;2, F88-2, 0)</f>
        <v/>
      </c>
      <c r="I88" s="19" t="n">
        <v>0</v>
      </c>
      <c r="J88" s="19" t="n">
        <v>0</v>
      </c>
      <c r="K88" s="19" t="n">
        <v>0</v>
      </c>
      <c r="L88" s="21" t="inlineStr"/>
    </row>
    <row r="89">
      <c r="A89" s="8" t="inlineStr">
        <is>
          <t>2026/09/08</t>
        </is>
      </c>
      <c r="B89" s="8" t="inlineStr">
        <is>
          <t>EMP01</t>
        </is>
      </c>
      <c r="C89" s="8" t="inlineStr">
        <is>
          <t>陳建宏</t>
        </is>
      </c>
      <c r="D89" s="8" t="inlineStr">
        <is>
          <t>出勤正常</t>
        </is>
      </c>
      <c r="E89" s="19" t="n">
        <v>8</v>
      </c>
      <c r="F89" s="19" t="n">
        <v>3</v>
      </c>
      <c r="G89" s="20">
        <f>IF(F89&gt;0, MIN(F89, 2), 0)</f>
        <v/>
      </c>
      <c r="H89" s="20">
        <f>IF(F89&gt;2, F89-2, 0)</f>
        <v/>
      </c>
      <c r="I89" s="19" t="n">
        <v>0</v>
      </c>
      <c r="J89" s="19" t="n">
        <v>0</v>
      </c>
      <c r="K89" s="19" t="n">
        <v>0</v>
      </c>
      <c r="L89" s="21" t="inlineStr">
        <is>
          <t>趕單加班</t>
        </is>
      </c>
    </row>
    <row r="90">
      <c r="A90" s="8" t="inlineStr">
        <is>
          <t>2026/09/08</t>
        </is>
      </c>
      <c r="B90" s="8" t="inlineStr">
        <is>
          <t>EMP02</t>
        </is>
      </c>
      <c r="C90" s="8" t="inlineStr">
        <is>
          <t>林美玲</t>
        </is>
      </c>
      <c r="D90" s="8" t="inlineStr">
        <is>
          <t>出勤正常</t>
        </is>
      </c>
      <c r="E90" s="19" t="n">
        <v>8</v>
      </c>
      <c r="F90" s="19" t="n">
        <v>0</v>
      </c>
      <c r="G90" s="20">
        <f>IF(F90&gt;0, MIN(F90, 2), 0)</f>
        <v/>
      </c>
      <c r="H90" s="20">
        <f>IF(F90&gt;2, F90-2, 0)</f>
        <v/>
      </c>
      <c r="I90" s="19" t="n">
        <v>0</v>
      </c>
      <c r="J90" s="19" t="n">
        <v>0</v>
      </c>
      <c r="K90" s="19" t="n">
        <v>0</v>
      </c>
      <c r="L90" s="21" t="inlineStr"/>
    </row>
    <row r="91">
      <c r="A91" s="8" t="inlineStr">
        <is>
          <t>2026/09/08</t>
        </is>
      </c>
      <c r="B91" s="8" t="inlineStr">
        <is>
          <t>EMP03</t>
        </is>
      </c>
      <c r="C91" s="8" t="inlineStr">
        <is>
          <t>張志成</t>
        </is>
      </c>
      <c r="D91" s="8" t="inlineStr">
        <is>
          <t>出勤正常</t>
        </is>
      </c>
      <c r="E91" s="19" t="n">
        <v>8</v>
      </c>
      <c r="F91" s="19" t="n">
        <v>0</v>
      </c>
      <c r="G91" s="20">
        <f>IF(F91&gt;0, MIN(F91, 2), 0)</f>
        <v/>
      </c>
      <c r="H91" s="20">
        <f>IF(F91&gt;2, F91-2, 0)</f>
        <v/>
      </c>
      <c r="I91" s="19" t="n">
        <v>0</v>
      </c>
      <c r="J91" s="19" t="n">
        <v>0</v>
      </c>
      <c r="K91" s="19" t="n">
        <v>0</v>
      </c>
      <c r="L91" s="21" t="inlineStr"/>
    </row>
    <row r="92">
      <c r="A92" s="8" t="inlineStr">
        <is>
          <t>2026/09/08</t>
        </is>
      </c>
      <c r="B92" s="8" t="inlineStr">
        <is>
          <t>EMP04</t>
        </is>
      </c>
      <c r="C92" s="8" t="inlineStr">
        <is>
          <t>黃國榮</t>
        </is>
      </c>
      <c r="D92" s="8" t="inlineStr">
        <is>
          <t>出勤正常</t>
        </is>
      </c>
      <c r="E92" s="19" t="n">
        <v>8</v>
      </c>
      <c r="F92" s="19" t="n">
        <v>4</v>
      </c>
      <c r="G92" s="20">
        <f>IF(F92&gt;0, MIN(F92, 2), 0)</f>
        <v/>
      </c>
      <c r="H92" s="20">
        <f>IF(F92&gt;2, F92-2, 0)</f>
        <v/>
      </c>
      <c r="I92" s="19" t="n">
        <v>0</v>
      </c>
      <c r="J92" s="19" t="n">
        <v>0</v>
      </c>
      <c r="K92" s="19" t="n">
        <v>0</v>
      </c>
      <c r="L92" s="21" t="inlineStr">
        <is>
          <t>大量生產</t>
        </is>
      </c>
    </row>
    <row r="93">
      <c r="A93" s="8" t="inlineStr">
        <is>
          <t>2026/09/08</t>
        </is>
      </c>
      <c r="B93" s="8" t="inlineStr">
        <is>
          <t>EMP05</t>
        </is>
      </c>
      <c r="C93" s="8" t="inlineStr">
        <is>
          <t>李雅婷</t>
        </is>
      </c>
      <c r="D93" s="8" t="inlineStr">
        <is>
          <t>請假</t>
        </is>
      </c>
      <c r="E93" s="19" t="n">
        <v>0</v>
      </c>
      <c r="F93" s="19" t="n">
        <v>0</v>
      </c>
      <c r="G93" s="20">
        <f>IF(F93&gt;0, MIN(F93, 2), 0)</f>
        <v/>
      </c>
      <c r="H93" s="20">
        <f>IF(F93&gt;2, F93-2, 0)</f>
        <v/>
      </c>
      <c r="I93" s="19" t="n">
        <v>8</v>
      </c>
      <c r="J93" s="19" t="n">
        <v>30</v>
      </c>
      <c r="K93" s="19" t="n">
        <v>0</v>
      </c>
      <c r="L93" s="21" t="inlineStr">
        <is>
          <t>事假1天(8H)，遲到30分</t>
        </is>
      </c>
    </row>
    <row r="94">
      <c r="A94" s="8" t="inlineStr">
        <is>
          <t>2026/09/08</t>
        </is>
      </c>
      <c r="B94" s="8" t="inlineStr">
        <is>
          <t>EMP06</t>
        </is>
      </c>
      <c r="C94" s="8" t="inlineStr">
        <is>
          <t>王俊傑</t>
        </is>
      </c>
      <c r="D94" s="8" t="inlineStr">
        <is>
          <t>出勤正常</t>
        </is>
      </c>
      <c r="E94" s="19" t="n">
        <v>8</v>
      </c>
      <c r="F94" s="19" t="n">
        <v>0</v>
      </c>
      <c r="G94" s="20">
        <f>IF(F94&gt;0, MIN(F94, 2), 0)</f>
        <v/>
      </c>
      <c r="H94" s="20">
        <f>IF(F94&gt;2, F94-2, 0)</f>
        <v/>
      </c>
      <c r="I94" s="19" t="n">
        <v>0</v>
      </c>
      <c r="J94" s="19" t="n">
        <v>0</v>
      </c>
      <c r="K94" s="19" t="n">
        <v>0</v>
      </c>
      <c r="L94" s="21" t="inlineStr"/>
    </row>
    <row r="95">
      <c r="A95" s="8" t="inlineStr">
        <is>
          <t>2026/09/08</t>
        </is>
      </c>
      <c r="B95" s="8" t="inlineStr">
        <is>
          <t>EMP07</t>
        </is>
      </c>
      <c r="C95" s="8" t="inlineStr">
        <is>
          <t>吳佩芬</t>
        </is>
      </c>
      <c r="D95" s="8" t="inlineStr">
        <is>
          <t>出勤正常</t>
        </is>
      </c>
      <c r="E95" s="19" t="n">
        <v>8</v>
      </c>
      <c r="F95" s="19" t="n">
        <v>0</v>
      </c>
      <c r="G95" s="20">
        <f>IF(F95&gt;0, MIN(F95, 2), 0)</f>
        <v/>
      </c>
      <c r="H95" s="20">
        <f>IF(F95&gt;2, F95-2, 0)</f>
        <v/>
      </c>
      <c r="I95" s="19" t="n">
        <v>0</v>
      </c>
      <c r="J95" s="19" t="n">
        <v>0</v>
      </c>
      <c r="K95" s="19" t="n">
        <v>0</v>
      </c>
      <c r="L95" s="21" t="inlineStr"/>
    </row>
    <row r="96">
      <c r="A96" s="8" t="inlineStr">
        <is>
          <t>2026/09/08</t>
        </is>
      </c>
      <c r="B96" s="8" t="inlineStr">
        <is>
          <t>EMP08</t>
        </is>
      </c>
      <c r="C96" s="8" t="inlineStr">
        <is>
          <t>劉家豪</t>
        </is>
      </c>
      <c r="D96" s="8" t="inlineStr">
        <is>
          <t>出勤正常</t>
        </is>
      </c>
      <c r="E96" s="19" t="n">
        <v>8</v>
      </c>
      <c r="F96" s="19" t="n">
        <v>0</v>
      </c>
      <c r="G96" s="20">
        <f>IF(F96&gt;0, MIN(F96, 2), 0)</f>
        <v/>
      </c>
      <c r="H96" s="20">
        <f>IF(F96&gt;2, F96-2, 0)</f>
        <v/>
      </c>
      <c r="I96" s="19" t="n">
        <v>0</v>
      </c>
      <c r="J96" s="19" t="n">
        <v>0</v>
      </c>
      <c r="K96" s="19" t="n">
        <v>0</v>
      </c>
      <c r="L96" s="21" t="inlineStr"/>
    </row>
    <row r="97">
      <c r="A97" s="8" t="inlineStr">
        <is>
          <t>2026/09/08</t>
        </is>
      </c>
      <c r="B97" s="8" t="inlineStr">
        <is>
          <t>EMP09</t>
        </is>
      </c>
      <c r="C97" s="8" t="inlineStr">
        <is>
          <t>蔡佳蓉</t>
        </is>
      </c>
      <c r="D97" s="8" t="inlineStr">
        <is>
          <t>出勤正常</t>
        </is>
      </c>
      <c r="E97" s="19" t="n">
        <v>8</v>
      </c>
      <c r="F97" s="19" t="n">
        <v>2</v>
      </c>
      <c r="G97" s="20">
        <f>IF(F97&gt;0, MIN(F97, 2), 0)</f>
        <v/>
      </c>
      <c r="H97" s="20">
        <f>IF(F97&gt;2, F97-2, 0)</f>
        <v/>
      </c>
      <c r="I97" s="19" t="n">
        <v>0</v>
      </c>
      <c r="J97" s="19" t="n">
        <v>0</v>
      </c>
      <c r="K97" s="19" t="n">
        <v>0</v>
      </c>
      <c r="L97" s="21" t="inlineStr">
        <is>
          <t>包裝趕工</t>
        </is>
      </c>
    </row>
    <row r="98">
      <c r="A98" s="8" t="inlineStr">
        <is>
          <t>2026/09/08</t>
        </is>
      </c>
      <c r="B98" s="8" t="inlineStr">
        <is>
          <t>EMP10</t>
        </is>
      </c>
      <c r="C98" s="8" t="inlineStr">
        <is>
          <t>許博凱</t>
        </is>
      </c>
      <c r="D98" s="8" t="inlineStr">
        <is>
          <t>請假</t>
        </is>
      </c>
      <c r="E98" s="19" t="n">
        <v>0</v>
      </c>
      <c r="F98" s="19" t="n">
        <v>0</v>
      </c>
      <c r="G98" s="20">
        <f>IF(F98&gt;0, MIN(F98, 2), 0)</f>
        <v/>
      </c>
      <c r="H98" s="20">
        <f>IF(F98&gt;2, F98-2, 0)</f>
        <v/>
      </c>
      <c r="I98" s="19" t="n">
        <v>8</v>
      </c>
      <c r="J98" s="19" t="n">
        <v>0</v>
      </c>
      <c r="K98" s="19" t="n">
        <v>0</v>
      </c>
      <c r="L98" s="21" t="inlineStr">
        <is>
          <t>事假1天(8H)</t>
        </is>
      </c>
    </row>
    <row r="99">
      <c r="A99" s="8" t="inlineStr">
        <is>
          <t>2026/09/08</t>
        </is>
      </c>
      <c r="B99" s="8" t="inlineStr">
        <is>
          <t>EMP11</t>
        </is>
      </c>
      <c r="C99" s="8" t="inlineStr">
        <is>
          <t>鄭淑芬</t>
        </is>
      </c>
      <c r="D99" s="8" t="inlineStr">
        <is>
          <t>出勤正常</t>
        </is>
      </c>
      <c r="E99" s="19" t="n">
        <v>8</v>
      </c>
      <c r="F99" s="19" t="n">
        <v>2</v>
      </c>
      <c r="G99" s="20">
        <f>IF(F99&gt;0, MIN(F99, 2), 0)</f>
        <v/>
      </c>
      <c r="H99" s="20">
        <f>IF(F99&gt;2, F99-2, 0)</f>
        <v/>
      </c>
      <c r="I99" s="19" t="n">
        <v>0</v>
      </c>
      <c r="J99" s="19" t="n">
        <v>0</v>
      </c>
      <c r="K99" s="19" t="n">
        <v>0</v>
      </c>
      <c r="L99" s="21" t="inlineStr">
        <is>
          <t>常規品檢</t>
        </is>
      </c>
    </row>
    <row r="100">
      <c r="A100" s="8" t="inlineStr">
        <is>
          <t>2026/09/08</t>
        </is>
      </c>
      <c r="B100" s="8" t="inlineStr">
        <is>
          <t>EMP12</t>
        </is>
      </c>
      <c r="C100" s="8" t="inlineStr">
        <is>
          <t>謝宗翰</t>
        </is>
      </c>
      <c r="D100" s="8" t="inlineStr">
        <is>
          <t>出勤正常</t>
        </is>
      </c>
      <c r="E100" s="19" t="n">
        <v>8</v>
      </c>
      <c r="F100" s="19" t="n">
        <v>3</v>
      </c>
      <c r="G100" s="20">
        <f>IF(F100&gt;0, MIN(F100, 2), 0)</f>
        <v/>
      </c>
      <c r="H100" s="20">
        <f>IF(F100&gt;2, F100-2, 0)</f>
        <v/>
      </c>
      <c r="I100" s="19" t="n">
        <v>0</v>
      </c>
      <c r="J100" s="19" t="n">
        <v>0</v>
      </c>
      <c r="K100" s="19" t="n">
        <v>0</v>
      </c>
      <c r="L100" s="21" t="inlineStr">
        <is>
          <t>廠務修繕</t>
        </is>
      </c>
    </row>
    <row r="101">
      <c r="A101" s="8" t="inlineStr">
        <is>
          <t>2026/09/09</t>
        </is>
      </c>
      <c r="B101" s="8" t="inlineStr">
        <is>
          <t>EMP01</t>
        </is>
      </c>
      <c r="C101" s="8" t="inlineStr">
        <is>
          <t>陳建宏</t>
        </is>
      </c>
      <c r="D101" s="8" t="inlineStr">
        <is>
          <t>出勤正常</t>
        </is>
      </c>
      <c r="E101" s="19" t="n">
        <v>8</v>
      </c>
      <c r="F101" s="19" t="n">
        <v>0</v>
      </c>
      <c r="G101" s="20">
        <f>IF(F101&gt;0, MIN(F101, 2), 0)</f>
        <v/>
      </c>
      <c r="H101" s="20">
        <f>IF(F101&gt;2, F101-2, 0)</f>
        <v/>
      </c>
      <c r="I101" s="19" t="n">
        <v>0</v>
      </c>
      <c r="J101" s="19" t="n">
        <v>0</v>
      </c>
      <c r="K101" s="19" t="n">
        <v>0</v>
      </c>
      <c r="L101" s="21" t="inlineStr"/>
    </row>
    <row r="102">
      <c r="A102" s="8" t="inlineStr">
        <is>
          <t>2026/09/09</t>
        </is>
      </c>
      <c r="B102" s="8" t="inlineStr">
        <is>
          <t>EMP02</t>
        </is>
      </c>
      <c r="C102" s="8" t="inlineStr">
        <is>
          <t>林美玲</t>
        </is>
      </c>
      <c r="D102" s="8" t="inlineStr">
        <is>
          <t>出勤正常</t>
        </is>
      </c>
      <c r="E102" s="19" t="n">
        <v>8</v>
      </c>
      <c r="F102" s="19" t="n">
        <v>0</v>
      </c>
      <c r="G102" s="20">
        <f>IF(F102&gt;0, MIN(F102, 2), 0)</f>
        <v/>
      </c>
      <c r="H102" s="20">
        <f>IF(F102&gt;2, F102-2, 0)</f>
        <v/>
      </c>
      <c r="I102" s="19" t="n">
        <v>0</v>
      </c>
      <c r="J102" s="19" t="n">
        <v>0</v>
      </c>
      <c r="K102" s="19" t="n">
        <v>0</v>
      </c>
      <c r="L102" s="21" t="inlineStr"/>
    </row>
    <row r="103">
      <c r="A103" s="8" t="inlineStr">
        <is>
          <t>2026/09/09</t>
        </is>
      </c>
      <c r="B103" s="8" t="inlineStr">
        <is>
          <t>EMP03</t>
        </is>
      </c>
      <c r="C103" s="8" t="inlineStr">
        <is>
          <t>張志成</t>
        </is>
      </c>
      <c r="D103" s="8" t="inlineStr">
        <is>
          <t>出勤正常</t>
        </is>
      </c>
      <c r="E103" s="19" t="n">
        <v>8</v>
      </c>
      <c r="F103" s="19" t="n">
        <v>0</v>
      </c>
      <c r="G103" s="20">
        <f>IF(F103&gt;0, MIN(F103, 2), 0)</f>
        <v/>
      </c>
      <c r="H103" s="20">
        <f>IF(F103&gt;2, F103-2, 0)</f>
        <v/>
      </c>
      <c r="I103" s="19" t="n">
        <v>0</v>
      </c>
      <c r="J103" s="19" t="n">
        <v>0</v>
      </c>
      <c r="K103" s="19" t="n">
        <v>0</v>
      </c>
      <c r="L103" s="21" t="inlineStr"/>
    </row>
    <row r="104">
      <c r="A104" s="8" t="inlineStr">
        <is>
          <t>2026/09/09</t>
        </is>
      </c>
      <c r="B104" s="8" t="inlineStr">
        <is>
          <t>EMP04</t>
        </is>
      </c>
      <c r="C104" s="8" t="inlineStr">
        <is>
          <t>黃國榮</t>
        </is>
      </c>
      <c r="D104" s="8" t="inlineStr">
        <is>
          <t>出勤正常</t>
        </is>
      </c>
      <c r="E104" s="19" t="n">
        <v>8</v>
      </c>
      <c r="F104" s="19" t="n">
        <v>0</v>
      </c>
      <c r="G104" s="20">
        <f>IF(F104&gt;0, MIN(F104, 2), 0)</f>
        <v/>
      </c>
      <c r="H104" s="20">
        <f>IF(F104&gt;2, F104-2, 0)</f>
        <v/>
      </c>
      <c r="I104" s="19" t="n">
        <v>0</v>
      </c>
      <c r="J104" s="19" t="n">
        <v>0</v>
      </c>
      <c r="K104" s="19" t="n">
        <v>0</v>
      </c>
      <c r="L104" s="21" t="inlineStr"/>
    </row>
    <row r="105">
      <c r="A105" s="8" t="inlineStr">
        <is>
          <t>2026/09/09</t>
        </is>
      </c>
      <c r="B105" s="8" t="inlineStr">
        <is>
          <t>EMP05</t>
        </is>
      </c>
      <c r="C105" s="8" t="inlineStr">
        <is>
          <t>李雅婷</t>
        </is>
      </c>
      <c r="D105" s="8" t="inlineStr">
        <is>
          <t>出勤正常</t>
        </is>
      </c>
      <c r="E105" s="19" t="n">
        <v>8</v>
      </c>
      <c r="F105" s="19" t="n">
        <v>0</v>
      </c>
      <c r="G105" s="20">
        <f>IF(F105&gt;0, MIN(F105, 2), 0)</f>
        <v/>
      </c>
      <c r="H105" s="20">
        <f>IF(F105&gt;2, F105-2, 0)</f>
        <v/>
      </c>
      <c r="I105" s="19" t="n">
        <v>0</v>
      </c>
      <c r="J105" s="19" t="n">
        <v>0</v>
      </c>
      <c r="K105" s="19" t="n">
        <v>0</v>
      </c>
      <c r="L105" s="21" t="inlineStr"/>
    </row>
    <row r="106">
      <c r="A106" s="8" t="inlineStr">
        <is>
          <t>2026/09/09</t>
        </is>
      </c>
      <c r="B106" s="8" t="inlineStr">
        <is>
          <t>EMP06</t>
        </is>
      </c>
      <c r="C106" s="8" t="inlineStr">
        <is>
          <t>王俊傑</t>
        </is>
      </c>
      <c r="D106" s="8" t="inlineStr">
        <is>
          <t>出勤正常</t>
        </is>
      </c>
      <c r="E106" s="19" t="n">
        <v>8</v>
      </c>
      <c r="F106" s="19" t="n">
        <v>3</v>
      </c>
      <c r="G106" s="20">
        <f>IF(F106&gt;0, MIN(F106, 2), 0)</f>
        <v/>
      </c>
      <c r="H106" s="20">
        <f>IF(F106&gt;2, F106-2, 0)</f>
        <v/>
      </c>
      <c r="I106" s="19" t="n">
        <v>0</v>
      </c>
      <c r="J106" s="19" t="n">
        <v>0</v>
      </c>
      <c r="K106" s="19" t="n">
        <v>0</v>
      </c>
      <c r="L106" s="21" t="inlineStr">
        <is>
          <t>組裝趕單</t>
        </is>
      </c>
    </row>
    <row r="107">
      <c r="A107" s="8" t="inlineStr">
        <is>
          <t>2026/09/09</t>
        </is>
      </c>
      <c r="B107" s="8" t="inlineStr">
        <is>
          <t>EMP07</t>
        </is>
      </c>
      <c r="C107" s="8" t="inlineStr">
        <is>
          <t>吳佩芬</t>
        </is>
      </c>
      <c r="D107" s="8" t="inlineStr">
        <is>
          <t>出勤正常</t>
        </is>
      </c>
      <c r="E107" s="19" t="n">
        <v>8</v>
      </c>
      <c r="F107" s="19" t="n">
        <v>0</v>
      </c>
      <c r="G107" s="20">
        <f>IF(F107&gt;0, MIN(F107, 2), 0)</f>
        <v/>
      </c>
      <c r="H107" s="20">
        <f>IF(F107&gt;2, F107-2, 0)</f>
        <v/>
      </c>
      <c r="I107" s="19" t="n">
        <v>0</v>
      </c>
      <c r="J107" s="19" t="n">
        <v>0</v>
      </c>
      <c r="K107" s="19" t="n">
        <v>0</v>
      </c>
      <c r="L107" s="21" t="inlineStr"/>
    </row>
    <row r="108">
      <c r="A108" s="8" t="inlineStr">
        <is>
          <t>2026/09/09</t>
        </is>
      </c>
      <c r="B108" s="8" t="inlineStr">
        <is>
          <t>EMP08</t>
        </is>
      </c>
      <c r="C108" s="8" t="inlineStr">
        <is>
          <t>劉家豪</t>
        </is>
      </c>
      <c r="D108" s="8" t="inlineStr">
        <is>
          <t>出勤正常</t>
        </is>
      </c>
      <c r="E108" s="19" t="n">
        <v>8</v>
      </c>
      <c r="F108" s="19" t="n">
        <v>0</v>
      </c>
      <c r="G108" s="20">
        <f>IF(F108&gt;0, MIN(F108, 2), 0)</f>
        <v/>
      </c>
      <c r="H108" s="20">
        <f>IF(F108&gt;2, F108-2, 0)</f>
        <v/>
      </c>
      <c r="I108" s="19" t="n">
        <v>0</v>
      </c>
      <c r="J108" s="19" t="n">
        <v>0</v>
      </c>
      <c r="K108" s="19" t="n">
        <v>0</v>
      </c>
      <c r="L108" s="21" t="inlineStr"/>
    </row>
    <row r="109">
      <c r="A109" s="8" t="inlineStr">
        <is>
          <t>2026/09/09</t>
        </is>
      </c>
      <c r="B109" s="8" t="inlineStr">
        <is>
          <t>EMP09</t>
        </is>
      </c>
      <c r="C109" s="8" t="inlineStr">
        <is>
          <t>蔡佳蓉</t>
        </is>
      </c>
      <c r="D109" s="8" t="inlineStr">
        <is>
          <t>出勤正常</t>
        </is>
      </c>
      <c r="E109" s="19" t="n">
        <v>8</v>
      </c>
      <c r="F109" s="19" t="n">
        <v>0</v>
      </c>
      <c r="G109" s="20">
        <f>IF(F109&gt;0, MIN(F109, 2), 0)</f>
        <v/>
      </c>
      <c r="H109" s="20">
        <f>IF(F109&gt;2, F109-2, 0)</f>
        <v/>
      </c>
      <c r="I109" s="19" t="n">
        <v>0</v>
      </c>
      <c r="J109" s="19" t="n">
        <v>0</v>
      </c>
      <c r="K109" s="19" t="n">
        <v>0</v>
      </c>
      <c r="L109" s="21" t="inlineStr"/>
    </row>
    <row r="110">
      <c r="A110" s="8" t="inlineStr">
        <is>
          <t>2026/09/09</t>
        </is>
      </c>
      <c r="B110" s="8" t="inlineStr">
        <is>
          <t>EMP10</t>
        </is>
      </c>
      <c r="C110" s="8" t="inlineStr">
        <is>
          <t>許博凱</t>
        </is>
      </c>
      <c r="D110" s="8" t="inlineStr">
        <is>
          <t>請假</t>
        </is>
      </c>
      <c r="E110" s="19" t="n">
        <v>0</v>
      </c>
      <c r="F110" s="19" t="n">
        <v>0</v>
      </c>
      <c r="G110" s="20">
        <f>IF(F110&gt;0, MIN(F110, 2), 0)</f>
        <v/>
      </c>
      <c r="H110" s="20">
        <f>IF(F110&gt;2, F110-2, 0)</f>
        <v/>
      </c>
      <c r="I110" s="19" t="n">
        <v>8</v>
      </c>
      <c r="J110" s="19" t="n">
        <v>0</v>
      </c>
      <c r="K110" s="19" t="n">
        <v>0</v>
      </c>
      <c r="L110" s="21" t="inlineStr">
        <is>
          <t>事假1天(8H)</t>
        </is>
      </c>
    </row>
    <row r="111">
      <c r="A111" s="8" t="inlineStr">
        <is>
          <t>2026/09/09</t>
        </is>
      </c>
      <c r="B111" s="8" t="inlineStr">
        <is>
          <t>EMP11</t>
        </is>
      </c>
      <c r="C111" s="8" t="inlineStr">
        <is>
          <t>鄭淑芬</t>
        </is>
      </c>
      <c r="D111" s="8" t="inlineStr">
        <is>
          <t>出勤正常</t>
        </is>
      </c>
      <c r="E111" s="19" t="n">
        <v>8</v>
      </c>
      <c r="F111" s="19" t="n">
        <v>0</v>
      </c>
      <c r="G111" s="20">
        <f>IF(F111&gt;0, MIN(F111, 2), 0)</f>
        <v/>
      </c>
      <c r="H111" s="20">
        <f>IF(F111&gt;2, F111-2, 0)</f>
        <v/>
      </c>
      <c r="I111" s="19" t="n">
        <v>0</v>
      </c>
      <c r="J111" s="19" t="n">
        <v>0</v>
      </c>
      <c r="K111" s="19" t="n">
        <v>0</v>
      </c>
      <c r="L111" s="21" t="inlineStr"/>
    </row>
    <row r="112">
      <c r="A112" s="8" t="inlineStr">
        <is>
          <t>2026/09/09</t>
        </is>
      </c>
      <c r="B112" s="8" t="inlineStr">
        <is>
          <t>EMP12</t>
        </is>
      </c>
      <c r="C112" s="8" t="inlineStr">
        <is>
          <t>謝宗翰</t>
        </is>
      </c>
      <c r="D112" s="8" t="inlineStr">
        <is>
          <t>出勤正常</t>
        </is>
      </c>
      <c r="E112" s="19" t="n">
        <v>8</v>
      </c>
      <c r="F112" s="19" t="n">
        <v>0</v>
      </c>
      <c r="G112" s="20">
        <f>IF(F112&gt;0, MIN(F112, 2), 0)</f>
        <v/>
      </c>
      <c r="H112" s="20">
        <f>IF(F112&gt;2, F112-2, 0)</f>
        <v/>
      </c>
      <c r="I112" s="19" t="n">
        <v>0</v>
      </c>
      <c r="J112" s="19" t="n">
        <v>0</v>
      </c>
      <c r="K112" s="19" t="n">
        <v>0</v>
      </c>
      <c r="L112" s="21" t="inlineStr"/>
    </row>
    <row r="113">
      <c r="A113" s="8" t="inlineStr">
        <is>
          <t>2026/09/10</t>
        </is>
      </c>
      <c r="B113" s="8" t="inlineStr">
        <is>
          <t>EMP01</t>
        </is>
      </c>
      <c r="C113" s="8" t="inlineStr">
        <is>
          <t>陳建宏</t>
        </is>
      </c>
      <c r="D113" s="8" t="inlineStr">
        <is>
          <t>出勤正常</t>
        </is>
      </c>
      <c r="E113" s="19" t="n">
        <v>8</v>
      </c>
      <c r="F113" s="19" t="n">
        <v>0</v>
      </c>
      <c r="G113" s="20">
        <f>IF(F113&gt;0, MIN(F113, 2), 0)</f>
        <v/>
      </c>
      <c r="H113" s="20">
        <f>IF(F113&gt;2, F113-2, 0)</f>
        <v/>
      </c>
      <c r="I113" s="19" t="n">
        <v>0</v>
      </c>
      <c r="J113" s="19" t="n">
        <v>0</v>
      </c>
      <c r="K113" s="19" t="n">
        <v>0</v>
      </c>
      <c r="L113" s="21" t="inlineStr"/>
    </row>
    <row r="114">
      <c r="A114" s="8" t="inlineStr">
        <is>
          <t>2026/09/10</t>
        </is>
      </c>
      <c r="B114" s="8" t="inlineStr">
        <is>
          <t>EMP02</t>
        </is>
      </c>
      <c r="C114" s="8" t="inlineStr">
        <is>
          <t>林美玲</t>
        </is>
      </c>
      <c r="D114" s="8" t="inlineStr">
        <is>
          <t>出勤正常</t>
        </is>
      </c>
      <c r="E114" s="19" t="n">
        <v>8</v>
      </c>
      <c r="F114" s="19" t="n">
        <v>2</v>
      </c>
      <c r="G114" s="20">
        <f>IF(F114&gt;0, MIN(F114, 2), 0)</f>
        <v/>
      </c>
      <c r="H114" s="20">
        <f>IF(F114&gt;2, F114-2, 0)</f>
        <v/>
      </c>
      <c r="I114" s="19" t="n">
        <v>0</v>
      </c>
      <c r="J114" s="19" t="n">
        <v>0</v>
      </c>
      <c r="K114" s="19" t="n">
        <v>0</v>
      </c>
      <c r="L114" s="21" t="inlineStr">
        <is>
          <t>常規加班</t>
        </is>
      </c>
    </row>
    <row r="115">
      <c r="A115" s="8" t="inlineStr">
        <is>
          <t>2026/09/10</t>
        </is>
      </c>
      <c r="B115" s="8" t="inlineStr">
        <is>
          <t>EMP03</t>
        </is>
      </c>
      <c r="C115" s="8" t="inlineStr">
        <is>
          <t>張志成</t>
        </is>
      </c>
      <c r="D115" s="8" t="inlineStr">
        <is>
          <t>出勤正常</t>
        </is>
      </c>
      <c r="E115" s="19" t="n">
        <v>8</v>
      </c>
      <c r="F115" s="19" t="n">
        <v>0</v>
      </c>
      <c r="G115" s="20">
        <f>IF(F115&gt;0, MIN(F115, 2), 0)</f>
        <v/>
      </c>
      <c r="H115" s="20">
        <f>IF(F115&gt;2, F115-2, 0)</f>
        <v/>
      </c>
      <c r="I115" s="19" t="n">
        <v>0</v>
      </c>
      <c r="J115" s="19" t="n">
        <v>0</v>
      </c>
      <c r="K115" s="19" t="n">
        <v>0</v>
      </c>
      <c r="L115" s="21" t="inlineStr"/>
    </row>
    <row r="116">
      <c r="A116" s="8" t="inlineStr">
        <is>
          <t>2026/09/10</t>
        </is>
      </c>
      <c r="B116" s="8" t="inlineStr">
        <is>
          <t>EMP04</t>
        </is>
      </c>
      <c r="C116" s="8" t="inlineStr">
        <is>
          <t>黃國榮</t>
        </is>
      </c>
      <c r="D116" s="8" t="inlineStr">
        <is>
          <t>出勤正常</t>
        </is>
      </c>
      <c r="E116" s="19" t="n">
        <v>8</v>
      </c>
      <c r="F116" s="19" t="n">
        <v>0</v>
      </c>
      <c r="G116" s="20">
        <f>IF(F116&gt;0, MIN(F116, 2), 0)</f>
        <v/>
      </c>
      <c r="H116" s="20">
        <f>IF(F116&gt;2, F116-2, 0)</f>
        <v/>
      </c>
      <c r="I116" s="19" t="n">
        <v>0</v>
      </c>
      <c r="J116" s="19" t="n">
        <v>0</v>
      </c>
      <c r="K116" s="19" t="n">
        <v>0</v>
      </c>
      <c r="L116" s="21" t="inlineStr"/>
    </row>
    <row r="117">
      <c r="A117" s="8" t="inlineStr">
        <is>
          <t>2026/09/10</t>
        </is>
      </c>
      <c r="B117" s="8" t="inlineStr">
        <is>
          <t>EMP05</t>
        </is>
      </c>
      <c r="C117" s="8" t="inlineStr">
        <is>
          <t>李雅婷</t>
        </is>
      </c>
      <c r="D117" s="8" t="inlineStr">
        <is>
          <t>出勤正常</t>
        </is>
      </c>
      <c r="E117" s="19" t="n">
        <v>8</v>
      </c>
      <c r="F117" s="19" t="n">
        <v>0</v>
      </c>
      <c r="G117" s="20">
        <f>IF(F117&gt;0, MIN(F117, 2), 0)</f>
        <v/>
      </c>
      <c r="H117" s="20">
        <f>IF(F117&gt;2, F117-2, 0)</f>
        <v/>
      </c>
      <c r="I117" s="19" t="n">
        <v>0</v>
      </c>
      <c r="J117" s="19" t="n">
        <v>0</v>
      </c>
      <c r="K117" s="19" t="n">
        <v>0</v>
      </c>
      <c r="L117" s="21" t="inlineStr"/>
    </row>
    <row r="118">
      <c r="A118" s="8" t="inlineStr">
        <is>
          <t>2026/09/10</t>
        </is>
      </c>
      <c r="B118" s="8" t="inlineStr">
        <is>
          <t>EMP06</t>
        </is>
      </c>
      <c r="C118" s="8" t="inlineStr">
        <is>
          <t>王俊傑</t>
        </is>
      </c>
      <c r="D118" s="8" t="inlineStr">
        <is>
          <t>出勤正常</t>
        </is>
      </c>
      <c r="E118" s="19" t="n">
        <v>8</v>
      </c>
      <c r="F118" s="19" t="n">
        <v>0</v>
      </c>
      <c r="G118" s="20">
        <f>IF(F118&gt;0, MIN(F118, 2), 0)</f>
        <v/>
      </c>
      <c r="H118" s="20">
        <f>IF(F118&gt;2, F118-2, 0)</f>
        <v/>
      </c>
      <c r="I118" s="19" t="n">
        <v>0</v>
      </c>
      <c r="J118" s="19" t="n">
        <v>0</v>
      </c>
      <c r="K118" s="19" t="n">
        <v>0</v>
      </c>
      <c r="L118" s="21" t="inlineStr"/>
    </row>
    <row r="119">
      <c r="A119" s="8" t="inlineStr">
        <is>
          <t>2026/09/10</t>
        </is>
      </c>
      <c r="B119" s="8" t="inlineStr">
        <is>
          <t>EMP07</t>
        </is>
      </c>
      <c r="C119" s="8" t="inlineStr">
        <is>
          <t>吳佩芬</t>
        </is>
      </c>
      <c r="D119" s="8" t="inlineStr">
        <is>
          <t>請假</t>
        </is>
      </c>
      <c r="E119" s="19" t="n">
        <v>0</v>
      </c>
      <c r="F119" s="19" t="n">
        <v>0</v>
      </c>
      <c r="G119" s="20">
        <f>IF(F119&gt;0, MIN(F119, 2), 0)</f>
        <v/>
      </c>
      <c r="H119" s="20">
        <f>IF(F119&gt;2, F119-2, 0)</f>
        <v/>
      </c>
      <c r="I119" s="19" t="n">
        <v>8</v>
      </c>
      <c r="J119" s="19" t="n">
        <v>0</v>
      </c>
      <c r="K119" s="19" t="n">
        <v>0</v>
      </c>
      <c r="L119" s="21" t="inlineStr">
        <is>
          <t>病假1天(8H)</t>
        </is>
      </c>
    </row>
    <row r="120">
      <c r="A120" s="8" t="inlineStr">
        <is>
          <t>2026/09/10</t>
        </is>
      </c>
      <c r="B120" s="8" t="inlineStr">
        <is>
          <t>EMP08</t>
        </is>
      </c>
      <c r="C120" s="8" t="inlineStr">
        <is>
          <t>劉家豪</t>
        </is>
      </c>
      <c r="D120" s="8" t="inlineStr">
        <is>
          <t>出勤正常</t>
        </is>
      </c>
      <c r="E120" s="19" t="n">
        <v>8</v>
      </c>
      <c r="F120" s="19" t="n">
        <v>0</v>
      </c>
      <c r="G120" s="20">
        <f>IF(F120&gt;0, MIN(F120, 2), 0)</f>
        <v/>
      </c>
      <c r="H120" s="20">
        <f>IF(F120&gt;2, F120-2, 0)</f>
        <v/>
      </c>
      <c r="I120" s="19" t="n">
        <v>0</v>
      </c>
      <c r="J120" s="19" t="n">
        <v>0</v>
      </c>
      <c r="K120" s="19" t="n">
        <v>2000</v>
      </c>
      <c r="L120" s="21" t="inlineStr">
        <is>
          <t>借支預付 2,000 元</t>
        </is>
      </c>
    </row>
    <row r="121">
      <c r="A121" s="8" t="inlineStr">
        <is>
          <t>2026/09/10</t>
        </is>
      </c>
      <c r="B121" s="8" t="inlineStr">
        <is>
          <t>EMP09</t>
        </is>
      </c>
      <c r="C121" s="8" t="inlineStr">
        <is>
          <t>蔡佳蓉</t>
        </is>
      </c>
      <c r="D121" s="8" t="inlineStr">
        <is>
          <t>出勤正常</t>
        </is>
      </c>
      <c r="E121" s="19" t="n">
        <v>8</v>
      </c>
      <c r="F121" s="19" t="n">
        <v>0</v>
      </c>
      <c r="G121" s="20">
        <f>IF(F121&gt;0, MIN(F121, 2), 0)</f>
        <v/>
      </c>
      <c r="H121" s="20">
        <f>IF(F121&gt;2, F121-2, 0)</f>
        <v/>
      </c>
      <c r="I121" s="19" t="n">
        <v>0</v>
      </c>
      <c r="J121" s="19" t="n">
        <v>0</v>
      </c>
      <c r="K121" s="19" t="n">
        <v>0</v>
      </c>
      <c r="L121" s="21" t="inlineStr"/>
    </row>
    <row r="122">
      <c r="A122" s="8" t="inlineStr">
        <is>
          <t>2026/09/10</t>
        </is>
      </c>
      <c r="B122" s="8" t="inlineStr">
        <is>
          <t>EMP10</t>
        </is>
      </c>
      <c r="C122" s="8" t="inlineStr">
        <is>
          <t>許博凱</t>
        </is>
      </c>
      <c r="D122" s="8" t="inlineStr">
        <is>
          <t>請假</t>
        </is>
      </c>
      <c r="E122" s="19" t="n">
        <v>0</v>
      </c>
      <c r="F122" s="19" t="n">
        <v>0</v>
      </c>
      <c r="G122" s="20">
        <f>IF(F122&gt;0, MIN(F122, 2), 0)</f>
        <v/>
      </c>
      <c r="H122" s="20">
        <f>IF(F122&gt;2, F122-2, 0)</f>
        <v/>
      </c>
      <c r="I122" s="19" t="n">
        <v>8</v>
      </c>
      <c r="J122" s="19" t="n">
        <v>0</v>
      </c>
      <c r="K122" s="19" t="n">
        <v>0</v>
      </c>
      <c r="L122" s="21" t="inlineStr">
        <is>
          <t>事假1天(8H)</t>
        </is>
      </c>
    </row>
    <row r="123">
      <c r="A123" s="8" t="inlineStr">
        <is>
          <t>2026/09/10</t>
        </is>
      </c>
      <c r="B123" s="8" t="inlineStr">
        <is>
          <t>EMP11</t>
        </is>
      </c>
      <c r="C123" s="8" t="inlineStr">
        <is>
          <t>鄭淑芬</t>
        </is>
      </c>
      <c r="D123" s="8" t="inlineStr">
        <is>
          <t>出勤正常</t>
        </is>
      </c>
      <c r="E123" s="19" t="n">
        <v>8</v>
      </c>
      <c r="F123" s="19" t="n">
        <v>0</v>
      </c>
      <c r="G123" s="20">
        <f>IF(F123&gt;0, MIN(F123, 2), 0)</f>
        <v/>
      </c>
      <c r="H123" s="20">
        <f>IF(F123&gt;2, F123-2, 0)</f>
        <v/>
      </c>
      <c r="I123" s="19" t="n">
        <v>0</v>
      </c>
      <c r="J123" s="19" t="n">
        <v>0</v>
      </c>
      <c r="K123" s="19" t="n">
        <v>0</v>
      </c>
      <c r="L123" s="21" t="inlineStr"/>
    </row>
    <row r="124">
      <c r="A124" s="8" t="inlineStr">
        <is>
          <t>2026/09/10</t>
        </is>
      </c>
      <c r="B124" s="8" t="inlineStr">
        <is>
          <t>EMP12</t>
        </is>
      </c>
      <c r="C124" s="8" t="inlineStr">
        <is>
          <t>謝宗翰</t>
        </is>
      </c>
      <c r="D124" s="8" t="inlineStr">
        <is>
          <t>出勤正常</t>
        </is>
      </c>
      <c r="E124" s="19" t="n">
        <v>8</v>
      </c>
      <c r="F124" s="19" t="n">
        <v>0</v>
      </c>
      <c r="G124" s="20">
        <f>IF(F124&gt;0, MIN(F124, 2), 0)</f>
        <v/>
      </c>
      <c r="H124" s="20">
        <f>IF(F124&gt;2, F124-2, 0)</f>
        <v/>
      </c>
      <c r="I124" s="19" t="n">
        <v>0</v>
      </c>
      <c r="J124" s="19" t="n">
        <v>0</v>
      </c>
      <c r="K124" s="19" t="n">
        <v>0</v>
      </c>
      <c r="L124" s="21" t="inlineStr"/>
    </row>
    <row r="125">
      <c r="A125" s="8" t="inlineStr">
        <is>
          <t>2026/09/11</t>
        </is>
      </c>
      <c r="B125" s="8" t="inlineStr">
        <is>
          <t>EMP01</t>
        </is>
      </c>
      <c r="C125" s="8" t="inlineStr">
        <is>
          <t>陳建宏</t>
        </is>
      </c>
      <c r="D125" s="8" t="inlineStr">
        <is>
          <t>出勤正常</t>
        </is>
      </c>
      <c r="E125" s="19" t="n">
        <v>8</v>
      </c>
      <c r="F125" s="19" t="n">
        <v>0</v>
      </c>
      <c r="G125" s="20">
        <f>IF(F125&gt;0, MIN(F125, 2), 0)</f>
        <v/>
      </c>
      <c r="H125" s="20">
        <f>IF(F125&gt;2, F125-2, 0)</f>
        <v/>
      </c>
      <c r="I125" s="19" t="n">
        <v>0</v>
      </c>
      <c r="J125" s="19" t="n">
        <v>0</v>
      </c>
      <c r="K125" s="19" t="n">
        <v>0</v>
      </c>
      <c r="L125" s="21" t="inlineStr"/>
    </row>
    <row r="126">
      <c r="A126" s="8" t="inlineStr">
        <is>
          <t>2026/09/11</t>
        </is>
      </c>
      <c r="B126" s="8" t="inlineStr">
        <is>
          <t>EMP02</t>
        </is>
      </c>
      <c r="C126" s="8" t="inlineStr">
        <is>
          <t>林美玲</t>
        </is>
      </c>
      <c r="D126" s="8" t="inlineStr">
        <is>
          <t>出勤正常</t>
        </is>
      </c>
      <c r="E126" s="19" t="n">
        <v>8</v>
      </c>
      <c r="F126" s="19" t="n">
        <v>0</v>
      </c>
      <c r="G126" s="20">
        <f>IF(F126&gt;0, MIN(F126, 2), 0)</f>
        <v/>
      </c>
      <c r="H126" s="20">
        <f>IF(F126&gt;2, F126-2, 0)</f>
        <v/>
      </c>
      <c r="I126" s="19" t="n">
        <v>0</v>
      </c>
      <c r="J126" s="19" t="n">
        <v>0</v>
      </c>
      <c r="K126" s="19" t="n">
        <v>0</v>
      </c>
      <c r="L126" s="21" t="inlineStr"/>
    </row>
    <row r="127">
      <c r="A127" s="8" t="inlineStr">
        <is>
          <t>2026/09/11</t>
        </is>
      </c>
      <c r="B127" s="8" t="inlineStr">
        <is>
          <t>EMP03</t>
        </is>
      </c>
      <c r="C127" s="8" t="inlineStr">
        <is>
          <t>張志成</t>
        </is>
      </c>
      <c r="D127" s="8" t="inlineStr">
        <is>
          <t>出勤正常</t>
        </is>
      </c>
      <c r="E127" s="19" t="n">
        <v>8</v>
      </c>
      <c r="F127" s="19" t="n">
        <v>4</v>
      </c>
      <c r="G127" s="20">
        <f>IF(F127&gt;0, MIN(F127, 2), 0)</f>
        <v/>
      </c>
      <c r="H127" s="20">
        <f>IF(F127&gt;2, F127-2, 0)</f>
        <v/>
      </c>
      <c r="I127" s="19" t="n">
        <v>0</v>
      </c>
      <c r="J127" s="19" t="n">
        <v>0</v>
      </c>
      <c r="K127" s="19" t="n">
        <v>0</v>
      </c>
      <c r="L127" s="21" t="inlineStr">
        <is>
          <t>急件出貨</t>
        </is>
      </c>
    </row>
    <row r="128">
      <c r="A128" s="8" t="inlineStr">
        <is>
          <t>2026/09/11</t>
        </is>
      </c>
      <c r="B128" s="8" t="inlineStr">
        <is>
          <t>EMP04</t>
        </is>
      </c>
      <c r="C128" s="8" t="inlineStr">
        <is>
          <t>黃國榮</t>
        </is>
      </c>
      <c r="D128" s="8" t="inlineStr">
        <is>
          <t>出勤正常</t>
        </is>
      </c>
      <c r="E128" s="19" t="n">
        <v>8</v>
      </c>
      <c r="F128" s="19" t="n">
        <v>3</v>
      </c>
      <c r="G128" s="20">
        <f>IF(F128&gt;0, MIN(F128, 2), 0)</f>
        <v/>
      </c>
      <c r="H128" s="20">
        <f>IF(F128&gt;2, F128-2, 0)</f>
        <v/>
      </c>
      <c r="I128" s="19" t="n">
        <v>0</v>
      </c>
      <c r="J128" s="19" t="n">
        <v>0</v>
      </c>
      <c r="K128" s="19" t="n">
        <v>0</v>
      </c>
      <c r="L128" s="21" t="inlineStr">
        <is>
          <t>機台調試</t>
        </is>
      </c>
    </row>
    <row r="129">
      <c r="A129" s="8" t="inlineStr">
        <is>
          <t>2026/09/11</t>
        </is>
      </c>
      <c r="B129" s="8" t="inlineStr">
        <is>
          <t>EMP05</t>
        </is>
      </c>
      <c r="C129" s="8" t="inlineStr">
        <is>
          <t>李雅婷</t>
        </is>
      </c>
      <c r="D129" s="8" t="inlineStr">
        <is>
          <t>出勤正常</t>
        </is>
      </c>
      <c r="E129" s="19" t="n">
        <v>8</v>
      </c>
      <c r="F129" s="19" t="n">
        <v>0</v>
      </c>
      <c r="G129" s="20">
        <f>IF(F129&gt;0, MIN(F129, 2), 0)</f>
        <v/>
      </c>
      <c r="H129" s="20">
        <f>IF(F129&gt;2, F129-2, 0)</f>
        <v/>
      </c>
      <c r="I129" s="19" t="n">
        <v>0</v>
      </c>
      <c r="J129" s="19" t="n">
        <v>0</v>
      </c>
      <c r="K129" s="19" t="n">
        <v>0</v>
      </c>
      <c r="L129" s="21" t="inlineStr"/>
    </row>
    <row r="130">
      <c r="A130" s="8" t="inlineStr">
        <is>
          <t>2026/09/11</t>
        </is>
      </c>
      <c r="B130" s="8" t="inlineStr">
        <is>
          <t>EMP06</t>
        </is>
      </c>
      <c r="C130" s="8" t="inlineStr">
        <is>
          <t>王俊傑</t>
        </is>
      </c>
      <c r="D130" s="8" t="inlineStr">
        <is>
          <t>出勤正常</t>
        </is>
      </c>
      <c r="E130" s="19" t="n">
        <v>8</v>
      </c>
      <c r="F130" s="19" t="n">
        <v>0</v>
      </c>
      <c r="G130" s="20">
        <f>IF(F130&gt;0, MIN(F130, 2), 0)</f>
        <v/>
      </c>
      <c r="H130" s="20">
        <f>IF(F130&gt;2, F130-2, 0)</f>
        <v/>
      </c>
      <c r="I130" s="19" t="n">
        <v>0</v>
      </c>
      <c r="J130" s="19" t="n">
        <v>0</v>
      </c>
      <c r="K130" s="19" t="n">
        <v>0</v>
      </c>
      <c r="L130" s="21" t="inlineStr"/>
    </row>
    <row r="131">
      <c r="A131" s="8" t="inlineStr">
        <is>
          <t>2026/09/11</t>
        </is>
      </c>
      <c r="B131" s="8" t="inlineStr">
        <is>
          <t>EMP07</t>
        </is>
      </c>
      <c r="C131" s="8" t="inlineStr">
        <is>
          <t>吳佩芬</t>
        </is>
      </c>
      <c r="D131" s="8" t="inlineStr">
        <is>
          <t>出勤正常</t>
        </is>
      </c>
      <c r="E131" s="19" t="n">
        <v>8</v>
      </c>
      <c r="F131" s="19" t="n">
        <v>0</v>
      </c>
      <c r="G131" s="20">
        <f>IF(F131&gt;0, MIN(F131, 2), 0)</f>
        <v/>
      </c>
      <c r="H131" s="20">
        <f>IF(F131&gt;2, F131-2, 0)</f>
        <v/>
      </c>
      <c r="I131" s="19" t="n">
        <v>0</v>
      </c>
      <c r="J131" s="19" t="n">
        <v>0</v>
      </c>
      <c r="K131" s="19" t="n">
        <v>0</v>
      </c>
      <c r="L131" s="21" t="inlineStr"/>
    </row>
    <row r="132">
      <c r="A132" s="8" t="inlineStr">
        <is>
          <t>2026/09/11</t>
        </is>
      </c>
      <c r="B132" s="8" t="inlineStr">
        <is>
          <t>EMP08</t>
        </is>
      </c>
      <c r="C132" s="8" t="inlineStr">
        <is>
          <t>劉家豪</t>
        </is>
      </c>
      <c r="D132" s="8" t="inlineStr">
        <is>
          <t>出勤正常</t>
        </is>
      </c>
      <c r="E132" s="19" t="n">
        <v>8</v>
      </c>
      <c r="F132" s="19" t="n">
        <v>4</v>
      </c>
      <c r="G132" s="20">
        <f>IF(F132&gt;0, MIN(F132, 2), 0)</f>
        <v/>
      </c>
      <c r="H132" s="20">
        <f>IF(F132&gt;2, F132-2, 0)</f>
        <v/>
      </c>
      <c r="I132" s="19" t="n">
        <v>0</v>
      </c>
      <c r="J132" s="19" t="n">
        <v>0</v>
      </c>
      <c r="K132" s="19" t="n">
        <v>0</v>
      </c>
      <c r="L132" s="21" t="inlineStr">
        <is>
          <t>夜班換模</t>
        </is>
      </c>
    </row>
    <row r="133">
      <c r="A133" s="8" t="inlineStr">
        <is>
          <t>2026/09/11</t>
        </is>
      </c>
      <c r="B133" s="8" t="inlineStr">
        <is>
          <t>EMP09</t>
        </is>
      </c>
      <c r="C133" s="8" t="inlineStr">
        <is>
          <t>蔡佳蓉</t>
        </is>
      </c>
      <c r="D133" s="8" t="inlineStr">
        <is>
          <t>出勤正常</t>
        </is>
      </c>
      <c r="E133" s="19" t="n">
        <v>8</v>
      </c>
      <c r="F133" s="19" t="n">
        <v>2</v>
      </c>
      <c r="G133" s="20">
        <f>IF(F133&gt;0, MIN(F133, 2), 0)</f>
        <v/>
      </c>
      <c r="H133" s="20">
        <f>IF(F133&gt;2, F133-2, 0)</f>
        <v/>
      </c>
      <c r="I133" s="19" t="n">
        <v>0</v>
      </c>
      <c r="J133" s="19" t="n">
        <v>0</v>
      </c>
      <c r="K133" s="19" t="n">
        <v>0</v>
      </c>
      <c r="L133" s="21" t="inlineStr">
        <is>
          <t>包裝趕工</t>
        </is>
      </c>
    </row>
    <row r="134">
      <c r="A134" s="8" t="inlineStr">
        <is>
          <t>2026/09/11</t>
        </is>
      </c>
      <c r="B134" s="8" t="inlineStr">
        <is>
          <t>EMP10</t>
        </is>
      </c>
      <c r="C134" s="8" t="inlineStr">
        <is>
          <t>許博凱</t>
        </is>
      </c>
      <c r="D134" s="8" t="inlineStr">
        <is>
          <t>出勤正常</t>
        </is>
      </c>
      <c r="E134" s="19" t="n">
        <v>8</v>
      </c>
      <c r="F134" s="19" t="n">
        <v>0</v>
      </c>
      <c r="G134" s="20">
        <f>IF(F134&gt;0, MIN(F134, 2), 0)</f>
        <v/>
      </c>
      <c r="H134" s="20">
        <f>IF(F134&gt;2, F134-2, 0)</f>
        <v/>
      </c>
      <c r="I134" s="19" t="n">
        <v>0</v>
      </c>
      <c r="J134" s="19" t="n">
        <v>0</v>
      </c>
      <c r="K134" s="19" t="n">
        <v>0</v>
      </c>
      <c r="L134" s="21" t="inlineStr"/>
    </row>
    <row r="135">
      <c r="A135" s="8" t="inlineStr">
        <is>
          <t>2026/09/11</t>
        </is>
      </c>
      <c r="B135" s="8" t="inlineStr">
        <is>
          <t>EMP11</t>
        </is>
      </c>
      <c r="C135" s="8" t="inlineStr">
        <is>
          <t>鄭淑芬</t>
        </is>
      </c>
      <c r="D135" s="8" t="inlineStr">
        <is>
          <t>出勤正常</t>
        </is>
      </c>
      <c r="E135" s="19" t="n">
        <v>8</v>
      </c>
      <c r="F135" s="19" t="n">
        <v>0</v>
      </c>
      <c r="G135" s="20">
        <f>IF(F135&gt;0, MIN(F135, 2), 0)</f>
        <v/>
      </c>
      <c r="H135" s="20">
        <f>IF(F135&gt;2, F135-2, 0)</f>
        <v/>
      </c>
      <c r="I135" s="19" t="n">
        <v>0</v>
      </c>
      <c r="J135" s="19" t="n">
        <v>0</v>
      </c>
      <c r="K135" s="19" t="n">
        <v>0</v>
      </c>
      <c r="L135" s="21" t="inlineStr"/>
    </row>
    <row r="136">
      <c r="A136" s="8" t="inlineStr">
        <is>
          <t>2026/09/11</t>
        </is>
      </c>
      <c r="B136" s="8" t="inlineStr">
        <is>
          <t>EMP12</t>
        </is>
      </c>
      <c r="C136" s="8" t="inlineStr">
        <is>
          <t>謝宗翰</t>
        </is>
      </c>
      <c r="D136" s="8" t="inlineStr">
        <is>
          <t>出勤正常</t>
        </is>
      </c>
      <c r="E136" s="19" t="n">
        <v>8</v>
      </c>
      <c r="F136" s="19" t="n">
        <v>0</v>
      </c>
      <c r="G136" s="20">
        <f>IF(F136&gt;0, MIN(F136, 2), 0)</f>
        <v/>
      </c>
      <c r="H136" s="20">
        <f>IF(F136&gt;2, F136-2, 0)</f>
        <v/>
      </c>
      <c r="I136" s="19" t="n">
        <v>0</v>
      </c>
      <c r="J136" s="19" t="n">
        <v>0</v>
      </c>
      <c r="K136" s="19" t="n">
        <v>0</v>
      </c>
      <c r="L136" s="21" t="inlineStr"/>
    </row>
    <row r="137">
      <c r="A137" s="22" t="inlineStr">
        <is>
          <t>2026/09/12</t>
        </is>
      </c>
      <c r="B137" s="22" t="inlineStr">
        <is>
          <t>EMP01</t>
        </is>
      </c>
      <c r="C137" s="22" t="inlineStr">
        <is>
          <t>陳建宏</t>
        </is>
      </c>
      <c r="D137" s="22" t="inlineStr">
        <is>
          <t>例假日 (休)</t>
        </is>
      </c>
      <c r="E137" s="23" t="n">
        <v>0</v>
      </c>
      <c r="F137" s="23" t="n">
        <v>0</v>
      </c>
      <c r="G137" s="24">
        <f>IF(F137&gt;0, MIN(F137, 2), 0)</f>
        <v/>
      </c>
      <c r="H137" s="24">
        <f>IF(F137&gt;2, F137-2, 0)</f>
        <v/>
      </c>
      <c r="I137" s="23" t="n">
        <v>0</v>
      </c>
      <c r="J137" s="23" t="n">
        <v>0</v>
      </c>
      <c r="K137" s="23" t="n">
        <v>0</v>
      </c>
      <c r="L137" s="25" t="inlineStr">
        <is>
          <t>週末例假</t>
        </is>
      </c>
    </row>
    <row r="138">
      <c r="A138" s="22" t="inlineStr">
        <is>
          <t>2026/09/12</t>
        </is>
      </c>
      <c r="B138" s="22" t="inlineStr">
        <is>
          <t>EMP02</t>
        </is>
      </c>
      <c r="C138" s="22" t="inlineStr">
        <is>
          <t>林美玲</t>
        </is>
      </c>
      <c r="D138" s="22" t="inlineStr">
        <is>
          <t>例假日 (休)</t>
        </is>
      </c>
      <c r="E138" s="23" t="n">
        <v>0</v>
      </c>
      <c r="F138" s="23" t="n">
        <v>0</v>
      </c>
      <c r="G138" s="24">
        <f>IF(F138&gt;0, MIN(F138, 2), 0)</f>
        <v/>
      </c>
      <c r="H138" s="24">
        <f>IF(F138&gt;2, F138-2, 0)</f>
        <v/>
      </c>
      <c r="I138" s="23" t="n">
        <v>0</v>
      </c>
      <c r="J138" s="23" t="n">
        <v>0</v>
      </c>
      <c r="K138" s="23" t="n">
        <v>0</v>
      </c>
      <c r="L138" s="25" t="inlineStr">
        <is>
          <t>週末例假</t>
        </is>
      </c>
    </row>
    <row r="139">
      <c r="A139" s="22" t="inlineStr">
        <is>
          <t>2026/09/12</t>
        </is>
      </c>
      <c r="B139" s="22" t="inlineStr">
        <is>
          <t>EMP03</t>
        </is>
      </c>
      <c r="C139" s="22" t="inlineStr">
        <is>
          <t>張志成</t>
        </is>
      </c>
      <c r="D139" s="22" t="inlineStr">
        <is>
          <t>例假日 (休)</t>
        </is>
      </c>
      <c r="E139" s="23" t="n">
        <v>0</v>
      </c>
      <c r="F139" s="23" t="n">
        <v>0</v>
      </c>
      <c r="G139" s="24">
        <f>IF(F139&gt;0, MIN(F139, 2), 0)</f>
        <v/>
      </c>
      <c r="H139" s="24">
        <f>IF(F139&gt;2, F139-2, 0)</f>
        <v/>
      </c>
      <c r="I139" s="23" t="n">
        <v>0</v>
      </c>
      <c r="J139" s="23" t="n">
        <v>0</v>
      </c>
      <c r="K139" s="23" t="n">
        <v>0</v>
      </c>
      <c r="L139" s="25" t="inlineStr">
        <is>
          <t>週末例假</t>
        </is>
      </c>
    </row>
    <row r="140">
      <c r="A140" s="22" t="inlineStr">
        <is>
          <t>2026/09/12</t>
        </is>
      </c>
      <c r="B140" s="22" t="inlineStr">
        <is>
          <t>EMP04</t>
        </is>
      </c>
      <c r="C140" s="22" t="inlineStr">
        <is>
          <t>黃國榮</t>
        </is>
      </c>
      <c r="D140" s="22" t="inlineStr">
        <is>
          <t>例假日 (休)</t>
        </is>
      </c>
      <c r="E140" s="23" t="n">
        <v>0</v>
      </c>
      <c r="F140" s="23" t="n">
        <v>0</v>
      </c>
      <c r="G140" s="24">
        <f>IF(F140&gt;0, MIN(F140, 2), 0)</f>
        <v/>
      </c>
      <c r="H140" s="24">
        <f>IF(F140&gt;2, F140-2, 0)</f>
        <v/>
      </c>
      <c r="I140" s="23" t="n">
        <v>0</v>
      </c>
      <c r="J140" s="23" t="n">
        <v>0</v>
      </c>
      <c r="K140" s="23" t="n">
        <v>0</v>
      </c>
      <c r="L140" s="25" t="inlineStr">
        <is>
          <t>週末例假</t>
        </is>
      </c>
    </row>
    <row r="141">
      <c r="A141" s="22" t="inlineStr">
        <is>
          <t>2026/09/12</t>
        </is>
      </c>
      <c r="B141" s="22" t="inlineStr">
        <is>
          <t>EMP05</t>
        </is>
      </c>
      <c r="C141" s="22" t="inlineStr">
        <is>
          <t>李雅婷</t>
        </is>
      </c>
      <c r="D141" s="22" t="inlineStr">
        <is>
          <t>例假日 (休)</t>
        </is>
      </c>
      <c r="E141" s="23" t="n">
        <v>0</v>
      </c>
      <c r="F141" s="23" t="n">
        <v>0</v>
      </c>
      <c r="G141" s="24">
        <f>IF(F141&gt;0, MIN(F141, 2), 0)</f>
        <v/>
      </c>
      <c r="H141" s="24">
        <f>IF(F141&gt;2, F141-2, 0)</f>
        <v/>
      </c>
      <c r="I141" s="23" t="n">
        <v>0</v>
      </c>
      <c r="J141" s="23" t="n">
        <v>0</v>
      </c>
      <c r="K141" s="23" t="n">
        <v>0</v>
      </c>
      <c r="L141" s="25" t="inlineStr">
        <is>
          <t>週末例假</t>
        </is>
      </c>
    </row>
    <row r="142">
      <c r="A142" s="22" t="inlineStr">
        <is>
          <t>2026/09/12</t>
        </is>
      </c>
      <c r="B142" s="22" t="inlineStr">
        <is>
          <t>EMP06</t>
        </is>
      </c>
      <c r="C142" s="22" t="inlineStr">
        <is>
          <t>王俊傑</t>
        </is>
      </c>
      <c r="D142" s="22" t="inlineStr">
        <is>
          <t>例假日 (休)</t>
        </is>
      </c>
      <c r="E142" s="23" t="n">
        <v>0</v>
      </c>
      <c r="F142" s="23" t="n">
        <v>0</v>
      </c>
      <c r="G142" s="24">
        <f>IF(F142&gt;0, MIN(F142, 2), 0)</f>
        <v/>
      </c>
      <c r="H142" s="24">
        <f>IF(F142&gt;2, F142-2, 0)</f>
        <v/>
      </c>
      <c r="I142" s="23" t="n">
        <v>0</v>
      </c>
      <c r="J142" s="23" t="n">
        <v>0</v>
      </c>
      <c r="K142" s="23" t="n">
        <v>0</v>
      </c>
      <c r="L142" s="25" t="inlineStr">
        <is>
          <t>週末例假</t>
        </is>
      </c>
    </row>
    <row r="143">
      <c r="A143" s="22" t="inlineStr">
        <is>
          <t>2026/09/12</t>
        </is>
      </c>
      <c r="B143" s="22" t="inlineStr">
        <is>
          <t>EMP07</t>
        </is>
      </c>
      <c r="C143" s="22" t="inlineStr">
        <is>
          <t>吳佩芬</t>
        </is>
      </c>
      <c r="D143" s="22" t="inlineStr">
        <is>
          <t>例假日 (休)</t>
        </is>
      </c>
      <c r="E143" s="23" t="n">
        <v>0</v>
      </c>
      <c r="F143" s="23" t="n">
        <v>0</v>
      </c>
      <c r="G143" s="24">
        <f>IF(F143&gt;0, MIN(F143, 2), 0)</f>
        <v/>
      </c>
      <c r="H143" s="24">
        <f>IF(F143&gt;2, F143-2, 0)</f>
        <v/>
      </c>
      <c r="I143" s="23" t="n">
        <v>0</v>
      </c>
      <c r="J143" s="23" t="n">
        <v>0</v>
      </c>
      <c r="K143" s="23" t="n">
        <v>0</v>
      </c>
      <c r="L143" s="25" t="inlineStr">
        <is>
          <t>週末例假</t>
        </is>
      </c>
    </row>
    <row r="144">
      <c r="A144" s="22" t="inlineStr">
        <is>
          <t>2026/09/12</t>
        </is>
      </c>
      <c r="B144" s="22" t="inlineStr">
        <is>
          <t>EMP08</t>
        </is>
      </c>
      <c r="C144" s="22" t="inlineStr">
        <is>
          <t>劉家豪</t>
        </is>
      </c>
      <c r="D144" s="22" t="inlineStr">
        <is>
          <t>例假日 (休)</t>
        </is>
      </c>
      <c r="E144" s="23" t="n">
        <v>0</v>
      </c>
      <c r="F144" s="23" t="n">
        <v>0</v>
      </c>
      <c r="G144" s="24">
        <f>IF(F144&gt;0, MIN(F144, 2), 0)</f>
        <v/>
      </c>
      <c r="H144" s="24">
        <f>IF(F144&gt;2, F144-2, 0)</f>
        <v/>
      </c>
      <c r="I144" s="23" t="n">
        <v>0</v>
      </c>
      <c r="J144" s="23" t="n">
        <v>0</v>
      </c>
      <c r="K144" s="23" t="n">
        <v>0</v>
      </c>
      <c r="L144" s="25" t="inlineStr">
        <is>
          <t>週末例假</t>
        </is>
      </c>
    </row>
    <row r="145">
      <c r="A145" s="22" t="inlineStr">
        <is>
          <t>2026/09/12</t>
        </is>
      </c>
      <c r="B145" s="22" t="inlineStr">
        <is>
          <t>EMP09</t>
        </is>
      </c>
      <c r="C145" s="22" t="inlineStr">
        <is>
          <t>蔡佳蓉</t>
        </is>
      </c>
      <c r="D145" s="22" t="inlineStr">
        <is>
          <t>例假日 (休)</t>
        </is>
      </c>
      <c r="E145" s="23" t="n">
        <v>0</v>
      </c>
      <c r="F145" s="23" t="n">
        <v>0</v>
      </c>
      <c r="G145" s="24">
        <f>IF(F145&gt;0, MIN(F145, 2), 0)</f>
        <v/>
      </c>
      <c r="H145" s="24">
        <f>IF(F145&gt;2, F145-2, 0)</f>
        <v/>
      </c>
      <c r="I145" s="23" t="n">
        <v>0</v>
      </c>
      <c r="J145" s="23" t="n">
        <v>0</v>
      </c>
      <c r="K145" s="23" t="n">
        <v>0</v>
      </c>
      <c r="L145" s="25" t="inlineStr">
        <is>
          <t>週末例假</t>
        </is>
      </c>
    </row>
    <row r="146">
      <c r="A146" s="22" t="inlineStr">
        <is>
          <t>2026/09/12</t>
        </is>
      </c>
      <c r="B146" s="22" t="inlineStr">
        <is>
          <t>EMP10</t>
        </is>
      </c>
      <c r="C146" s="22" t="inlineStr">
        <is>
          <t>許博凱</t>
        </is>
      </c>
      <c r="D146" s="22" t="inlineStr">
        <is>
          <t>例假日 (休)</t>
        </is>
      </c>
      <c r="E146" s="23" t="n">
        <v>0</v>
      </c>
      <c r="F146" s="23" t="n">
        <v>0</v>
      </c>
      <c r="G146" s="24">
        <f>IF(F146&gt;0, MIN(F146, 2), 0)</f>
        <v/>
      </c>
      <c r="H146" s="24">
        <f>IF(F146&gt;2, F146-2, 0)</f>
        <v/>
      </c>
      <c r="I146" s="23" t="n">
        <v>0</v>
      </c>
      <c r="J146" s="23" t="n">
        <v>0</v>
      </c>
      <c r="K146" s="23" t="n">
        <v>0</v>
      </c>
      <c r="L146" s="25" t="inlineStr">
        <is>
          <t>週末例假</t>
        </is>
      </c>
    </row>
    <row r="147">
      <c r="A147" s="22" t="inlineStr">
        <is>
          <t>2026/09/12</t>
        </is>
      </c>
      <c r="B147" s="22" t="inlineStr">
        <is>
          <t>EMP11</t>
        </is>
      </c>
      <c r="C147" s="22" t="inlineStr">
        <is>
          <t>鄭淑芬</t>
        </is>
      </c>
      <c r="D147" s="22" t="inlineStr">
        <is>
          <t>例假日 (休)</t>
        </is>
      </c>
      <c r="E147" s="23" t="n">
        <v>0</v>
      </c>
      <c r="F147" s="23" t="n">
        <v>0</v>
      </c>
      <c r="G147" s="24">
        <f>IF(F147&gt;0, MIN(F147, 2), 0)</f>
        <v/>
      </c>
      <c r="H147" s="24">
        <f>IF(F147&gt;2, F147-2, 0)</f>
        <v/>
      </c>
      <c r="I147" s="23" t="n">
        <v>0</v>
      </c>
      <c r="J147" s="23" t="n">
        <v>0</v>
      </c>
      <c r="K147" s="23" t="n">
        <v>0</v>
      </c>
      <c r="L147" s="25" t="inlineStr">
        <is>
          <t>週末例假</t>
        </is>
      </c>
    </row>
    <row r="148">
      <c r="A148" s="22" t="inlineStr">
        <is>
          <t>2026/09/12</t>
        </is>
      </c>
      <c r="B148" s="22" t="inlineStr">
        <is>
          <t>EMP12</t>
        </is>
      </c>
      <c r="C148" s="22" t="inlineStr">
        <is>
          <t>謝宗翰</t>
        </is>
      </c>
      <c r="D148" s="22" t="inlineStr">
        <is>
          <t>例假日 (休)</t>
        </is>
      </c>
      <c r="E148" s="23" t="n">
        <v>0</v>
      </c>
      <c r="F148" s="23" t="n">
        <v>0</v>
      </c>
      <c r="G148" s="24">
        <f>IF(F148&gt;0, MIN(F148, 2), 0)</f>
        <v/>
      </c>
      <c r="H148" s="24">
        <f>IF(F148&gt;2, F148-2, 0)</f>
        <v/>
      </c>
      <c r="I148" s="23" t="n">
        <v>0</v>
      </c>
      <c r="J148" s="23" t="n">
        <v>0</v>
      </c>
      <c r="K148" s="23" t="n">
        <v>0</v>
      </c>
      <c r="L148" s="25" t="inlineStr">
        <is>
          <t>週末例假</t>
        </is>
      </c>
    </row>
    <row r="149">
      <c r="A149" s="22" t="inlineStr">
        <is>
          <t>2026/09/13</t>
        </is>
      </c>
      <c r="B149" s="22" t="inlineStr">
        <is>
          <t>EMP01</t>
        </is>
      </c>
      <c r="C149" s="22" t="inlineStr">
        <is>
          <t>陳建宏</t>
        </is>
      </c>
      <c r="D149" s="22" t="inlineStr">
        <is>
          <t>例假日 (休)</t>
        </is>
      </c>
      <c r="E149" s="23" t="n">
        <v>0</v>
      </c>
      <c r="F149" s="23" t="n">
        <v>0</v>
      </c>
      <c r="G149" s="24">
        <f>IF(F149&gt;0, MIN(F149, 2), 0)</f>
        <v/>
      </c>
      <c r="H149" s="24">
        <f>IF(F149&gt;2, F149-2, 0)</f>
        <v/>
      </c>
      <c r="I149" s="23" t="n">
        <v>0</v>
      </c>
      <c r="J149" s="23" t="n">
        <v>0</v>
      </c>
      <c r="K149" s="23" t="n">
        <v>0</v>
      </c>
      <c r="L149" s="25" t="inlineStr">
        <is>
          <t>週末例假</t>
        </is>
      </c>
    </row>
    <row r="150">
      <c r="A150" s="22" t="inlineStr">
        <is>
          <t>2026/09/13</t>
        </is>
      </c>
      <c r="B150" s="22" t="inlineStr">
        <is>
          <t>EMP02</t>
        </is>
      </c>
      <c r="C150" s="22" t="inlineStr">
        <is>
          <t>林美玲</t>
        </is>
      </c>
      <c r="D150" s="22" t="inlineStr">
        <is>
          <t>例假日 (休)</t>
        </is>
      </c>
      <c r="E150" s="23" t="n">
        <v>0</v>
      </c>
      <c r="F150" s="23" t="n">
        <v>0</v>
      </c>
      <c r="G150" s="24">
        <f>IF(F150&gt;0, MIN(F150, 2), 0)</f>
        <v/>
      </c>
      <c r="H150" s="24">
        <f>IF(F150&gt;2, F150-2, 0)</f>
        <v/>
      </c>
      <c r="I150" s="23" t="n">
        <v>0</v>
      </c>
      <c r="J150" s="23" t="n">
        <v>0</v>
      </c>
      <c r="K150" s="23" t="n">
        <v>0</v>
      </c>
      <c r="L150" s="25" t="inlineStr">
        <is>
          <t>週末例假</t>
        </is>
      </c>
    </row>
    <row r="151">
      <c r="A151" s="22" t="inlineStr">
        <is>
          <t>2026/09/13</t>
        </is>
      </c>
      <c r="B151" s="22" t="inlineStr">
        <is>
          <t>EMP03</t>
        </is>
      </c>
      <c r="C151" s="22" t="inlineStr">
        <is>
          <t>張志成</t>
        </is>
      </c>
      <c r="D151" s="22" t="inlineStr">
        <is>
          <t>例假日 (休)</t>
        </is>
      </c>
      <c r="E151" s="23" t="n">
        <v>0</v>
      </c>
      <c r="F151" s="23" t="n">
        <v>0</v>
      </c>
      <c r="G151" s="24">
        <f>IF(F151&gt;0, MIN(F151, 2), 0)</f>
        <v/>
      </c>
      <c r="H151" s="24">
        <f>IF(F151&gt;2, F151-2, 0)</f>
        <v/>
      </c>
      <c r="I151" s="23" t="n">
        <v>0</v>
      </c>
      <c r="J151" s="23" t="n">
        <v>0</v>
      </c>
      <c r="K151" s="23" t="n">
        <v>0</v>
      </c>
      <c r="L151" s="25" t="inlineStr">
        <is>
          <t>週末例假</t>
        </is>
      </c>
    </row>
    <row r="152">
      <c r="A152" s="22" t="inlineStr">
        <is>
          <t>2026/09/13</t>
        </is>
      </c>
      <c r="B152" s="22" t="inlineStr">
        <is>
          <t>EMP04</t>
        </is>
      </c>
      <c r="C152" s="22" t="inlineStr">
        <is>
          <t>黃國榮</t>
        </is>
      </c>
      <c r="D152" s="22" t="inlineStr">
        <is>
          <t>例假日 (休)</t>
        </is>
      </c>
      <c r="E152" s="23" t="n">
        <v>0</v>
      </c>
      <c r="F152" s="23" t="n">
        <v>0</v>
      </c>
      <c r="G152" s="24">
        <f>IF(F152&gt;0, MIN(F152, 2), 0)</f>
        <v/>
      </c>
      <c r="H152" s="24">
        <f>IF(F152&gt;2, F152-2, 0)</f>
        <v/>
      </c>
      <c r="I152" s="23" t="n">
        <v>0</v>
      </c>
      <c r="J152" s="23" t="n">
        <v>0</v>
      </c>
      <c r="K152" s="23" t="n">
        <v>0</v>
      </c>
      <c r="L152" s="25" t="inlineStr">
        <is>
          <t>週末例假</t>
        </is>
      </c>
    </row>
    <row r="153">
      <c r="A153" s="22" t="inlineStr">
        <is>
          <t>2026/09/13</t>
        </is>
      </c>
      <c r="B153" s="22" t="inlineStr">
        <is>
          <t>EMP05</t>
        </is>
      </c>
      <c r="C153" s="22" t="inlineStr">
        <is>
          <t>李雅婷</t>
        </is>
      </c>
      <c r="D153" s="22" t="inlineStr">
        <is>
          <t>例假日 (休)</t>
        </is>
      </c>
      <c r="E153" s="23" t="n">
        <v>0</v>
      </c>
      <c r="F153" s="23" t="n">
        <v>0</v>
      </c>
      <c r="G153" s="24">
        <f>IF(F153&gt;0, MIN(F153, 2), 0)</f>
        <v/>
      </c>
      <c r="H153" s="24">
        <f>IF(F153&gt;2, F153-2, 0)</f>
        <v/>
      </c>
      <c r="I153" s="23" t="n">
        <v>0</v>
      </c>
      <c r="J153" s="23" t="n">
        <v>0</v>
      </c>
      <c r="K153" s="23" t="n">
        <v>0</v>
      </c>
      <c r="L153" s="25" t="inlineStr">
        <is>
          <t>週末例假</t>
        </is>
      </c>
    </row>
    <row r="154">
      <c r="A154" s="22" t="inlineStr">
        <is>
          <t>2026/09/13</t>
        </is>
      </c>
      <c r="B154" s="22" t="inlineStr">
        <is>
          <t>EMP06</t>
        </is>
      </c>
      <c r="C154" s="22" t="inlineStr">
        <is>
          <t>王俊傑</t>
        </is>
      </c>
      <c r="D154" s="22" t="inlineStr">
        <is>
          <t>例假日 (休)</t>
        </is>
      </c>
      <c r="E154" s="23" t="n">
        <v>0</v>
      </c>
      <c r="F154" s="23" t="n">
        <v>0</v>
      </c>
      <c r="G154" s="24">
        <f>IF(F154&gt;0, MIN(F154, 2), 0)</f>
        <v/>
      </c>
      <c r="H154" s="24">
        <f>IF(F154&gt;2, F154-2, 0)</f>
        <v/>
      </c>
      <c r="I154" s="23" t="n">
        <v>0</v>
      </c>
      <c r="J154" s="23" t="n">
        <v>0</v>
      </c>
      <c r="K154" s="23" t="n">
        <v>0</v>
      </c>
      <c r="L154" s="25" t="inlineStr">
        <is>
          <t>週末例假</t>
        </is>
      </c>
    </row>
    <row r="155">
      <c r="A155" s="22" t="inlineStr">
        <is>
          <t>2026/09/13</t>
        </is>
      </c>
      <c r="B155" s="22" t="inlineStr">
        <is>
          <t>EMP07</t>
        </is>
      </c>
      <c r="C155" s="22" t="inlineStr">
        <is>
          <t>吳佩芬</t>
        </is>
      </c>
      <c r="D155" s="22" t="inlineStr">
        <is>
          <t>例假日 (休)</t>
        </is>
      </c>
      <c r="E155" s="23" t="n">
        <v>0</v>
      </c>
      <c r="F155" s="23" t="n">
        <v>0</v>
      </c>
      <c r="G155" s="24">
        <f>IF(F155&gt;0, MIN(F155, 2), 0)</f>
        <v/>
      </c>
      <c r="H155" s="24">
        <f>IF(F155&gt;2, F155-2, 0)</f>
        <v/>
      </c>
      <c r="I155" s="23" t="n">
        <v>0</v>
      </c>
      <c r="J155" s="23" t="n">
        <v>0</v>
      </c>
      <c r="K155" s="23" t="n">
        <v>0</v>
      </c>
      <c r="L155" s="25" t="inlineStr">
        <is>
          <t>週末例假</t>
        </is>
      </c>
    </row>
    <row r="156">
      <c r="A156" s="22" t="inlineStr">
        <is>
          <t>2026/09/13</t>
        </is>
      </c>
      <c r="B156" s="22" t="inlineStr">
        <is>
          <t>EMP08</t>
        </is>
      </c>
      <c r="C156" s="22" t="inlineStr">
        <is>
          <t>劉家豪</t>
        </is>
      </c>
      <c r="D156" s="22" t="inlineStr">
        <is>
          <t>例假日 (休)</t>
        </is>
      </c>
      <c r="E156" s="23" t="n">
        <v>0</v>
      </c>
      <c r="F156" s="23" t="n">
        <v>0</v>
      </c>
      <c r="G156" s="24">
        <f>IF(F156&gt;0, MIN(F156, 2), 0)</f>
        <v/>
      </c>
      <c r="H156" s="24">
        <f>IF(F156&gt;2, F156-2, 0)</f>
        <v/>
      </c>
      <c r="I156" s="23" t="n">
        <v>0</v>
      </c>
      <c r="J156" s="23" t="n">
        <v>0</v>
      </c>
      <c r="K156" s="23" t="n">
        <v>0</v>
      </c>
      <c r="L156" s="25" t="inlineStr">
        <is>
          <t>週末例假</t>
        </is>
      </c>
    </row>
    <row r="157">
      <c r="A157" s="22" t="inlineStr">
        <is>
          <t>2026/09/13</t>
        </is>
      </c>
      <c r="B157" s="22" t="inlineStr">
        <is>
          <t>EMP09</t>
        </is>
      </c>
      <c r="C157" s="22" t="inlineStr">
        <is>
          <t>蔡佳蓉</t>
        </is>
      </c>
      <c r="D157" s="22" t="inlineStr">
        <is>
          <t>例假日 (休)</t>
        </is>
      </c>
      <c r="E157" s="23" t="n">
        <v>0</v>
      </c>
      <c r="F157" s="23" t="n">
        <v>0</v>
      </c>
      <c r="G157" s="24">
        <f>IF(F157&gt;0, MIN(F157, 2), 0)</f>
        <v/>
      </c>
      <c r="H157" s="24">
        <f>IF(F157&gt;2, F157-2, 0)</f>
        <v/>
      </c>
      <c r="I157" s="23" t="n">
        <v>0</v>
      </c>
      <c r="J157" s="23" t="n">
        <v>0</v>
      </c>
      <c r="K157" s="23" t="n">
        <v>0</v>
      </c>
      <c r="L157" s="25" t="inlineStr">
        <is>
          <t>週末例假</t>
        </is>
      </c>
    </row>
    <row r="158">
      <c r="A158" s="22" t="inlineStr">
        <is>
          <t>2026/09/13</t>
        </is>
      </c>
      <c r="B158" s="22" t="inlineStr">
        <is>
          <t>EMP10</t>
        </is>
      </c>
      <c r="C158" s="22" t="inlineStr">
        <is>
          <t>許博凱</t>
        </is>
      </c>
      <c r="D158" s="22" t="inlineStr">
        <is>
          <t>例假日 (休)</t>
        </is>
      </c>
      <c r="E158" s="23" t="n">
        <v>0</v>
      </c>
      <c r="F158" s="23" t="n">
        <v>0</v>
      </c>
      <c r="G158" s="24">
        <f>IF(F158&gt;0, MIN(F158, 2), 0)</f>
        <v/>
      </c>
      <c r="H158" s="24">
        <f>IF(F158&gt;2, F158-2, 0)</f>
        <v/>
      </c>
      <c r="I158" s="23" t="n">
        <v>0</v>
      </c>
      <c r="J158" s="23" t="n">
        <v>0</v>
      </c>
      <c r="K158" s="23" t="n">
        <v>0</v>
      </c>
      <c r="L158" s="25" t="inlineStr">
        <is>
          <t>週末例假</t>
        </is>
      </c>
    </row>
    <row r="159">
      <c r="A159" s="22" t="inlineStr">
        <is>
          <t>2026/09/13</t>
        </is>
      </c>
      <c r="B159" s="22" t="inlineStr">
        <is>
          <t>EMP11</t>
        </is>
      </c>
      <c r="C159" s="22" t="inlineStr">
        <is>
          <t>鄭淑芬</t>
        </is>
      </c>
      <c r="D159" s="22" t="inlineStr">
        <is>
          <t>例假日 (休)</t>
        </is>
      </c>
      <c r="E159" s="23" t="n">
        <v>0</v>
      </c>
      <c r="F159" s="23" t="n">
        <v>0</v>
      </c>
      <c r="G159" s="24">
        <f>IF(F159&gt;0, MIN(F159, 2), 0)</f>
        <v/>
      </c>
      <c r="H159" s="24">
        <f>IF(F159&gt;2, F159-2, 0)</f>
        <v/>
      </c>
      <c r="I159" s="23" t="n">
        <v>0</v>
      </c>
      <c r="J159" s="23" t="n">
        <v>0</v>
      </c>
      <c r="K159" s="23" t="n">
        <v>0</v>
      </c>
      <c r="L159" s="25" t="inlineStr">
        <is>
          <t>週末例假</t>
        </is>
      </c>
    </row>
    <row r="160">
      <c r="A160" s="22" t="inlineStr">
        <is>
          <t>2026/09/13</t>
        </is>
      </c>
      <c r="B160" s="22" t="inlineStr">
        <is>
          <t>EMP12</t>
        </is>
      </c>
      <c r="C160" s="22" t="inlineStr">
        <is>
          <t>謝宗翰</t>
        </is>
      </c>
      <c r="D160" s="22" t="inlineStr">
        <is>
          <t>例假日 (休)</t>
        </is>
      </c>
      <c r="E160" s="23" t="n">
        <v>0</v>
      </c>
      <c r="F160" s="23" t="n">
        <v>0</v>
      </c>
      <c r="G160" s="24">
        <f>IF(F160&gt;0, MIN(F160, 2), 0)</f>
        <v/>
      </c>
      <c r="H160" s="24">
        <f>IF(F160&gt;2, F160-2, 0)</f>
        <v/>
      </c>
      <c r="I160" s="23" t="n">
        <v>0</v>
      </c>
      <c r="J160" s="23" t="n">
        <v>0</v>
      </c>
      <c r="K160" s="23" t="n">
        <v>0</v>
      </c>
      <c r="L160" s="25" t="inlineStr">
        <is>
          <t>週末例假</t>
        </is>
      </c>
    </row>
    <row r="161">
      <c r="A161" s="8" t="inlineStr">
        <is>
          <t>2026/09/14</t>
        </is>
      </c>
      <c r="B161" s="8" t="inlineStr">
        <is>
          <t>EMP01</t>
        </is>
      </c>
      <c r="C161" s="8" t="inlineStr">
        <is>
          <t>陳建宏</t>
        </is>
      </c>
      <c r="D161" s="8" t="inlineStr">
        <is>
          <t>出勤正常</t>
        </is>
      </c>
      <c r="E161" s="19" t="n">
        <v>8</v>
      </c>
      <c r="F161" s="19" t="n">
        <v>0</v>
      </c>
      <c r="G161" s="20">
        <f>IF(F161&gt;0, MIN(F161, 2), 0)</f>
        <v/>
      </c>
      <c r="H161" s="20">
        <f>IF(F161&gt;2, F161-2, 0)</f>
        <v/>
      </c>
      <c r="I161" s="19" t="n">
        <v>0</v>
      </c>
      <c r="J161" s="19" t="n">
        <v>0</v>
      </c>
      <c r="K161" s="19" t="n">
        <v>0</v>
      </c>
      <c r="L161" s="21" t="inlineStr"/>
    </row>
    <row r="162">
      <c r="A162" s="8" t="inlineStr">
        <is>
          <t>2026/09/14</t>
        </is>
      </c>
      <c r="B162" s="8" t="inlineStr">
        <is>
          <t>EMP02</t>
        </is>
      </c>
      <c r="C162" s="8" t="inlineStr">
        <is>
          <t>林美玲</t>
        </is>
      </c>
      <c r="D162" s="8" t="inlineStr">
        <is>
          <t>出勤正常</t>
        </is>
      </c>
      <c r="E162" s="19" t="n">
        <v>8</v>
      </c>
      <c r="F162" s="19" t="n">
        <v>0</v>
      </c>
      <c r="G162" s="20">
        <f>IF(F162&gt;0, MIN(F162, 2), 0)</f>
        <v/>
      </c>
      <c r="H162" s="20">
        <f>IF(F162&gt;2, F162-2, 0)</f>
        <v/>
      </c>
      <c r="I162" s="19" t="n">
        <v>0</v>
      </c>
      <c r="J162" s="19" t="n">
        <v>0</v>
      </c>
      <c r="K162" s="19" t="n">
        <v>0</v>
      </c>
      <c r="L162" s="21" t="inlineStr"/>
    </row>
    <row r="163">
      <c r="A163" s="8" t="inlineStr">
        <is>
          <t>2026/09/14</t>
        </is>
      </c>
      <c r="B163" s="8" t="inlineStr">
        <is>
          <t>EMP03</t>
        </is>
      </c>
      <c r="C163" s="8" t="inlineStr">
        <is>
          <t>張志成</t>
        </is>
      </c>
      <c r="D163" s="8" t="inlineStr">
        <is>
          <t>出勤正常</t>
        </is>
      </c>
      <c r="E163" s="19" t="n">
        <v>8</v>
      </c>
      <c r="F163" s="19" t="n">
        <v>0</v>
      </c>
      <c r="G163" s="20">
        <f>IF(F163&gt;0, MIN(F163, 2), 0)</f>
        <v/>
      </c>
      <c r="H163" s="20">
        <f>IF(F163&gt;2, F163-2, 0)</f>
        <v/>
      </c>
      <c r="I163" s="19" t="n">
        <v>0</v>
      </c>
      <c r="J163" s="19" t="n">
        <v>0</v>
      </c>
      <c r="K163" s="19" t="n">
        <v>0</v>
      </c>
      <c r="L163" s="21" t="inlineStr"/>
    </row>
    <row r="164">
      <c r="A164" s="8" t="inlineStr">
        <is>
          <t>2026/09/14</t>
        </is>
      </c>
      <c r="B164" s="8" t="inlineStr">
        <is>
          <t>EMP04</t>
        </is>
      </c>
      <c r="C164" s="8" t="inlineStr">
        <is>
          <t>黃國榮</t>
        </is>
      </c>
      <c r="D164" s="8" t="inlineStr">
        <is>
          <t>出勤正常</t>
        </is>
      </c>
      <c r="E164" s="19" t="n">
        <v>8</v>
      </c>
      <c r="F164" s="19" t="n">
        <v>0</v>
      </c>
      <c r="G164" s="20">
        <f>IF(F164&gt;0, MIN(F164, 2), 0)</f>
        <v/>
      </c>
      <c r="H164" s="20">
        <f>IF(F164&gt;2, F164-2, 0)</f>
        <v/>
      </c>
      <c r="I164" s="19" t="n">
        <v>0</v>
      </c>
      <c r="J164" s="19" t="n">
        <v>0</v>
      </c>
      <c r="K164" s="19" t="n">
        <v>0</v>
      </c>
      <c r="L164" s="21" t="inlineStr"/>
    </row>
    <row r="165">
      <c r="A165" s="8" t="inlineStr">
        <is>
          <t>2026/09/14</t>
        </is>
      </c>
      <c r="B165" s="8" t="inlineStr">
        <is>
          <t>EMP05</t>
        </is>
      </c>
      <c r="C165" s="8" t="inlineStr">
        <is>
          <t>李雅婷</t>
        </is>
      </c>
      <c r="D165" s="8" t="inlineStr">
        <is>
          <t>出勤正常</t>
        </is>
      </c>
      <c r="E165" s="19" t="n">
        <v>8</v>
      </c>
      <c r="F165" s="19" t="n">
        <v>0</v>
      </c>
      <c r="G165" s="20">
        <f>IF(F165&gt;0, MIN(F165, 2), 0)</f>
        <v/>
      </c>
      <c r="H165" s="20">
        <f>IF(F165&gt;2, F165-2, 0)</f>
        <v/>
      </c>
      <c r="I165" s="19" t="n">
        <v>0</v>
      </c>
      <c r="J165" s="19" t="n">
        <v>0</v>
      </c>
      <c r="K165" s="19" t="n">
        <v>0</v>
      </c>
      <c r="L165" s="21" t="inlineStr"/>
    </row>
    <row r="166">
      <c r="A166" s="8" t="inlineStr">
        <is>
          <t>2026/09/14</t>
        </is>
      </c>
      <c r="B166" s="8" t="inlineStr">
        <is>
          <t>EMP06</t>
        </is>
      </c>
      <c r="C166" s="8" t="inlineStr">
        <is>
          <t>王俊傑</t>
        </is>
      </c>
      <c r="D166" s="8" t="inlineStr">
        <is>
          <t>出勤正常</t>
        </is>
      </c>
      <c r="E166" s="19" t="n">
        <v>8</v>
      </c>
      <c r="F166" s="19" t="n">
        <v>0</v>
      </c>
      <c r="G166" s="20">
        <f>IF(F166&gt;0, MIN(F166, 2), 0)</f>
        <v/>
      </c>
      <c r="H166" s="20">
        <f>IF(F166&gt;2, F166-2, 0)</f>
        <v/>
      </c>
      <c r="I166" s="19" t="n">
        <v>0</v>
      </c>
      <c r="J166" s="19" t="n">
        <v>0</v>
      </c>
      <c r="K166" s="19" t="n">
        <v>0</v>
      </c>
      <c r="L166" s="21" t="inlineStr"/>
    </row>
    <row r="167">
      <c r="A167" s="8" t="inlineStr">
        <is>
          <t>2026/09/14</t>
        </is>
      </c>
      <c r="B167" s="8" t="inlineStr">
        <is>
          <t>EMP07</t>
        </is>
      </c>
      <c r="C167" s="8" t="inlineStr">
        <is>
          <t>吳佩芬</t>
        </is>
      </c>
      <c r="D167" s="8" t="inlineStr">
        <is>
          <t>出勤正常</t>
        </is>
      </c>
      <c r="E167" s="19" t="n">
        <v>8</v>
      </c>
      <c r="F167" s="19" t="n">
        <v>2</v>
      </c>
      <c r="G167" s="20">
        <f>IF(F167&gt;0, MIN(F167, 2), 0)</f>
        <v/>
      </c>
      <c r="H167" s="20">
        <f>IF(F167&gt;2, F167-2, 0)</f>
        <v/>
      </c>
      <c r="I167" s="19" t="n">
        <v>0</v>
      </c>
      <c r="J167" s="19" t="n">
        <v>0</v>
      </c>
      <c r="K167" s="19" t="n">
        <v>0</v>
      </c>
      <c r="L167" s="21" t="inlineStr">
        <is>
          <t>組裝加班</t>
        </is>
      </c>
    </row>
    <row r="168">
      <c r="A168" s="8" t="inlineStr">
        <is>
          <t>2026/09/14</t>
        </is>
      </c>
      <c r="B168" s="8" t="inlineStr">
        <is>
          <t>EMP08</t>
        </is>
      </c>
      <c r="C168" s="8" t="inlineStr">
        <is>
          <t>劉家豪</t>
        </is>
      </c>
      <c r="D168" s="8" t="inlineStr">
        <is>
          <t>出勤正常</t>
        </is>
      </c>
      <c r="E168" s="19" t="n">
        <v>8</v>
      </c>
      <c r="F168" s="19" t="n">
        <v>0</v>
      </c>
      <c r="G168" s="20">
        <f>IF(F168&gt;0, MIN(F168, 2), 0)</f>
        <v/>
      </c>
      <c r="H168" s="20">
        <f>IF(F168&gt;2, F168-2, 0)</f>
        <v/>
      </c>
      <c r="I168" s="19" t="n">
        <v>0</v>
      </c>
      <c r="J168" s="19" t="n">
        <v>0</v>
      </c>
      <c r="K168" s="19" t="n">
        <v>0</v>
      </c>
      <c r="L168" s="21" t="inlineStr"/>
    </row>
    <row r="169">
      <c r="A169" s="8" t="inlineStr">
        <is>
          <t>2026/09/14</t>
        </is>
      </c>
      <c r="B169" s="8" t="inlineStr">
        <is>
          <t>EMP09</t>
        </is>
      </c>
      <c r="C169" s="8" t="inlineStr">
        <is>
          <t>蔡佳蓉</t>
        </is>
      </c>
      <c r="D169" s="8" t="inlineStr">
        <is>
          <t>出勤正常</t>
        </is>
      </c>
      <c r="E169" s="19" t="n">
        <v>8</v>
      </c>
      <c r="F169" s="19" t="n">
        <v>0</v>
      </c>
      <c r="G169" s="20">
        <f>IF(F169&gt;0, MIN(F169, 2), 0)</f>
        <v/>
      </c>
      <c r="H169" s="20">
        <f>IF(F169&gt;2, F169-2, 0)</f>
        <v/>
      </c>
      <c r="I169" s="19" t="n">
        <v>0</v>
      </c>
      <c r="J169" s="19" t="n">
        <v>0</v>
      </c>
      <c r="K169" s="19" t="n">
        <v>0</v>
      </c>
      <c r="L169" s="21" t="inlineStr"/>
    </row>
    <row r="170">
      <c r="A170" s="8" t="inlineStr">
        <is>
          <t>2026/09/14</t>
        </is>
      </c>
      <c r="B170" s="8" t="inlineStr">
        <is>
          <t>EMP10</t>
        </is>
      </c>
      <c r="C170" s="8" t="inlineStr">
        <is>
          <t>許博凱</t>
        </is>
      </c>
      <c r="D170" s="8" t="inlineStr">
        <is>
          <t>出勤正常</t>
        </is>
      </c>
      <c r="E170" s="19" t="n">
        <v>8</v>
      </c>
      <c r="F170" s="19" t="n">
        <v>0</v>
      </c>
      <c r="G170" s="20">
        <f>IF(F170&gt;0, MIN(F170, 2), 0)</f>
        <v/>
      </c>
      <c r="H170" s="20">
        <f>IF(F170&gt;2, F170-2, 0)</f>
        <v/>
      </c>
      <c r="I170" s="19" t="n">
        <v>0</v>
      </c>
      <c r="J170" s="19" t="n">
        <v>0</v>
      </c>
      <c r="K170" s="19" t="n">
        <v>0</v>
      </c>
      <c r="L170" s="21" t="inlineStr"/>
    </row>
    <row r="171">
      <c r="A171" s="8" t="inlineStr">
        <is>
          <t>2026/09/14</t>
        </is>
      </c>
      <c r="B171" s="8" t="inlineStr">
        <is>
          <t>EMP11</t>
        </is>
      </c>
      <c r="C171" s="8" t="inlineStr">
        <is>
          <t>鄭淑芬</t>
        </is>
      </c>
      <c r="D171" s="8" t="inlineStr">
        <is>
          <t>出勤正常</t>
        </is>
      </c>
      <c r="E171" s="19" t="n">
        <v>8</v>
      </c>
      <c r="F171" s="19" t="n">
        <v>0</v>
      </c>
      <c r="G171" s="20">
        <f>IF(F171&gt;0, MIN(F171, 2), 0)</f>
        <v/>
      </c>
      <c r="H171" s="20">
        <f>IF(F171&gt;2, F171-2, 0)</f>
        <v/>
      </c>
      <c r="I171" s="19" t="n">
        <v>0</v>
      </c>
      <c r="J171" s="19" t="n">
        <v>0</v>
      </c>
      <c r="K171" s="19" t="n">
        <v>0</v>
      </c>
      <c r="L171" s="21" t="inlineStr"/>
    </row>
    <row r="172">
      <c r="A172" s="8" t="inlineStr">
        <is>
          <t>2026/09/14</t>
        </is>
      </c>
      <c r="B172" s="8" t="inlineStr">
        <is>
          <t>EMP12</t>
        </is>
      </c>
      <c r="C172" s="8" t="inlineStr">
        <is>
          <t>謝宗翰</t>
        </is>
      </c>
      <c r="D172" s="8" t="inlineStr">
        <is>
          <t>出勤正常</t>
        </is>
      </c>
      <c r="E172" s="19" t="n">
        <v>8</v>
      </c>
      <c r="F172" s="19" t="n">
        <v>0</v>
      </c>
      <c r="G172" s="20">
        <f>IF(F172&gt;0, MIN(F172, 2), 0)</f>
        <v/>
      </c>
      <c r="H172" s="20">
        <f>IF(F172&gt;2, F172-2, 0)</f>
        <v/>
      </c>
      <c r="I172" s="19" t="n">
        <v>0</v>
      </c>
      <c r="J172" s="19" t="n">
        <v>0</v>
      </c>
      <c r="K172" s="19" t="n">
        <v>0</v>
      </c>
      <c r="L172" s="21" t="inlineStr"/>
    </row>
    <row r="173">
      <c r="A173" s="8" t="inlineStr">
        <is>
          <t>2026/09/15</t>
        </is>
      </c>
      <c r="B173" s="8" t="inlineStr">
        <is>
          <t>EMP01</t>
        </is>
      </c>
      <c r="C173" s="8" t="inlineStr">
        <is>
          <t>陳建宏</t>
        </is>
      </c>
      <c r="D173" s="8" t="inlineStr">
        <is>
          <t>出勤正常</t>
        </is>
      </c>
      <c r="E173" s="19" t="n">
        <v>8</v>
      </c>
      <c r="F173" s="19" t="n">
        <v>3</v>
      </c>
      <c r="G173" s="20">
        <f>IF(F173&gt;0, MIN(F173, 2), 0)</f>
        <v/>
      </c>
      <c r="H173" s="20">
        <f>IF(F173&gt;2, F173-2, 0)</f>
        <v/>
      </c>
      <c r="I173" s="19" t="n">
        <v>0</v>
      </c>
      <c r="J173" s="19" t="n">
        <v>0</v>
      </c>
      <c r="K173" s="19" t="n">
        <v>0</v>
      </c>
      <c r="L173" s="21" t="inlineStr">
        <is>
          <t>設備保養</t>
        </is>
      </c>
    </row>
    <row r="174">
      <c r="A174" s="8" t="inlineStr">
        <is>
          <t>2026/09/15</t>
        </is>
      </c>
      <c r="B174" s="8" t="inlineStr">
        <is>
          <t>EMP02</t>
        </is>
      </c>
      <c r="C174" s="8" t="inlineStr">
        <is>
          <t>林美玲</t>
        </is>
      </c>
      <c r="D174" s="8" t="inlineStr">
        <is>
          <t>出勤正常</t>
        </is>
      </c>
      <c r="E174" s="19" t="n">
        <v>8</v>
      </c>
      <c r="F174" s="19" t="n">
        <v>0</v>
      </c>
      <c r="G174" s="20">
        <f>IF(F174&gt;0, MIN(F174, 2), 0)</f>
        <v/>
      </c>
      <c r="H174" s="20">
        <f>IF(F174&gt;2, F174-2, 0)</f>
        <v/>
      </c>
      <c r="I174" s="19" t="n">
        <v>0</v>
      </c>
      <c r="J174" s="19" t="n">
        <v>0</v>
      </c>
      <c r="K174" s="19" t="n">
        <v>0</v>
      </c>
      <c r="L174" s="21" t="inlineStr"/>
    </row>
    <row r="175">
      <c r="A175" s="8" t="inlineStr">
        <is>
          <t>2026/09/15</t>
        </is>
      </c>
      <c r="B175" s="8" t="inlineStr">
        <is>
          <t>EMP03</t>
        </is>
      </c>
      <c r="C175" s="8" t="inlineStr">
        <is>
          <t>張志成</t>
        </is>
      </c>
      <c r="D175" s="8" t="inlineStr">
        <is>
          <t>出勤正常</t>
        </is>
      </c>
      <c r="E175" s="19" t="n">
        <v>8</v>
      </c>
      <c r="F175" s="19" t="n">
        <v>0</v>
      </c>
      <c r="G175" s="20">
        <f>IF(F175&gt;0, MIN(F175, 2), 0)</f>
        <v/>
      </c>
      <c r="H175" s="20">
        <f>IF(F175&gt;2, F175-2, 0)</f>
        <v/>
      </c>
      <c r="I175" s="19" t="n">
        <v>0</v>
      </c>
      <c r="J175" s="19" t="n">
        <v>0</v>
      </c>
      <c r="K175" s="19" t="n">
        <v>1000</v>
      </c>
      <c r="L175" s="21" t="inlineStr">
        <is>
          <t>月中預支 1,000 元</t>
        </is>
      </c>
    </row>
    <row r="176">
      <c r="A176" s="8" t="inlineStr">
        <is>
          <t>2026/09/15</t>
        </is>
      </c>
      <c r="B176" s="8" t="inlineStr">
        <is>
          <t>EMP04</t>
        </is>
      </c>
      <c r="C176" s="8" t="inlineStr">
        <is>
          <t>黃國榮</t>
        </is>
      </c>
      <c r="D176" s="8" t="inlineStr">
        <is>
          <t>出勤正常</t>
        </is>
      </c>
      <c r="E176" s="19" t="n">
        <v>8</v>
      </c>
      <c r="F176" s="19" t="n">
        <v>0</v>
      </c>
      <c r="G176" s="20">
        <f>IF(F176&gt;0, MIN(F176, 2), 0)</f>
        <v/>
      </c>
      <c r="H176" s="20">
        <f>IF(F176&gt;2, F176-2, 0)</f>
        <v/>
      </c>
      <c r="I176" s="19" t="n">
        <v>0</v>
      </c>
      <c r="J176" s="19" t="n">
        <v>0</v>
      </c>
      <c r="K176" s="19" t="n">
        <v>0</v>
      </c>
      <c r="L176" s="21" t="inlineStr"/>
    </row>
    <row r="177">
      <c r="A177" s="8" t="inlineStr">
        <is>
          <t>2026/09/15</t>
        </is>
      </c>
      <c r="B177" s="8" t="inlineStr">
        <is>
          <t>EMP05</t>
        </is>
      </c>
      <c r="C177" s="8" t="inlineStr">
        <is>
          <t>李雅婷</t>
        </is>
      </c>
      <c r="D177" s="8" t="inlineStr">
        <is>
          <t>出勤正常</t>
        </is>
      </c>
      <c r="E177" s="19" t="n">
        <v>8</v>
      </c>
      <c r="F177" s="19" t="n">
        <v>2</v>
      </c>
      <c r="G177" s="20">
        <f>IF(F177&gt;0, MIN(F177, 2), 0)</f>
        <v/>
      </c>
      <c r="H177" s="20">
        <f>IF(F177&gt;2, F177-2, 0)</f>
        <v/>
      </c>
      <c r="I177" s="19" t="n">
        <v>0</v>
      </c>
      <c r="J177" s="19" t="n">
        <v>0</v>
      </c>
      <c r="K177" s="19" t="n">
        <v>0</v>
      </c>
      <c r="L177" s="21" t="inlineStr">
        <is>
          <t>品檢抽樣</t>
        </is>
      </c>
    </row>
    <row r="178">
      <c r="A178" s="8" t="inlineStr">
        <is>
          <t>2026/09/15</t>
        </is>
      </c>
      <c r="B178" s="8" t="inlineStr">
        <is>
          <t>EMP06</t>
        </is>
      </c>
      <c r="C178" s="8" t="inlineStr">
        <is>
          <t>王俊傑</t>
        </is>
      </c>
      <c r="D178" s="8" t="inlineStr">
        <is>
          <t>出勤正常</t>
        </is>
      </c>
      <c r="E178" s="19" t="n">
        <v>8</v>
      </c>
      <c r="F178" s="19" t="n">
        <v>0</v>
      </c>
      <c r="G178" s="20">
        <f>IF(F178&gt;0, MIN(F178, 2), 0)</f>
        <v/>
      </c>
      <c r="H178" s="20">
        <f>IF(F178&gt;2, F178-2, 0)</f>
        <v/>
      </c>
      <c r="I178" s="19" t="n">
        <v>0</v>
      </c>
      <c r="J178" s="19" t="n">
        <v>0</v>
      </c>
      <c r="K178" s="19" t="n">
        <v>0</v>
      </c>
      <c r="L178" s="21" t="inlineStr"/>
    </row>
    <row r="179">
      <c r="A179" s="8" t="inlineStr">
        <is>
          <t>2026/09/15</t>
        </is>
      </c>
      <c r="B179" s="8" t="inlineStr">
        <is>
          <t>EMP07</t>
        </is>
      </c>
      <c r="C179" s="8" t="inlineStr">
        <is>
          <t>吳佩芬</t>
        </is>
      </c>
      <c r="D179" s="8" t="inlineStr">
        <is>
          <t>出勤正常</t>
        </is>
      </c>
      <c r="E179" s="19" t="n">
        <v>8</v>
      </c>
      <c r="F179" s="19" t="n">
        <v>0</v>
      </c>
      <c r="G179" s="20">
        <f>IF(F179&gt;0, MIN(F179, 2), 0)</f>
        <v/>
      </c>
      <c r="H179" s="20">
        <f>IF(F179&gt;2, F179-2, 0)</f>
        <v/>
      </c>
      <c r="I179" s="19" t="n">
        <v>0</v>
      </c>
      <c r="J179" s="19" t="n">
        <v>0</v>
      </c>
      <c r="K179" s="19" t="n">
        <v>0</v>
      </c>
      <c r="L179" s="21" t="inlineStr"/>
    </row>
    <row r="180">
      <c r="A180" s="8" t="inlineStr">
        <is>
          <t>2026/09/15</t>
        </is>
      </c>
      <c r="B180" s="8" t="inlineStr">
        <is>
          <t>EMP08</t>
        </is>
      </c>
      <c r="C180" s="8" t="inlineStr">
        <is>
          <t>劉家豪</t>
        </is>
      </c>
      <c r="D180" s="8" t="inlineStr">
        <is>
          <t>出勤正常</t>
        </is>
      </c>
      <c r="E180" s="19" t="n">
        <v>8</v>
      </c>
      <c r="F180" s="19" t="n">
        <v>0</v>
      </c>
      <c r="G180" s="20">
        <f>IF(F180&gt;0, MIN(F180, 2), 0)</f>
        <v/>
      </c>
      <c r="H180" s="20">
        <f>IF(F180&gt;2, F180-2, 0)</f>
        <v/>
      </c>
      <c r="I180" s="19" t="n">
        <v>0</v>
      </c>
      <c r="J180" s="19" t="n">
        <v>0</v>
      </c>
      <c r="K180" s="19" t="n">
        <v>0</v>
      </c>
      <c r="L180" s="21" t="inlineStr"/>
    </row>
    <row r="181">
      <c r="A181" s="8" t="inlineStr">
        <is>
          <t>2026/09/15</t>
        </is>
      </c>
      <c r="B181" s="8" t="inlineStr">
        <is>
          <t>EMP09</t>
        </is>
      </c>
      <c r="C181" s="8" t="inlineStr">
        <is>
          <t>蔡佳蓉</t>
        </is>
      </c>
      <c r="D181" s="8" t="inlineStr">
        <is>
          <t>出勤正常</t>
        </is>
      </c>
      <c r="E181" s="19" t="n">
        <v>8</v>
      </c>
      <c r="F181" s="19" t="n">
        <v>3</v>
      </c>
      <c r="G181" s="20">
        <f>IF(F181&gt;0, MIN(F181, 2), 0)</f>
        <v/>
      </c>
      <c r="H181" s="20">
        <f>IF(F181&gt;2, F181-2, 0)</f>
        <v/>
      </c>
      <c r="I181" s="19" t="n">
        <v>0</v>
      </c>
      <c r="J181" s="19" t="n">
        <v>0</v>
      </c>
      <c r="K181" s="19" t="n">
        <v>0</v>
      </c>
      <c r="L181" s="21" t="inlineStr">
        <is>
          <t>出貨包裝</t>
        </is>
      </c>
    </row>
    <row r="182">
      <c r="A182" s="8" t="inlineStr">
        <is>
          <t>2026/09/15</t>
        </is>
      </c>
      <c r="B182" s="8" t="inlineStr">
        <is>
          <t>EMP10</t>
        </is>
      </c>
      <c r="C182" s="8" t="inlineStr">
        <is>
          <t>許博凱</t>
        </is>
      </c>
      <c r="D182" s="8" t="inlineStr">
        <is>
          <t>出勤正常</t>
        </is>
      </c>
      <c r="E182" s="19" t="n">
        <v>8</v>
      </c>
      <c r="F182" s="19" t="n">
        <v>2</v>
      </c>
      <c r="G182" s="20">
        <f>IF(F182&gt;0, MIN(F182, 2), 0)</f>
        <v/>
      </c>
      <c r="H182" s="20">
        <f>IF(F182&gt;2, F182-2, 0)</f>
        <v/>
      </c>
      <c r="I182" s="19" t="n">
        <v>0</v>
      </c>
      <c r="J182" s="19" t="n">
        <v>0</v>
      </c>
      <c r="K182" s="19" t="n">
        <v>0</v>
      </c>
      <c r="L182" s="21" t="inlineStr">
        <is>
          <t>倉儲大盤點</t>
        </is>
      </c>
    </row>
    <row r="183">
      <c r="A183" s="8" t="inlineStr">
        <is>
          <t>2026/09/15</t>
        </is>
      </c>
      <c r="B183" s="8" t="inlineStr">
        <is>
          <t>EMP11</t>
        </is>
      </c>
      <c r="C183" s="8" t="inlineStr">
        <is>
          <t>鄭淑芬</t>
        </is>
      </c>
      <c r="D183" s="8" t="inlineStr">
        <is>
          <t>出勤正常</t>
        </is>
      </c>
      <c r="E183" s="19" t="n">
        <v>8</v>
      </c>
      <c r="F183" s="19" t="n">
        <v>2</v>
      </c>
      <c r="G183" s="20">
        <f>IF(F183&gt;0, MIN(F183, 2), 0)</f>
        <v/>
      </c>
      <c r="H183" s="20">
        <f>IF(F183&gt;2, F183-2, 0)</f>
        <v/>
      </c>
      <c r="I183" s="19" t="n">
        <v>0</v>
      </c>
      <c r="J183" s="19" t="n">
        <v>0</v>
      </c>
      <c r="K183" s="19" t="n">
        <v>0</v>
      </c>
      <c r="L183" s="21" t="inlineStr">
        <is>
          <t>進料檢驗</t>
        </is>
      </c>
    </row>
    <row r="184">
      <c r="A184" s="8" t="inlineStr">
        <is>
          <t>2026/09/15</t>
        </is>
      </c>
      <c r="B184" s="8" t="inlineStr">
        <is>
          <t>EMP12</t>
        </is>
      </c>
      <c r="C184" s="8" t="inlineStr">
        <is>
          <t>謝宗翰</t>
        </is>
      </c>
      <c r="D184" s="8" t="inlineStr">
        <is>
          <t>出勤正常</t>
        </is>
      </c>
      <c r="E184" s="19" t="n">
        <v>8</v>
      </c>
      <c r="F184" s="19" t="n">
        <v>0</v>
      </c>
      <c r="G184" s="20">
        <f>IF(F184&gt;0, MIN(F184, 2), 0)</f>
        <v/>
      </c>
      <c r="H184" s="20">
        <f>IF(F184&gt;2, F184-2, 0)</f>
        <v/>
      </c>
      <c r="I184" s="19" t="n">
        <v>0</v>
      </c>
      <c r="J184" s="19" t="n">
        <v>0</v>
      </c>
      <c r="K184" s="19" t="n">
        <v>500</v>
      </c>
      <c r="L184" s="21" t="inlineStr">
        <is>
          <t>借支零用 500 元</t>
        </is>
      </c>
    </row>
    <row r="185">
      <c r="A185" s="8" t="inlineStr">
        <is>
          <t>2026/09/16</t>
        </is>
      </c>
      <c r="B185" s="8" t="inlineStr">
        <is>
          <t>EMP01</t>
        </is>
      </c>
      <c r="C185" s="8" t="inlineStr">
        <is>
          <t>陳建宏</t>
        </is>
      </c>
      <c r="D185" s="8" t="inlineStr">
        <is>
          <t>出勤正常</t>
        </is>
      </c>
      <c r="E185" s="19" t="n">
        <v>8</v>
      </c>
      <c r="F185" s="19" t="n">
        <v>0</v>
      </c>
      <c r="G185" s="20">
        <f>IF(F185&gt;0, MIN(F185, 2), 0)</f>
        <v/>
      </c>
      <c r="H185" s="20">
        <f>IF(F185&gt;2, F185-2, 0)</f>
        <v/>
      </c>
      <c r="I185" s="19" t="n">
        <v>0</v>
      </c>
      <c r="J185" s="19" t="n">
        <v>0</v>
      </c>
      <c r="K185" s="19" t="n">
        <v>0</v>
      </c>
      <c r="L185" s="21" t="inlineStr"/>
    </row>
    <row r="186">
      <c r="A186" s="8" t="inlineStr">
        <is>
          <t>2026/09/16</t>
        </is>
      </c>
      <c r="B186" s="8" t="inlineStr">
        <is>
          <t>EMP02</t>
        </is>
      </c>
      <c r="C186" s="8" t="inlineStr">
        <is>
          <t>林美玲</t>
        </is>
      </c>
      <c r="D186" s="8" t="inlineStr">
        <is>
          <t>出勤正常</t>
        </is>
      </c>
      <c r="E186" s="19" t="n">
        <v>8</v>
      </c>
      <c r="F186" s="19" t="n">
        <v>2</v>
      </c>
      <c r="G186" s="20">
        <f>IF(F186&gt;0, MIN(F186, 2), 0)</f>
        <v/>
      </c>
      <c r="H186" s="20">
        <f>IF(F186&gt;2, F186-2, 0)</f>
        <v/>
      </c>
      <c r="I186" s="19" t="n">
        <v>0</v>
      </c>
      <c r="J186" s="19" t="n">
        <v>0</v>
      </c>
      <c r="K186" s="19" t="n">
        <v>0</v>
      </c>
      <c r="L186" s="21" t="inlineStr">
        <is>
          <t>包裝支援</t>
        </is>
      </c>
    </row>
    <row r="187">
      <c r="A187" s="8" t="inlineStr">
        <is>
          <t>2026/09/16</t>
        </is>
      </c>
      <c r="B187" s="8" t="inlineStr">
        <is>
          <t>EMP03</t>
        </is>
      </c>
      <c r="C187" s="8" t="inlineStr">
        <is>
          <t>張志成</t>
        </is>
      </c>
      <c r="D187" s="8" t="inlineStr">
        <is>
          <t>出勤正常</t>
        </is>
      </c>
      <c r="E187" s="19" t="n">
        <v>8</v>
      </c>
      <c r="F187" s="19" t="n">
        <v>0</v>
      </c>
      <c r="G187" s="20">
        <f>IF(F187&gt;0, MIN(F187, 2), 0)</f>
        <v/>
      </c>
      <c r="H187" s="20">
        <f>IF(F187&gt;2, F187-2, 0)</f>
        <v/>
      </c>
      <c r="I187" s="19" t="n">
        <v>0</v>
      </c>
      <c r="J187" s="19" t="n">
        <v>0</v>
      </c>
      <c r="K187" s="19" t="n">
        <v>0</v>
      </c>
      <c r="L187" s="21" t="inlineStr"/>
    </row>
    <row r="188">
      <c r="A188" s="8" t="inlineStr">
        <is>
          <t>2026/09/16</t>
        </is>
      </c>
      <c r="B188" s="8" t="inlineStr">
        <is>
          <t>EMP04</t>
        </is>
      </c>
      <c r="C188" s="8" t="inlineStr">
        <is>
          <t>黃國榮</t>
        </is>
      </c>
      <c r="D188" s="8" t="inlineStr">
        <is>
          <t>出勤正常</t>
        </is>
      </c>
      <c r="E188" s="19" t="n">
        <v>8</v>
      </c>
      <c r="F188" s="19" t="n">
        <v>3</v>
      </c>
      <c r="G188" s="20">
        <f>IF(F188&gt;0, MIN(F188, 2), 0)</f>
        <v/>
      </c>
      <c r="H188" s="20">
        <f>IF(F188&gt;2, F188-2, 0)</f>
        <v/>
      </c>
      <c r="I188" s="19" t="n">
        <v>0</v>
      </c>
      <c r="J188" s="19" t="n">
        <v>0</v>
      </c>
      <c r="K188" s="19" t="n">
        <v>0</v>
      </c>
      <c r="L188" s="21" t="inlineStr">
        <is>
          <t>夜間搶修</t>
        </is>
      </c>
    </row>
    <row r="189">
      <c r="A189" s="8" t="inlineStr">
        <is>
          <t>2026/09/16</t>
        </is>
      </c>
      <c r="B189" s="8" t="inlineStr">
        <is>
          <t>EMP05</t>
        </is>
      </c>
      <c r="C189" s="8" t="inlineStr">
        <is>
          <t>李雅婷</t>
        </is>
      </c>
      <c r="D189" s="8" t="inlineStr">
        <is>
          <t>出勤正常</t>
        </is>
      </c>
      <c r="E189" s="19" t="n">
        <v>8</v>
      </c>
      <c r="F189" s="19" t="n">
        <v>0</v>
      </c>
      <c r="G189" s="20">
        <f>IF(F189&gt;0, MIN(F189, 2), 0)</f>
        <v/>
      </c>
      <c r="H189" s="20">
        <f>IF(F189&gt;2, F189-2, 0)</f>
        <v/>
      </c>
      <c r="I189" s="19" t="n">
        <v>0</v>
      </c>
      <c r="J189" s="19" t="n">
        <v>0</v>
      </c>
      <c r="K189" s="19" t="n">
        <v>0</v>
      </c>
      <c r="L189" s="21" t="inlineStr"/>
    </row>
    <row r="190">
      <c r="A190" s="8" t="inlineStr">
        <is>
          <t>2026/09/16</t>
        </is>
      </c>
      <c r="B190" s="8" t="inlineStr">
        <is>
          <t>EMP06</t>
        </is>
      </c>
      <c r="C190" s="8" t="inlineStr">
        <is>
          <t>王俊傑</t>
        </is>
      </c>
      <c r="D190" s="8" t="inlineStr">
        <is>
          <t>出勤正常</t>
        </is>
      </c>
      <c r="E190" s="19" t="n">
        <v>8</v>
      </c>
      <c r="F190" s="19" t="n">
        <v>2</v>
      </c>
      <c r="G190" s="20">
        <f>IF(F190&gt;0, MIN(F190, 2), 0)</f>
        <v/>
      </c>
      <c r="H190" s="20">
        <f>IF(F190&gt;2, F190-2, 0)</f>
        <v/>
      </c>
      <c r="I190" s="19" t="n">
        <v>0</v>
      </c>
      <c r="J190" s="19" t="n">
        <v>0</v>
      </c>
      <c r="K190" s="19" t="n">
        <v>0</v>
      </c>
      <c r="L190" s="21" t="inlineStr">
        <is>
          <t>支援產線</t>
        </is>
      </c>
    </row>
    <row r="191">
      <c r="A191" s="8" t="inlineStr">
        <is>
          <t>2026/09/16</t>
        </is>
      </c>
      <c r="B191" s="8" t="inlineStr">
        <is>
          <t>EMP07</t>
        </is>
      </c>
      <c r="C191" s="8" t="inlineStr">
        <is>
          <t>吳佩芬</t>
        </is>
      </c>
      <c r="D191" s="8" t="inlineStr">
        <is>
          <t>出勤正常</t>
        </is>
      </c>
      <c r="E191" s="19" t="n">
        <v>8</v>
      </c>
      <c r="F191" s="19" t="n">
        <v>0</v>
      </c>
      <c r="G191" s="20">
        <f>IF(F191&gt;0, MIN(F191, 2), 0)</f>
        <v/>
      </c>
      <c r="H191" s="20">
        <f>IF(F191&gt;2, F191-2, 0)</f>
        <v/>
      </c>
      <c r="I191" s="19" t="n">
        <v>0</v>
      </c>
      <c r="J191" s="19" t="n">
        <v>0</v>
      </c>
      <c r="K191" s="19" t="n">
        <v>0</v>
      </c>
      <c r="L191" s="21" t="inlineStr"/>
    </row>
    <row r="192">
      <c r="A192" s="8" t="inlineStr">
        <is>
          <t>2026/09/16</t>
        </is>
      </c>
      <c r="B192" s="8" t="inlineStr">
        <is>
          <t>EMP08</t>
        </is>
      </c>
      <c r="C192" s="8" t="inlineStr">
        <is>
          <t>劉家豪</t>
        </is>
      </c>
      <c r="D192" s="8" t="inlineStr">
        <is>
          <t>出勤正常</t>
        </is>
      </c>
      <c r="E192" s="19" t="n">
        <v>8</v>
      </c>
      <c r="F192" s="19" t="n">
        <v>0</v>
      </c>
      <c r="G192" s="20">
        <f>IF(F192&gt;0, MIN(F192, 2), 0)</f>
        <v/>
      </c>
      <c r="H192" s="20">
        <f>IF(F192&gt;2, F192-2, 0)</f>
        <v/>
      </c>
      <c r="I192" s="19" t="n">
        <v>0</v>
      </c>
      <c r="J192" s="19" t="n">
        <v>0</v>
      </c>
      <c r="K192" s="19" t="n">
        <v>0</v>
      </c>
      <c r="L192" s="21" t="inlineStr"/>
    </row>
    <row r="193">
      <c r="A193" s="8" t="inlineStr">
        <is>
          <t>2026/09/16</t>
        </is>
      </c>
      <c r="B193" s="8" t="inlineStr">
        <is>
          <t>EMP09</t>
        </is>
      </c>
      <c r="C193" s="8" t="inlineStr">
        <is>
          <t>蔡佳蓉</t>
        </is>
      </c>
      <c r="D193" s="8" t="inlineStr">
        <is>
          <t>出勤正常</t>
        </is>
      </c>
      <c r="E193" s="19" t="n">
        <v>8</v>
      </c>
      <c r="F193" s="19" t="n">
        <v>0</v>
      </c>
      <c r="G193" s="20">
        <f>IF(F193&gt;0, MIN(F193, 2), 0)</f>
        <v/>
      </c>
      <c r="H193" s="20">
        <f>IF(F193&gt;2, F193-2, 0)</f>
        <v/>
      </c>
      <c r="I193" s="19" t="n">
        <v>0</v>
      </c>
      <c r="J193" s="19" t="n">
        <v>0</v>
      </c>
      <c r="K193" s="19" t="n">
        <v>0</v>
      </c>
      <c r="L193" s="21" t="inlineStr"/>
    </row>
    <row r="194">
      <c r="A194" s="8" t="inlineStr">
        <is>
          <t>2026/09/16</t>
        </is>
      </c>
      <c r="B194" s="8" t="inlineStr">
        <is>
          <t>EMP10</t>
        </is>
      </c>
      <c r="C194" s="8" t="inlineStr">
        <is>
          <t>許博凱</t>
        </is>
      </c>
      <c r="D194" s="8" t="inlineStr">
        <is>
          <t>出勤正常</t>
        </is>
      </c>
      <c r="E194" s="19" t="n">
        <v>8</v>
      </c>
      <c r="F194" s="19" t="n">
        <v>0</v>
      </c>
      <c r="G194" s="20">
        <f>IF(F194&gt;0, MIN(F194, 2), 0)</f>
        <v/>
      </c>
      <c r="H194" s="20">
        <f>IF(F194&gt;2, F194-2, 0)</f>
        <v/>
      </c>
      <c r="I194" s="19" t="n">
        <v>0</v>
      </c>
      <c r="J194" s="19" t="n">
        <v>0</v>
      </c>
      <c r="K194" s="19" t="n">
        <v>0</v>
      </c>
      <c r="L194" s="21" t="inlineStr"/>
    </row>
    <row r="195">
      <c r="A195" s="8" t="inlineStr">
        <is>
          <t>2026/09/16</t>
        </is>
      </c>
      <c r="B195" s="8" t="inlineStr">
        <is>
          <t>EMP11</t>
        </is>
      </c>
      <c r="C195" s="8" t="inlineStr">
        <is>
          <t>鄭淑芬</t>
        </is>
      </c>
      <c r="D195" s="8" t="inlineStr">
        <is>
          <t>出勤正常</t>
        </is>
      </c>
      <c r="E195" s="19" t="n">
        <v>8</v>
      </c>
      <c r="F195" s="19" t="n">
        <v>0</v>
      </c>
      <c r="G195" s="20">
        <f>IF(F195&gt;0, MIN(F195, 2), 0)</f>
        <v/>
      </c>
      <c r="H195" s="20">
        <f>IF(F195&gt;2, F195-2, 0)</f>
        <v/>
      </c>
      <c r="I195" s="19" t="n">
        <v>0</v>
      </c>
      <c r="J195" s="19" t="n">
        <v>0</v>
      </c>
      <c r="K195" s="19" t="n">
        <v>0</v>
      </c>
      <c r="L195" s="21" t="inlineStr"/>
    </row>
    <row r="196">
      <c r="A196" s="8" t="inlineStr">
        <is>
          <t>2026/09/16</t>
        </is>
      </c>
      <c r="B196" s="8" t="inlineStr">
        <is>
          <t>EMP12</t>
        </is>
      </c>
      <c r="C196" s="8" t="inlineStr">
        <is>
          <t>謝宗翰</t>
        </is>
      </c>
      <c r="D196" s="8" t="inlineStr">
        <is>
          <t>出勤正常</t>
        </is>
      </c>
      <c r="E196" s="19" t="n">
        <v>8</v>
      </c>
      <c r="F196" s="19" t="n">
        <v>0</v>
      </c>
      <c r="G196" s="20">
        <f>IF(F196&gt;0, MIN(F196, 2), 0)</f>
        <v/>
      </c>
      <c r="H196" s="20">
        <f>IF(F196&gt;2, F196-2, 0)</f>
        <v/>
      </c>
      <c r="I196" s="19" t="n">
        <v>0</v>
      </c>
      <c r="J196" s="19" t="n">
        <v>0</v>
      </c>
      <c r="K196" s="19" t="n">
        <v>0</v>
      </c>
      <c r="L196" s="21" t="inlineStr"/>
    </row>
    <row r="197">
      <c r="A197" s="8" t="inlineStr">
        <is>
          <t>2026/09/17</t>
        </is>
      </c>
      <c r="B197" s="8" t="inlineStr">
        <is>
          <t>EMP01</t>
        </is>
      </c>
      <c r="C197" s="8" t="inlineStr">
        <is>
          <t>陳建宏</t>
        </is>
      </c>
      <c r="D197" s="8" t="inlineStr">
        <is>
          <t>出勤正常</t>
        </is>
      </c>
      <c r="E197" s="19" t="n">
        <v>8</v>
      </c>
      <c r="F197" s="19" t="n">
        <v>0</v>
      </c>
      <c r="G197" s="20">
        <f>IF(F197&gt;0, MIN(F197, 2), 0)</f>
        <v/>
      </c>
      <c r="H197" s="20">
        <f>IF(F197&gt;2, F197-2, 0)</f>
        <v/>
      </c>
      <c r="I197" s="19" t="n">
        <v>0</v>
      </c>
      <c r="J197" s="19" t="n">
        <v>0</v>
      </c>
      <c r="K197" s="19" t="n">
        <v>0</v>
      </c>
      <c r="L197" s="21" t="inlineStr"/>
    </row>
    <row r="198">
      <c r="A198" s="8" t="inlineStr">
        <is>
          <t>2026/09/17</t>
        </is>
      </c>
      <c r="B198" s="8" t="inlineStr">
        <is>
          <t>EMP02</t>
        </is>
      </c>
      <c r="C198" s="8" t="inlineStr">
        <is>
          <t>林美玲</t>
        </is>
      </c>
      <c r="D198" s="8" t="inlineStr">
        <is>
          <t>出勤正常</t>
        </is>
      </c>
      <c r="E198" s="19" t="n">
        <v>8</v>
      </c>
      <c r="F198" s="19" t="n">
        <v>0</v>
      </c>
      <c r="G198" s="20">
        <f>IF(F198&gt;0, MIN(F198, 2), 0)</f>
        <v/>
      </c>
      <c r="H198" s="20">
        <f>IF(F198&gt;2, F198-2, 0)</f>
        <v/>
      </c>
      <c r="I198" s="19" t="n">
        <v>0</v>
      </c>
      <c r="J198" s="19" t="n">
        <v>0</v>
      </c>
      <c r="K198" s="19" t="n">
        <v>0</v>
      </c>
      <c r="L198" s="21" t="inlineStr"/>
    </row>
    <row r="199">
      <c r="A199" s="8" t="inlineStr">
        <is>
          <t>2026/09/17</t>
        </is>
      </c>
      <c r="B199" s="8" t="inlineStr">
        <is>
          <t>EMP03</t>
        </is>
      </c>
      <c r="C199" s="8" t="inlineStr">
        <is>
          <t>張志成</t>
        </is>
      </c>
      <c r="D199" s="8" t="inlineStr">
        <is>
          <t>出勤正常</t>
        </is>
      </c>
      <c r="E199" s="19" t="n">
        <v>8</v>
      </c>
      <c r="F199" s="19" t="n">
        <v>3</v>
      </c>
      <c r="G199" s="20">
        <f>IF(F199&gt;0, MIN(F199, 2), 0)</f>
        <v/>
      </c>
      <c r="H199" s="20">
        <f>IF(F199&gt;2, F199-2, 0)</f>
        <v/>
      </c>
      <c r="I199" s="19" t="n">
        <v>0</v>
      </c>
      <c r="J199" s="19" t="n">
        <v>0</v>
      </c>
      <c r="K199" s="19" t="n">
        <v>0</v>
      </c>
      <c r="L199" s="21" t="inlineStr">
        <is>
          <t>備料加班</t>
        </is>
      </c>
    </row>
    <row r="200">
      <c r="A200" s="8" t="inlineStr">
        <is>
          <t>2026/09/17</t>
        </is>
      </c>
      <c r="B200" s="8" t="inlineStr">
        <is>
          <t>EMP04</t>
        </is>
      </c>
      <c r="C200" s="8" t="inlineStr">
        <is>
          <t>黃國榮</t>
        </is>
      </c>
      <c r="D200" s="8" t="inlineStr">
        <is>
          <t>出勤正常</t>
        </is>
      </c>
      <c r="E200" s="19" t="n">
        <v>8</v>
      </c>
      <c r="F200" s="19" t="n">
        <v>0</v>
      </c>
      <c r="G200" s="20">
        <f>IF(F200&gt;0, MIN(F200, 2), 0)</f>
        <v/>
      </c>
      <c r="H200" s="20">
        <f>IF(F200&gt;2, F200-2, 0)</f>
        <v/>
      </c>
      <c r="I200" s="19" t="n">
        <v>0</v>
      </c>
      <c r="J200" s="19" t="n">
        <v>0</v>
      </c>
      <c r="K200" s="19" t="n">
        <v>0</v>
      </c>
      <c r="L200" s="21" t="inlineStr"/>
    </row>
    <row r="201">
      <c r="A201" s="8" t="inlineStr">
        <is>
          <t>2026/09/17</t>
        </is>
      </c>
      <c r="B201" s="8" t="inlineStr">
        <is>
          <t>EMP05</t>
        </is>
      </c>
      <c r="C201" s="8" t="inlineStr">
        <is>
          <t>李雅婷</t>
        </is>
      </c>
      <c r="D201" s="8" t="inlineStr">
        <is>
          <t>出勤正常</t>
        </is>
      </c>
      <c r="E201" s="19" t="n">
        <v>8</v>
      </c>
      <c r="F201" s="19" t="n">
        <v>0</v>
      </c>
      <c r="G201" s="20">
        <f>IF(F201&gt;0, MIN(F201, 2), 0)</f>
        <v/>
      </c>
      <c r="H201" s="20">
        <f>IF(F201&gt;2, F201-2, 0)</f>
        <v/>
      </c>
      <c r="I201" s="19" t="n">
        <v>0</v>
      </c>
      <c r="J201" s="19" t="n">
        <v>0</v>
      </c>
      <c r="K201" s="19" t="n">
        <v>0</v>
      </c>
      <c r="L201" s="21" t="inlineStr"/>
    </row>
    <row r="202">
      <c r="A202" s="8" t="inlineStr">
        <is>
          <t>2026/09/17</t>
        </is>
      </c>
      <c r="B202" s="8" t="inlineStr">
        <is>
          <t>EMP06</t>
        </is>
      </c>
      <c r="C202" s="8" t="inlineStr">
        <is>
          <t>王俊傑</t>
        </is>
      </c>
      <c r="D202" s="8" t="inlineStr">
        <is>
          <t>出勤正常</t>
        </is>
      </c>
      <c r="E202" s="19" t="n">
        <v>8</v>
      </c>
      <c r="F202" s="19" t="n">
        <v>0</v>
      </c>
      <c r="G202" s="20">
        <f>IF(F202&gt;0, MIN(F202, 2), 0)</f>
        <v/>
      </c>
      <c r="H202" s="20">
        <f>IF(F202&gt;2, F202-2, 0)</f>
        <v/>
      </c>
      <c r="I202" s="19" t="n">
        <v>0</v>
      </c>
      <c r="J202" s="19" t="n">
        <v>0</v>
      </c>
      <c r="K202" s="19" t="n">
        <v>0</v>
      </c>
      <c r="L202" s="21" t="inlineStr"/>
    </row>
    <row r="203">
      <c r="A203" s="8" t="inlineStr">
        <is>
          <t>2026/09/17</t>
        </is>
      </c>
      <c r="B203" s="8" t="inlineStr">
        <is>
          <t>EMP07</t>
        </is>
      </c>
      <c r="C203" s="8" t="inlineStr">
        <is>
          <t>吳佩芬</t>
        </is>
      </c>
      <c r="D203" s="8" t="inlineStr">
        <is>
          <t>出勤正常</t>
        </is>
      </c>
      <c r="E203" s="19" t="n">
        <v>8</v>
      </c>
      <c r="F203" s="19" t="n">
        <v>0</v>
      </c>
      <c r="G203" s="20">
        <f>IF(F203&gt;0, MIN(F203, 2), 0)</f>
        <v/>
      </c>
      <c r="H203" s="20">
        <f>IF(F203&gt;2, F203-2, 0)</f>
        <v/>
      </c>
      <c r="I203" s="19" t="n">
        <v>0</v>
      </c>
      <c r="J203" s="19" t="n">
        <v>0</v>
      </c>
      <c r="K203" s="19" t="n">
        <v>0</v>
      </c>
      <c r="L203" s="21" t="inlineStr"/>
    </row>
    <row r="204">
      <c r="A204" s="8" t="inlineStr">
        <is>
          <t>2026/09/17</t>
        </is>
      </c>
      <c r="B204" s="8" t="inlineStr">
        <is>
          <t>EMP08</t>
        </is>
      </c>
      <c r="C204" s="8" t="inlineStr">
        <is>
          <t>劉家豪</t>
        </is>
      </c>
      <c r="D204" s="8" t="inlineStr">
        <is>
          <t>出勤正常</t>
        </is>
      </c>
      <c r="E204" s="19" t="n">
        <v>8</v>
      </c>
      <c r="F204" s="19" t="n">
        <v>4</v>
      </c>
      <c r="G204" s="20">
        <f>IF(F204&gt;0, MIN(F204, 2), 0)</f>
        <v/>
      </c>
      <c r="H204" s="20">
        <f>IF(F204&gt;2, F204-2, 0)</f>
        <v/>
      </c>
      <c r="I204" s="19" t="n">
        <v>0</v>
      </c>
      <c r="J204" s="19" t="n">
        <v>0</v>
      </c>
      <c r="K204" s="19" t="n">
        <v>0</v>
      </c>
      <c r="L204" s="21" t="inlineStr">
        <is>
          <t>機台故障排除</t>
        </is>
      </c>
    </row>
    <row r="205">
      <c r="A205" s="8" t="inlineStr">
        <is>
          <t>2026/09/17</t>
        </is>
      </c>
      <c r="B205" s="8" t="inlineStr">
        <is>
          <t>EMP09</t>
        </is>
      </c>
      <c r="C205" s="8" t="inlineStr">
        <is>
          <t>蔡佳蓉</t>
        </is>
      </c>
      <c r="D205" s="8" t="inlineStr">
        <is>
          <t>出勤正常</t>
        </is>
      </c>
      <c r="E205" s="19" t="n">
        <v>8</v>
      </c>
      <c r="F205" s="19" t="n">
        <v>0</v>
      </c>
      <c r="G205" s="20">
        <f>IF(F205&gt;0, MIN(F205, 2), 0)</f>
        <v/>
      </c>
      <c r="H205" s="20">
        <f>IF(F205&gt;2, F205-2, 0)</f>
        <v/>
      </c>
      <c r="I205" s="19" t="n">
        <v>0</v>
      </c>
      <c r="J205" s="19" t="n">
        <v>0</v>
      </c>
      <c r="K205" s="19" t="n">
        <v>0</v>
      </c>
      <c r="L205" s="21" t="inlineStr"/>
    </row>
    <row r="206">
      <c r="A206" s="8" t="inlineStr">
        <is>
          <t>2026/09/17</t>
        </is>
      </c>
      <c r="B206" s="8" t="inlineStr">
        <is>
          <t>EMP10</t>
        </is>
      </c>
      <c r="C206" s="8" t="inlineStr">
        <is>
          <t>許博凱</t>
        </is>
      </c>
      <c r="D206" s="8" t="inlineStr">
        <is>
          <t>出勤正常</t>
        </is>
      </c>
      <c r="E206" s="19" t="n">
        <v>8</v>
      </c>
      <c r="F206" s="19" t="n">
        <v>0</v>
      </c>
      <c r="G206" s="20">
        <f>IF(F206&gt;0, MIN(F206, 2), 0)</f>
        <v/>
      </c>
      <c r="H206" s="20">
        <f>IF(F206&gt;2, F206-2, 0)</f>
        <v/>
      </c>
      <c r="I206" s="19" t="n">
        <v>0</v>
      </c>
      <c r="J206" s="19" t="n">
        <v>0</v>
      </c>
      <c r="K206" s="19" t="n">
        <v>0</v>
      </c>
      <c r="L206" s="21" t="inlineStr"/>
    </row>
    <row r="207">
      <c r="A207" s="8" t="inlineStr">
        <is>
          <t>2026/09/17</t>
        </is>
      </c>
      <c r="B207" s="8" t="inlineStr">
        <is>
          <t>EMP11</t>
        </is>
      </c>
      <c r="C207" s="8" t="inlineStr">
        <is>
          <t>鄭淑芬</t>
        </is>
      </c>
      <c r="D207" s="8" t="inlineStr">
        <is>
          <t>出勤正常</t>
        </is>
      </c>
      <c r="E207" s="19" t="n">
        <v>8</v>
      </c>
      <c r="F207" s="19" t="n">
        <v>0</v>
      </c>
      <c r="G207" s="20">
        <f>IF(F207&gt;0, MIN(F207, 2), 0)</f>
        <v/>
      </c>
      <c r="H207" s="20">
        <f>IF(F207&gt;2, F207-2, 0)</f>
        <v/>
      </c>
      <c r="I207" s="19" t="n">
        <v>0</v>
      </c>
      <c r="J207" s="19" t="n">
        <v>0</v>
      </c>
      <c r="K207" s="19" t="n">
        <v>0</v>
      </c>
      <c r="L207" s="21" t="inlineStr"/>
    </row>
    <row r="208">
      <c r="A208" s="8" t="inlineStr">
        <is>
          <t>2026/09/17</t>
        </is>
      </c>
      <c r="B208" s="8" t="inlineStr">
        <is>
          <t>EMP12</t>
        </is>
      </c>
      <c r="C208" s="8" t="inlineStr">
        <is>
          <t>謝宗翰</t>
        </is>
      </c>
      <c r="D208" s="8" t="inlineStr">
        <is>
          <t>出勤正常</t>
        </is>
      </c>
      <c r="E208" s="19" t="n">
        <v>8</v>
      </c>
      <c r="F208" s="19" t="n">
        <v>3</v>
      </c>
      <c r="G208" s="20">
        <f>IF(F208&gt;0, MIN(F208, 2), 0)</f>
        <v/>
      </c>
      <c r="H208" s="20">
        <f>IF(F208&gt;2, F208-2, 0)</f>
        <v/>
      </c>
      <c r="I208" s="19" t="n">
        <v>0</v>
      </c>
      <c r="J208" s="19" t="n">
        <v>0</v>
      </c>
      <c r="K208" s="19" t="n">
        <v>0</v>
      </c>
      <c r="L208" s="21" t="inlineStr">
        <is>
          <t>水電搶修</t>
        </is>
      </c>
    </row>
    <row r="209">
      <c r="A209" s="8" t="inlineStr">
        <is>
          <t>2026/09/18</t>
        </is>
      </c>
      <c r="B209" s="8" t="inlineStr">
        <is>
          <t>EMP01</t>
        </is>
      </c>
      <c r="C209" s="8" t="inlineStr">
        <is>
          <t>陳建宏</t>
        </is>
      </c>
      <c r="D209" s="8" t="inlineStr">
        <is>
          <t>出勤正常</t>
        </is>
      </c>
      <c r="E209" s="19" t="n">
        <v>8</v>
      </c>
      <c r="F209" s="19" t="n">
        <v>2</v>
      </c>
      <c r="G209" s="20">
        <f>IF(F209&gt;0, MIN(F209, 2), 0)</f>
        <v/>
      </c>
      <c r="H209" s="20">
        <f>IF(F209&gt;2, F209-2, 0)</f>
        <v/>
      </c>
      <c r="I209" s="19" t="n">
        <v>0</v>
      </c>
      <c r="J209" s="19" t="n">
        <v>0</v>
      </c>
      <c r="K209" s="19" t="n">
        <v>0</v>
      </c>
      <c r="L209" s="21" t="inlineStr">
        <is>
          <t>支援備料</t>
        </is>
      </c>
    </row>
    <row r="210">
      <c r="A210" s="8" t="inlineStr">
        <is>
          <t>2026/09/18</t>
        </is>
      </c>
      <c r="B210" s="8" t="inlineStr">
        <is>
          <t>EMP02</t>
        </is>
      </c>
      <c r="C210" s="8" t="inlineStr">
        <is>
          <t>林美玲</t>
        </is>
      </c>
      <c r="D210" s="8" t="inlineStr">
        <is>
          <t>出勤正常</t>
        </is>
      </c>
      <c r="E210" s="19" t="n">
        <v>8</v>
      </c>
      <c r="F210" s="19" t="n">
        <v>0</v>
      </c>
      <c r="G210" s="20">
        <f>IF(F210&gt;0, MIN(F210, 2), 0)</f>
        <v/>
      </c>
      <c r="H210" s="20">
        <f>IF(F210&gt;2, F210-2, 0)</f>
        <v/>
      </c>
      <c r="I210" s="19" t="n">
        <v>0</v>
      </c>
      <c r="J210" s="19" t="n">
        <v>0</v>
      </c>
      <c r="K210" s="19" t="n">
        <v>0</v>
      </c>
      <c r="L210" s="21" t="inlineStr"/>
    </row>
    <row r="211">
      <c r="A211" s="8" t="inlineStr">
        <is>
          <t>2026/09/18</t>
        </is>
      </c>
      <c r="B211" s="8" t="inlineStr">
        <is>
          <t>EMP03</t>
        </is>
      </c>
      <c r="C211" s="8" t="inlineStr">
        <is>
          <t>張志成</t>
        </is>
      </c>
      <c r="D211" s="8" t="inlineStr">
        <is>
          <t>出勤正常</t>
        </is>
      </c>
      <c r="E211" s="19" t="n">
        <v>8</v>
      </c>
      <c r="F211" s="19" t="n">
        <v>0</v>
      </c>
      <c r="G211" s="20">
        <f>IF(F211&gt;0, MIN(F211, 2), 0)</f>
        <v/>
      </c>
      <c r="H211" s="20">
        <f>IF(F211&gt;2, F211-2, 0)</f>
        <v/>
      </c>
      <c r="I211" s="19" t="n">
        <v>0</v>
      </c>
      <c r="J211" s="19" t="n">
        <v>0</v>
      </c>
      <c r="K211" s="19" t="n">
        <v>0</v>
      </c>
      <c r="L211" s="21" t="inlineStr"/>
    </row>
    <row r="212">
      <c r="A212" s="8" t="inlineStr">
        <is>
          <t>2026/09/18</t>
        </is>
      </c>
      <c r="B212" s="8" t="inlineStr">
        <is>
          <t>EMP04</t>
        </is>
      </c>
      <c r="C212" s="8" t="inlineStr">
        <is>
          <t>黃國榮</t>
        </is>
      </c>
      <c r="D212" s="8" t="inlineStr">
        <is>
          <t>出勤正常</t>
        </is>
      </c>
      <c r="E212" s="19" t="n">
        <v>8</v>
      </c>
      <c r="F212" s="19" t="n">
        <v>0</v>
      </c>
      <c r="G212" s="20">
        <f>IF(F212&gt;0, MIN(F212, 2), 0)</f>
        <v/>
      </c>
      <c r="H212" s="20">
        <f>IF(F212&gt;2, F212-2, 0)</f>
        <v/>
      </c>
      <c r="I212" s="19" t="n">
        <v>0</v>
      </c>
      <c r="J212" s="19" t="n">
        <v>0</v>
      </c>
      <c r="K212" s="19" t="n">
        <v>0</v>
      </c>
      <c r="L212" s="21" t="inlineStr"/>
    </row>
    <row r="213">
      <c r="A213" s="8" t="inlineStr">
        <is>
          <t>2026/09/18</t>
        </is>
      </c>
      <c r="B213" s="8" t="inlineStr">
        <is>
          <t>EMP05</t>
        </is>
      </c>
      <c r="C213" s="8" t="inlineStr">
        <is>
          <t>李雅婷</t>
        </is>
      </c>
      <c r="D213" s="8" t="inlineStr">
        <is>
          <t>出勤正常</t>
        </is>
      </c>
      <c r="E213" s="19" t="n">
        <v>8</v>
      </c>
      <c r="F213" s="19" t="n">
        <v>0</v>
      </c>
      <c r="G213" s="20">
        <f>IF(F213&gt;0, MIN(F213, 2), 0)</f>
        <v/>
      </c>
      <c r="H213" s="20">
        <f>IF(F213&gt;2, F213-2, 0)</f>
        <v/>
      </c>
      <c r="I213" s="19" t="n">
        <v>0</v>
      </c>
      <c r="J213" s="19" t="n">
        <v>0</v>
      </c>
      <c r="K213" s="19" t="n">
        <v>0</v>
      </c>
      <c r="L213" s="21" t="inlineStr"/>
    </row>
    <row r="214">
      <c r="A214" s="8" t="inlineStr">
        <is>
          <t>2026/09/18</t>
        </is>
      </c>
      <c r="B214" s="8" t="inlineStr">
        <is>
          <t>EMP06</t>
        </is>
      </c>
      <c r="C214" s="8" t="inlineStr">
        <is>
          <t>王俊傑</t>
        </is>
      </c>
      <c r="D214" s="8" t="inlineStr">
        <is>
          <t>出勤正常</t>
        </is>
      </c>
      <c r="E214" s="19" t="n">
        <v>8</v>
      </c>
      <c r="F214" s="19" t="n">
        <v>0</v>
      </c>
      <c r="G214" s="20">
        <f>IF(F214&gt;0, MIN(F214, 2), 0)</f>
        <v/>
      </c>
      <c r="H214" s="20">
        <f>IF(F214&gt;2, F214-2, 0)</f>
        <v/>
      </c>
      <c r="I214" s="19" t="n">
        <v>0</v>
      </c>
      <c r="J214" s="19" t="n">
        <v>0</v>
      </c>
      <c r="K214" s="19" t="n">
        <v>0</v>
      </c>
      <c r="L214" s="21" t="inlineStr"/>
    </row>
    <row r="215">
      <c r="A215" s="8" t="inlineStr">
        <is>
          <t>2026/09/18</t>
        </is>
      </c>
      <c r="B215" s="8" t="inlineStr">
        <is>
          <t>EMP07</t>
        </is>
      </c>
      <c r="C215" s="8" t="inlineStr">
        <is>
          <t>吳佩芬</t>
        </is>
      </c>
      <c r="D215" s="8" t="inlineStr">
        <is>
          <t>出勤正常</t>
        </is>
      </c>
      <c r="E215" s="19" t="n">
        <v>8</v>
      </c>
      <c r="F215" s="19" t="n">
        <v>0</v>
      </c>
      <c r="G215" s="20">
        <f>IF(F215&gt;0, MIN(F215, 2), 0)</f>
        <v/>
      </c>
      <c r="H215" s="20">
        <f>IF(F215&gt;2, F215-2, 0)</f>
        <v/>
      </c>
      <c r="I215" s="19" t="n">
        <v>0</v>
      </c>
      <c r="J215" s="19" t="n">
        <v>0</v>
      </c>
      <c r="K215" s="19" t="n">
        <v>0</v>
      </c>
      <c r="L215" s="21" t="inlineStr"/>
    </row>
    <row r="216">
      <c r="A216" s="8" t="inlineStr">
        <is>
          <t>2026/09/18</t>
        </is>
      </c>
      <c r="B216" s="8" t="inlineStr">
        <is>
          <t>EMP08</t>
        </is>
      </c>
      <c r="C216" s="8" t="inlineStr">
        <is>
          <t>劉家豪</t>
        </is>
      </c>
      <c r="D216" s="8" t="inlineStr">
        <is>
          <t>出勤正常</t>
        </is>
      </c>
      <c r="E216" s="19" t="n">
        <v>8</v>
      </c>
      <c r="F216" s="19" t="n">
        <v>0</v>
      </c>
      <c r="G216" s="20">
        <f>IF(F216&gt;0, MIN(F216, 2), 0)</f>
        <v/>
      </c>
      <c r="H216" s="20">
        <f>IF(F216&gt;2, F216-2, 0)</f>
        <v/>
      </c>
      <c r="I216" s="19" t="n">
        <v>0</v>
      </c>
      <c r="J216" s="19" t="n">
        <v>0</v>
      </c>
      <c r="K216" s="19" t="n">
        <v>0</v>
      </c>
      <c r="L216" s="21" t="inlineStr"/>
    </row>
    <row r="217">
      <c r="A217" s="8" t="inlineStr">
        <is>
          <t>2026/09/18</t>
        </is>
      </c>
      <c r="B217" s="8" t="inlineStr">
        <is>
          <t>EMP09</t>
        </is>
      </c>
      <c r="C217" s="8" t="inlineStr">
        <is>
          <t>蔡佳蓉</t>
        </is>
      </c>
      <c r="D217" s="8" t="inlineStr">
        <is>
          <t>出勤正常</t>
        </is>
      </c>
      <c r="E217" s="19" t="n">
        <v>8</v>
      </c>
      <c r="F217" s="19" t="n">
        <v>2</v>
      </c>
      <c r="G217" s="20">
        <f>IF(F217&gt;0, MIN(F217, 2), 0)</f>
        <v/>
      </c>
      <c r="H217" s="20">
        <f>IF(F217&gt;2, F217-2, 0)</f>
        <v/>
      </c>
      <c r="I217" s="19" t="n">
        <v>0</v>
      </c>
      <c r="J217" s="19" t="n">
        <v>0</v>
      </c>
      <c r="K217" s="19" t="n">
        <v>0</v>
      </c>
      <c r="L217" s="21" t="inlineStr">
        <is>
          <t>包裝支援</t>
        </is>
      </c>
    </row>
    <row r="218">
      <c r="A218" s="8" t="inlineStr">
        <is>
          <t>2026/09/18</t>
        </is>
      </c>
      <c r="B218" s="8" t="inlineStr">
        <is>
          <t>EMP10</t>
        </is>
      </c>
      <c r="C218" s="8" t="inlineStr">
        <is>
          <t>許博凱</t>
        </is>
      </c>
      <c r="D218" s="8" t="inlineStr">
        <is>
          <t>出勤正常</t>
        </is>
      </c>
      <c r="E218" s="19" t="n">
        <v>8</v>
      </c>
      <c r="F218" s="19" t="n">
        <v>2</v>
      </c>
      <c r="G218" s="20">
        <f>IF(F218&gt;0, MIN(F218, 2), 0)</f>
        <v/>
      </c>
      <c r="H218" s="20">
        <f>IF(F218&gt;2, F218-2, 0)</f>
        <v/>
      </c>
      <c r="I218" s="19" t="n">
        <v>0</v>
      </c>
      <c r="J218" s="19" t="n">
        <v>0</v>
      </c>
      <c r="K218" s="19" t="n">
        <v>0</v>
      </c>
      <c r="L218" s="21" t="inlineStr">
        <is>
          <t>進貨驗收</t>
        </is>
      </c>
    </row>
    <row r="219">
      <c r="A219" s="8" t="inlineStr">
        <is>
          <t>2026/09/18</t>
        </is>
      </c>
      <c r="B219" s="8" t="inlineStr">
        <is>
          <t>EMP11</t>
        </is>
      </c>
      <c r="C219" s="8" t="inlineStr">
        <is>
          <t>鄭淑芬</t>
        </is>
      </c>
      <c r="D219" s="8" t="inlineStr">
        <is>
          <t>出勤正常</t>
        </is>
      </c>
      <c r="E219" s="19" t="n">
        <v>8</v>
      </c>
      <c r="F219" s="19" t="n">
        <v>2</v>
      </c>
      <c r="G219" s="20">
        <f>IF(F219&gt;0, MIN(F219, 2), 0)</f>
        <v/>
      </c>
      <c r="H219" s="20">
        <f>IF(F219&gt;2, F219-2, 0)</f>
        <v/>
      </c>
      <c r="I219" s="19" t="n">
        <v>0</v>
      </c>
      <c r="J219" s="19" t="n">
        <v>0</v>
      </c>
      <c r="K219" s="19" t="n">
        <v>0</v>
      </c>
      <c r="L219" s="21" t="inlineStr">
        <is>
          <t>常規品檢</t>
        </is>
      </c>
    </row>
    <row r="220">
      <c r="A220" s="8" t="inlineStr">
        <is>
          <t>2026/09/18</t>
        </is>
      </c>
      <c r="B220" s="8" t="inlineStr">
        <is>
          <t>EMP12</t>
        </is>
      </c>
      <c r="C220" s="8" t="inlineStr">
        <is>
          <t>謝宗翰</t>
        </is>
      </c>
      <c r="D220" s="8" t="inlineStr">
        <is>
          <t>出勤正常</t>
        </is>
      </c>
      <c r="E220" s="19" t="n">
        <v>8</v>
      </c>
      <c r="F220" s="19" t="n">
        <v>0</v>
      </c>
      <c r="G220" s="20">
        <f>IF(F220&gt;0, MIN(F220, 2), 0)</f>
        <v/>
      </c>
      <c r="H220" s="20">
        <f>IF(F220&gt;2, F220-2, 0)</f>
        <v/>
      </c>
      <c r="I220" s="19" t="n">
        <v>0</v>
      </c>
      <c r="J220" s="19" t="n">
        <v>0</v>
      </c>
      <c r="K220" s="19" t="n">
        <v>0</v>
      </c>
      <c r="L220" s="21" t="inlineStr"/>
    </row>
    <row r="221">
      <c r="A221" s="22" t="inlineStr">
        <is>
          <t>2026/09/19</t>
        </is>
      </c>
      <c r="B221" s="22" t="inlineStr">
        <is>
          <t>EMP01</t>
        </is>
      </c>
      <c r="C221" s="22" t="inlineStr">
        <is>
          <t>陳建宏</t>
        </is>
      </c>
      <c r="D221" s="22" t="inlineStr">
        <is>
          <t>例假日 (休)</t>
        </is>
      </c>
      <c r="E221" s="23" t="n">
        <v>0</v>
      </c>
      <c r="F221" s="23" t="n">
        <v>0</v>
      </c>
      <c r="G221" s="24">
        <f>IF(F221&gt;0, MIN(F221, 2), 0)</f>
        <v/>
      </c>
      <c r="H221" s="24">
        <f>IF(F221&gt;2, F221-2, 0)</f>
        <v/>
      </c>
      <c r="I221" s="23" t="n">
        <v>0</v>
      </c>
      <c r="J221" s="23" t="n">
        <v>0</v>
      </c>
      <c r="K221" s="23" t="n">
        <v>0</v>
      </c>
      <c r="L221" s="25" t="inlineStr">
        <is>
          <t>週末例假</t>
        </is>
      </c>
    </row>
    <row r="222">
      <c r="A222" s="22" t="inlineStr">
        <is>
          <t>2026/09/19</t>
        </is>
      </c>
      <c r="B222" s="22" t="inlineStr">
        <is>
          <t>EMP02</t>
        </is>
      </c>
      <c r="C222" s="22" t="inlineStr">
        <is>
          <t>林美玲</t>
        </is>
      </c>
      <c r="D222" s="22" t="inlineStr">
        <is>
          <t>例假日 (休)</t>
        </is>
      </c>
      <c r="E222" s="23" t="n">
        <v>0</v>
      </c>
      <c r="F222" s="23" t="n">
        <v>0</v>
      </c>
      <c r="G222" s="24">
        <f>IF(F222&gt;0, MIN(F222, 2), 0)</f>
        <v/>
      </c>
      <c r="H222" s="24">
        <f>IF(F222&gt;2, F222-2, 0)</f>
        <v/>
      </c>
      <c r="I222" s="23" t="n">
        <v>0</v>
      </c>
      <c r="J222" s="23" t="n">
        <v>0</v>
      </c>
      <c r="K222" s="23" t="n">
        <v>0</v>
      </c>
      <c r="L222" s="25" t="inlineStr">
        <is>
          <t>週末例假</t>
        </is>
      </c>
    </row>
    <row r="223">
      <c r="A223" s="22" t="inlineStr">
        <is>
          <t>2026/09/19</t>
        </is>
      </c>
      <c r="B223" s="22" t="inlineStr">
        <is>
          <t>EMP03</t>
        </is>
      </c>
      <c r="C223" s="22" t="inlineStr">
        <is>
          <t>張志成</t>
        </is>
      </c>
      <c r="D223" s="22" t="inlineStr">
        <is>
          <t>例假日 (休)</t>
        </is>
      </c>
      <c r="E223" s="23" t="n">
        <v>0</v>
      </c>
      <c r="F223" s="23" t="n">
        <v>0</v>
      </c>
      <c r="G223" s="24">
        <f>IF(F223&gt;0, MIN(F223, 2), 0)</f>
        <v/>
      </c>
      <c r="H223" s="24">
        <f>IF(F223&gt;2, F223-2, 0)</f>
        <v/>
      </c>
      <c r="I223" s="23" t="n">
        <v>0</v>
      </c>
      <c r="J223" s="23" t="n">
        <v>0</v>
      </c>
      <c r="K223" s="23" t="n">
        <v>0</v>
      </c>
      <c r="L223" s="25" t="inlineStr">
        <is>
          <t>週末例假</t>
        </is>
      </c>
    </row>
    <row r="224">
      <c r="A224" s="22" t="inlineStr">
        <is>
          <t>2026/09/19</t>
        </is>
      </c>
      <c r="B224" s="22" t="inlineStr">
        <is>
          <t>EMP04</t>
        </is>
      </c>
      <c r="C224" s="22" t="inlineStr">
        <is>
          <t>黃國榮</t>
        </is>
      </c>
      <c r="D224" s="22" t="inlineStr">
        <is>
          <t>例假日 (休)</t>
        </is>
      </c>
      <c r="E224" s="23" t="n">
        <v>0</v>
      </c>
      <c r="F224" s="23" t="n">
        <v>0</v>
      </c>
      <c r="G224" s="24">
        <f>IF(F224&gt;0, MIN(F224, 2), 0)</f>
        <v/>
      </c>
      <c r="H224" s="24">
        <f>IF(F224&gt;2, F224-2, 0)</f>
        <v/>
      </c>
      <c r="I224" s="23" t="n">
        <v>0</v>
      </c>
      <c r="J224" s="23" t="n">
        <v>0</v>
      </c>
      <c r="K224" s="23" t="n">
        <v>0</v>
      </c>
      <c r="L224" s="25" t="inlineStr">
        <is>
          <t>週末例假</t>
        </is>
      </c>
    </row>
    <row r="225">
      <c r="A225" s="22" t="inlineStr">
        <is>
          <t>2026/09/19</t>
        </is>
      </c>
      <c r="B225" s="22" t="inlineStr">
        <is>
          <t>EMP05</t>
        </is>
      </c>
      <c r="C225" s="22" t="inlineStr">
        <is>
          <t>李雅婷</t>
        </is>
      </c>
      <c r="D225" s="22" t="inlineStr">
        <is>
          <t>例假日 (休)</t>
        </is>
      </c>
      <c r="E225" s="23" t="n">
        <v>0</v>
      </c>
      <c r="F225" s="23" t="n">
        <v>0</v>
      </c>
      <c r="G225" s="24">
        <f>IF(F225&gt;0, MIN(F225, 2), 0)</f>
        <v/>
      </c>
      <c r="H225" s="24">
        <f>IF(F225&gt;2, F225-2, 0)</f>
        <v/>
      </c>
      <c r="I225" s="23" t="n">
        <v>0</v>
      </c>
      <c r="J225" s="23" t="n">
        <v>0</v>
      </c>
      <c r="K225" s="23" t="n">
        <v>0</v>
      </c>
      <c r="L225" s="25" t="inlineStr">
        <is>
          <t>週末例假</t>
        </is>
      </c>
    </row>
    <row r="226">
      <c r="A226" s="22" t="inlineStr">
        <is>
          <t>2026/09/19</t>
        </is>
      </c>
      <c r="B226" s="22" t="inlineStr">
        <is>
          <t>EMP06</t>
        </is>
      </c>
      <c r="C226" s="22" t="inlineStr">
        <is>
          <t>王俊傑</t>
        </is>
      </c>
      <c r="D226" s="22" t="inlineStr">
        <is>
          <t>例假日 (休)</t>
        </is>
      </c>
      <c r="E226" s="23" t="n">
        <v>0</v>
      </c>
      <c r="F226" s="23" t="n">
        <v>0</v>
      </c>
      <c r="G226" s="24">
        <f>IF(F226&gt;0, MIN(F226, 2), 0)</f>
        <v/>
      </c>
      <c r="H226" s="24">
        <f>IF(F226&gt;2, F226-2, 0)</f>
        <v/>
      </c>
      <c r="I226" s="23" t="n">
        <v>0</v>
      </c>
      <c r="J226" s="23" t="n">
        <v>0</v>
      </c>
      <c r="K226" s="23" t="n">
        <v>0</v>
      </c>
      <c r="L226" s="25" t="inlineStr">
        <is>
          <t>週末例假</t>
        </is>
      </c>
    </row>
    <row r="227">
      <c r="A227" s="22" t="inlineStr">
        <is>
          <t>2026/09/19</t>
        </is>
      </c>
      <c r="B227" s="22" t="inlineStr">
        <is>
          <t>EMP07</t>
        </is>
      </c>
      <c r="C227" s="22" t="inlineStr">
        <is>
          <t>吳佩芬</t>
        </is>
      </c>
      <c r="D227" s="22" t="inlineStr">
        <is>
          <t>例假日 (休)</t>
        </is>
      </c>
      <c r="E227" s="23" t="n">
        <v>0</v>
      </c>
      <c r="F227" s="23" t="n">
        <v>0</v>
      </c>
      <c r="G227" s="24">
        <f>IF(F227&gt;0, MIN(F227, 2), 0)</f>
        <v/>
      </c>
      <c r="H227" s="24">
        <f>IF(F227&gt;2, F227-2, 0)</f>
        <v/>
      </c>
      <c r="I227" s="23" t="n">
        <v>0</v>
      </c>
      <c r="J227" s="23" t="n">
        <v>0</v>
      </c>
      <c r="K227" s="23" t="n">
        <v>0</v>
      </c>
      <c r="L227" s="25" t="inlineStr">
        <is>
          <t>週末例假</t>
        </is>
      </c>
    </row>
    <row r="228">
      <c r="A228" s="22" t="inlineStr">
        <is>
          <t>2026/09/19</t>
        </is>
      </c>
      <c r="B228" s="22" t="inlineStr">
        <is>
          <t>EMP08</t>
        </is>
      </c>
      <c r="C228" s="22" t="inlineStr">
        <is>
          <t>劉家豪</t>
        </is>
      </c>
      <c r="D228" s="22" t="inlineStr">
        <is>
          <t>例假日 (休)</t>
        </is>
      </c>
      <c r="E228" s="23" t="n">
        <v>0</v>
      </c>
      <c r="F228" s="23" t="n">
        <v>0</v>
      </c>
      <c r="G228" s="24">
        <f>IF(F228&gt;0, MIN(F228, 2), 0)</f>
        <v/>
      </c>
      <c r="H228" s="24">
        <f>IF(F228&gt;2, F228-2, 0)</f>
        <v/>
      </c>
      <c r="I228" s="23" t="n">
        <v>0</v>
      </c>
      <c r="J228" s="23" t="n">
        <v>0</v>
      </c>
      <c r="K228" s="23" t="n">
        <v>0</v>
      </c>
      <c r="L228" s="25" t="inlineStr">
        <is>
          <t>週末例假</t>
        </is>
      </c>
    </row>
    <row r="229">
      <c r="A229" s="22" t="inlineStr">
        <is>
          <t>2026/09/19</t>
        </is>
      </c>
      <c r="B229" s="22" t="inlineStr">
        <is>
          <t>EMP09</t>
        </is>
      </c>
      <c r="C229" s="22" t="inlineStr">
        <is>
          <t>蔡佳蓉</t>
        </is>
      </c>
      <c r="D229" s="22" t="inlineStr">
        <is>
          <t>例假日 (休)</t>
        </is>
      </c>
      <c r="E229" s="23" t="n">
        <v>0</v>
      </c>
      <c r="F229" s="23" t="n">
        <v>0</v>
      </c>
      <c r="G229" s="24">
        <f>IF(F229&gt;0, MIN(F229, 2), 0)</f>
        <v/>
      </c>
      <c r="H229" s="24">
        <f>IF(F229&gt;2, F229-2, 0)</f>
        <v/>
      </c>
      <c r="I229" s="23" t="n">
        <v>0</v>
      </c>
      <c r="J229" s="23" t="n">
        <v>0</v>
      </c>
      <c r="K229" s="23" t="n">
        <v>0</v>
      </c>
      <c r="L229" s="25" t="inlineStr">
        <is>
          <t>週末例假</t>
        </is>
      </c>
    </row>
    <row r="230">
      <c r="A230" s="22" t="inlineStr">
        <is>
          <t>2026/09/19</t>
        </is>
      </c>
      <c r="B230" s="22" t="inlineStr">
        <is>
          <t>EMP10</t>
        </is>
      </c>
      <c r="C230" s="22" t="inlineStr">
        <is>
          <t>許博凱</t>
        </is>
      </c>
      <c r="D230" s="22" t="inlineStr">
        <is>
          <t>例假日 (休)</t>
        </is>
      </c>
      <c r="E230" s="23" t="n">
        <v>0</v>
      </c>
      <c r="F230" s="23" t="n">
        <v>0</v>
      </c>
      <c r="G230" s="24">
        <f>IF(F230&gt;0, MIN(F230, 2), 0)</f>
        <v/>
      </c>
      <c r="H230" s="24">
        <f>IF(F230&gt;2, F230-2, 0)</f>
        <v/>
      </c>
      <c r="I230" s="23" t="n">
        <v>0</v>
      </c>
      <c r="J230" s="23" t="n">
        <v>0</v>
      </c>
      <c r="K230" s="23" t="n">
        <v>0</v>
      </c>
      <c r="L230" s="25" t="inlineStr">
        <is>
          <t>週末例假</t>
        </is>
      </c>
    </row>
    <row r="231">
      <c r="A231" s="22" t="inlineStr">
        <is>
          <t>2026/09/19</t>
        </is>
      </c>
      <c r="B231" s="22" t="inlineStr">
        <is>
          <t>EMP11</t>
        </is>
      </c>
      <c r="C231" s="22" t="inlineStr">
        <is>
          <t>鄭淑芬</t>
        </is>
      </c>
      <c r="D231" s="22" t="inlineStr">
        <is>
          <t>例假日 (休)</t>
        </is>
      </c>
      <c r="E231" s="23" t="n">
        <v>0</v>
      </c>
      <c r="F231" s="23" t="n">
        <v>0</v>
      </c>
      <c r="G231" s="24">
        <f>IF(F231&gt;0, MIN(F231, 2), 0)</f>
        <v/>
      </c>
      <c r="H231" s="24">
        <f>IF(F231&gt;2, F231-2, 0)</f>
        <v/>
      </c>
      <c r="I231" s="23" t="n">
        <v>0</v>
      </c>
      <c r="J231" s="23" t="n">
        <v>0</v>
      </c>
      <c r="K231" s="23" t="n">
        <v>0</v>
      </c>
      <c r="L231" s="25" t="inlineStr">
        <is>
          <t>週末例假</t>
        </is>
      </c>
    </row>
    <row r="232">
      <c r="A232" s="22" t="inlineStr">
        <is>
          <t>2026/09/19</t>
        </is>
      </c>
      <c r="B232" s="22" t="inlineStr">
        <is>
          <t>EMP12</t>
        </is>
      </c>
      <c r="C232" s="22" t="inlineStr">
        <is>
          <t>謝宗翰</t>
        </is>
      </c>
      <c r="D232" s="22" t="inlineStr">
        <is>
          <t>例假日 (休)</t>
        </is>
      </c>
      <c r="E232" s="23" t="n">
        <v>0</v>
      </c>
      <c r="F232" s="23" t="n">
        <v>0</v>
      </c>
      <c r="G232" s="24">
        <f>IF(F232&gt;0, MIN(F232, 2), 0)</f>
        <v/>
      </c>
      <c r="H232" s="24">
        <f>IF(F232&gt;2, F232-2, 0)</f>
        <v/>
      </c>
      <c r="I232" s="23" t="n">
        <v>0</v>
      </c>
      <c r="J232" s="23" t="n">
        <v>0</v>
      </c>
      <c r="K232" s="23" t="n">
        <v>0</v>
      </c>
      <c r="L232" s="25" t="inlineStr">
        <is>
          <t>週末例假</t>
        </is>
      </c>
    </row>
    <row r="233">
      <c r="A233" s="22" t="inlineStr">
        <is>
          <t>2026/09/20</t>
        </is>
      </c>
      <c r="B233" s="22" t="inlineStr">
        <is>
          <t>EMP01</t>
        </is>
      </c>
      <c r="C233" s="22" t="inlineStr">
        <is>
          <t>陳建宏</t>
        </is>
      </c>
      <c r="D233" s="22" t="inlineStr">
        <is>
          <t>例假日 (休)</t>
        </is>
      </c>
      <c r="E233" s="23" t="n">
        <v>0</v>
      </c>
      <c r="F233" s="23" t="n">
        <v>0</v>
      </c>
      <c r="G233" s="24">
        <f>IF(F233&gt;0, MIN(F233, 2), 0)</f>
        <v/>
      </c>
      <c r="H233" s="24">
        <f>IF(F233&gt;2, F233-2, 0)</f>
        <v/>
      </c>
      <c r="I233" s="23" t="n">
        <v>0</v>
      </c>
      <c r="J233" s="23" t="n">
        <v>0</v>
      </c>
      <c r="K233" s="23" t="n">
        <v>0</v>
      </c>
      <c r="L233" s="25" t="inlineStr">
        <is>
          <t>週末例假</t>
        </is>
      </c>
    </row>
    <row r="234">
      <c r="A234" s="22" t="inlineStr">
        <is>
          <t>2026/09/20</t>
        </is>
      </c>
      <c r="B234" s="22" t="inlineStr">
        <is>
          <t>EMP02</t>
        </is>
      </c>
      <c r="C234" s="22" t="inlineStr">
        <is>
          <t>林美玲</t>
        </is>
      </c>
      <c r="D234" s="22" t="inlineStr">
        <is>
          <t>例假日 (休)</t>
        </is>
      </c>
      <c r="E234" s="23" t="n">
        <v>0</v>
      </c>
      <c r="F234" s="23" t="n">
        <v>0</v>
      </c>
      <c r="G234" s="24">
        <f>IF(F234&gt;0, MIN(F234, 2), 0)</f>
        <v/>
      </c>
      <c r="H234" s="24">
        <f>IF(F234&gt;2, F234-2, 0)</f>
        <v/>
      </c>
      <c r="I234" s="23" t="n">
        <v>0</v>
      </c>
      <c r="J234" s="23" t="n">
        <v>0</v>
      </c>
      <c r="K234" s="23" t="n">
        <v>0</v>
      </c>
      <c r="L234" s="25" t="inlineStr">
        <is>
          <t>週末例假</t>
        </is>
      </c>
    </row>
    <row r="235">
      <c r="A235" s="22" t="inlineStr">
        <is>
          <t>2026/09/20</t>
        </is>
      </c>
      <c r="B235" s="22" t="inlineStr">
        <is>
          <t>EMP03</t>
        </is>
      </c>
      <c r="C235" s="22" t="inlineStr">
        <is>
          <t>張志成</t>
        </is>
      </c>
      <c r="D235" s="22" t="inlineStr">
        <is>
          <t>例假日 (休)</t>
        </is>
      </c>
      <c r="E235" s="23" t="n">
        <v>0</v>
      </c>
      <c r="F235" s="23" t="n">
        <v>0</v>
      </c>
      <c r="G235" s="24">
        <f>IF(F235&gt;0, MIN(F235, 2), 0)</f>
        <v/>
      </c>
      <c r="H235" s="24">
        <f>IF(F235&gt;2, F235-2, 0)</f>
        <v/>
      </c>
      <c r="I235" s="23" t="n">
        <v>0</v>
      </c>
      <c r="J235" s="23" t="n">
        <v>0</v>
      </c>
      <c r="K235" s="23" t="n">
        <v>0</v>
      </c>
      <c r="L235" s="25" t="inlineStr">
        <is>
          <t>週末例假</t>
        </is>
      </c>
    </row>
    <row r="236">
      <c r="A236" s="22" t="inlineStr">
        <is>
          <t>2026/09/20</t>
        </is>
      </c>
      <c r="B236" s="22" t="inlineStr">
        <is>
          <t>EMP04</t>
        </is>
      </c>
      <c r="C236" s="22" t="inlineStr">
        <is>
          <t>黃國榮</t>
        </is>
      </c>
      <c r="D236" s="22" t="inlineStr">
        <is>
          <t>例假日 (休)</t>
        </is>
      </c>
      <c r="E236" s="23" t="n">
        <v>0</v>
      </c>
      <c r="F236" s="23" t="n">
        <v>0</v>
      </c>
      <c r="G236" s="24">
        <f>IF(F236&gt;0, MIN(F236, 2), 0)</f>
        <v/>
      </c>
      <c r="H236" s="24">
        <f>IF(F236&gt;2, F236-2, 0)</f>
        <v/>
      </c>
      <c r="I236" s="23" t="n">
        <v>0</v>
      </c>
      <c r="J236" s="23" t="n">
        <v>0</v>
      </c>
      <c r="K236" s="23" t="n">
        <v>0</v>
      </c>
      <c r="L236" s="25" t="inlineStr">
        <is>
          <t>週末例假</t>
        </is>
      </c>
    </row>
    <row r="237">
      <c r="A237" s="22" t="inlineStr">
        <is>
          <t>2026/09/20</t>
        </is>
      </c>
      <c r="B237" s="22" t="inlineStr">
        <is>
          <t>EMP05</t>
        </is>
      </c>
      <c r="C237" s="22" t="inlineStr">
        <is>
          <t>李雅婷</t>
        </is>
      </c>
      <c r="D237" s="22" t="inlineStr">
        <is>
          <t>例假日 (休)</t>
        </is>
      </c>
      <c r="E237" s="23" t="n">
        <v>0</v>
      </c>
      <c r="F237" s="23" t="n">
        <v>0</v>
      </c>
      <c r="G237" s="24">
        <f>IF(F237&gt;0, MIN(F237, 2), 0)</f>
        <v/>
      </c>
      <c r="H237" s="24">
        <f>IF(F237&gt;2, F237-2, 0)</f>
        <v/>
      </c>
      <c r="I237" s="23" t="n">
        <v>0</v>
      </c>
      <c r="J237" s="23" t="n">
        <v>0</v>
      </c>
      <c r="K237" s="23" t="n">
        <v>0</v>
      </c>
      <c r="L237" s="25" t="inlineStr">
        <is>
          <t>週末例假</t>
        </is>
      </c>
    </row>
    <row r="238">
      <c r="A238" s="22" t="inlineStr">
        <is>
          <t>2026/09/20</t>
        </is>
      </c>
      <c r="B238" s="22" t="inlineStr">
        <is>
          <t>EMP06</t>
        </is>
      </c>
      <c r="C238" s="22" t="inlineStr">
        <is>
          <t>王俊傑</t>
        </is>
      </c>
      <c r="D238" s="22" t="inlineStr">
        <is>
          <t>例假日 (休)</t>
        </is>
      </c>
      <c r="E238" s="23" t="n">
        <v>0</v>
      </c>
      <c r="F238" s="23" t="n">
        <v>0</v>
      </c>
      <c r="G238" s="24">
        <f>IF(F238&gt;0, MIN(F238, 2), 0)</f>
        <v/>
      </c>
      <c r="H238" s="24">
        <f>IF(F238&gt;2, F238-2, 0)</f>
        <v/>
      </c>
      <c r="I238" s="23" t="n">
        <v>0</v>
      </c>
      <c r="J238" s="23" t="n">
        <v>0</v>
      </c>
      <c r="K238" s="23" t="n">
        <v>0</v>
      </c>
      <c r="L238" s="25" t="inlineStr">
        <is>
          <t>週末例假</t>
        </is>
      </c>
    </row>
    <row r="239">
      <c r="A239" s="22" t="inlineStr">
        <is>
          <t>2026/09/20</t>
        </is>
      </c>
      <c r="B239" s="22" t="inlineStr">
        <is>
          <t>EMP07</t>
        </is>
      </c>
      <c r="C239" s="22" t="inlineStr">
        <is>
          <t>吳佩芬</t>
        </is>
      </c>
      <c r="D239" s="22" t="inlineStr">
        <is>
          <t>例假日 (休)</t>
        </is>
      </c>
      <c r="E239" s="23" t="n">
        <v>0</v>
      </c>
      <c r="F239" s="23" t="n">
        <v>0</v>
      </c>
      <c r="G239" s="24">
        <f>IF(F239&gt;0, MIN(F239, 2), 0)</f>
        <v/>
      </c>
      <c r="H239" s="24">
        <f>IF(F239&gt;2, F239-2, 0)</f>
        <v/>
      </c>
      <c r="I239" s="23" t="n">
        <v>0</v>
      </c>
      <c r="J239" s="23" t="n">
        <v>0</v>
      </c>
      <c r="K239" s="23" t="n">
        <v>0</v>
      </c>
      <c r="L239" s="25" t="inlineStr">
        <is>
          <t>週末例假</t>
        </is>
      </c>
    </row>
    <row r="240">
      <c r="A240" s="22" t="inlineStr">
        <is>
          <t>2026/09/20</t>
        </is>
      </c>
      <c r="B240" s="22" t="inlineStr">
        <is>
          <t>EMP08</t>
        </is>
      </c>
      <c r="C240" s="22" t="inlineStr">
        <is>
          <t>劉家豪</t>
        </is>
      </c>
      <c r="D240" s="22" t="inlineStr">
        <is>
          <t>例假日 (休)</t>
        </is>
      </c>
      <c r="E240" s="23" t="n">
        <v>0</v>
      </c>
      <c r="F240" s="23" t="n">
        <v>0</v>
      </c>
      <c r="G240" s="24">
        <f>IF(F240&gt;0, MIN(F240, 2), 0)</f>
        <v/>
      </c>
      <c r="H240" s="24">
        <f>IF(F240&gt;2, F240-2, 0)</f>
        <v/>
      </c>
      <c r="I240" s="23" t="n">
        <v>0</v>
      </c>
      <c r="J240" s="23" t="n">
        <v>0</v>
      </c>
      <c r="K240" s="23" t="n">
        <v>0</v>
      </c>
      <c r="L240" s="25" t="inlineStr">
        <is>
          <t>週末例假</t>
        </is>
      </c>
    </row>
    <row r="241">
      <c r="A241" s="22" t="inlineStr">
        <is>
          <t>2026/09/20</t>
        </is>
      </c>
      <c r="B241" s="22" t="inlineStr">
        <is>
          <t>EMP09</t>
        </is>
      </c>
      <c r="C241" s="22" t="inlineStr">
        <is>
          <t>蔡佳蓉</t>
        </is>
      </c>
      <c r="D241" s="22" t="inlineStr">
        <is>
          <t>例假日 (休)</t>
        </is>
      </c>
      <c r="E241" s="23" t="n">
        <v>0</v>
      </c>
      <c r="F241" s="23" t="n">
        <v>0</v>
      </c>
      <c r="G241" s="24">
        <f>IF(F241&gt;0, MIN(F241, 2), 0)</f>
        <v/>
      </c>
      <c r="H241" s="24">
        <f>IF(F241&gt;2, F241-2, 0)</f>
        <v/>
      </c>
      <c r="I241" s="23" t="n">
        <v>0</v>
      </c>
      <c r="J241" s="23" t="n">
        <v>0</v>
      </c>
      <c r="K241" s="23" t="n">
        <v>0</v>
      </c>
      <c r="L241" s="25" t="inlineStr">
        <is>
          <t>週末例假</t>
        </is>
      </c>
    </row>
    <row r="242">
      <c r="A242" s="22" t="inlineStr">
        <is>
          <t>2026/09/20</t>
        </is>
      </c>
      <c r="B242" s="22" t="inlineStr">
        <is>
          <t>EMP10</t>
        </is>
      </c>
      <c r="C242" s="22" t="inlineStr">
        <is>
          <t>許博凱</t>
        </is>
      </c>
      <c r="D242" s="22" t="inlineStr">
        <is>
          <t>例假日 (休)</t>
        </is>
      </c>
      <c r="E242" s="23" t="n">
        <v>0</v>
      </c>
      <c r="F242" s="23" t="n">
        <v>0</v>
      </c>
      <c r="G242" s="24">
        <f>IF(F242&gt;0, MIN(F242, 2), 0)</f>
        <v/>
      </c>
      <c r="H242" s="24">
        <f>IF(F242&gt;2, F242-2, 0)</f>
        <v/>
      </c>
      <c r="I242" s="23" t="n">
        <v>0</v>
      </c>
      <c r="J242" s="23" t="n">
        <v>0</v>
      </c>
      <c r="K242" s="23" t="n">
        <v>0</v>
      </c>
      <c r="L242" s="25" t="inlineStr">
        <is>
          <t>週末例假</t>
        </is>
      </c>
    </row>
    <row r="243">
      <c r="A243" s="22" t="inlineStr">
        <is>
          <t>2026/09/20</t>
        </is>
      </c>
      <c r="B243" s="22" t="inlineStr">
        <is>
          <t>EMP11</t>
        </is>
      </c>
      <c r="C243" s="22" t="inlineStr">
        <is>
          <t>鄭淑芬</t>
        </is>
      </c>
      <c r="D243" s="22" t="inlineStr">
        <is>
          <t>例假日 (休)</t>
        </is>
      </c>
      <c r="E243" s="23" t="n">
        <v>0</v>
      </c>
      <c r="F243" s="23" t="n">
        <v>0</v>
      </c>
      <c r="G243" s="24">
        <f>IF(F243&gt;0, MIN(F243, 2), 0)</f>
        <v/>
      </c>
      <c r="H243" s="24">
        <f>IF(F243&gt;2, F243-2, 0)</f>
        <v/>
      </c>
      <c r="I243" s="23" t="n">
        <v>0</v>
      </c>
      <c r="J243" s="23" t="n">
        <v>0</v>
      </c>
      <c r="K243" s="23" t="n">
        <v>0</v>
      </c>
      <c r="L243" s="25" t="inlineStr">
        <is>
          <t>週末例假</t>
        </is>
      </c>
    </row>
    <row r="244">
      <c r="A244" s="22" t="inlineStr">
        <is>
          <t>2026/09/20</t>
        </is>
      </c>
      <c r="B244" s="22" t="inlineStr">
        <is>
          <t>EMP12</t>
        </is>
      </c>
      <c r="C244" s="22" t="inlineStr">
        <is>
          <t>謝宗翰</t>
        </is>
      </c>
      <c r="D244" s="22" t="inlineStr">
        <is>
          <t>例假日 (休)</t>
        </is>
      </c>
      <c r="E244" s="23" t="n">
        <v>0</v>
      </c>
      <c r="F244" s="23" t="n">
        <v>0</v>
      </c>
      <c r="G244" s="24">
        <f>IF(F244&gt;0, MIN(F244, 2), 0)</f>
        <v/>
      </c>
      <c r="H244" s="24">
        <f>IF(F244&gt;2, F244-2, 0)</f>
        <v/>
      </c>
      <c r="I244" s="23" t="n">
        <v>0</v>
      </c>
      <c r="J244" s="23" t="n">
        <v>0</v>
      </c>
      <c r="K244" s="23" t="n">
        <v>0</v>
      </c>
      <c r="L244" s="25" t="inlineStr">
        <is>
          <t>週末例假</t>
        </is>
      </c>
    </row>
    <row r="245">
      <c r="A245" s="8" t="inlineStr">
        <is>
          <t>2026/09/21</t>
        </is>
      </c>
      <c r="B245" s="8" t="inlineStr">
        <is>
          <t>EMP01</t>
        </is>
      </c>
      <c r="C245" s="8" t="inlineStr">
        <is>
          <t>陳建宏</t>
        </is>
      </c>
      <c r="D245" s="8" t="inlineStr">
        <is>
          <t>出勤正常</t>
        </is>
      </c>
      <c r="E245" s="19" t="n">
        <v>8</v>
      </c>
      <c r="F245" s="19" t="n">
        <v>0</v>
      </c>
      <c r="G245" s="20">
        <f>IF(F245&gt;0, MIN(F245, 2), 0)</f>
        <v/>
      </c>
      <c r="H245" s="20">
        <f>IF(F245&gt;2, F245-2, 0)</f>
        <v/>
      </c>
      <c r="I245" s="19" t="n">
        <v>0</v>
      </c>
      <c r="J245" s="19" t="n">
        <v>0</v>
      </c>
      <c r="K245" s="19" t="n">
        <v>0</v>
      </c>
      <c r="L245" s="21" t="inlineStr"/>
    </row>
    <row r="246">
      <c r="A246" s="8" t="inlineStr">
        <is>
          <t>2026/09/21</t>
        </is>
      </c>
      <c r="B246" s="8" t="inlineStr">
        <is>
          <t>EMP02</t>
        </is>
      </c>
      <c r="C246" s="8" t="inlineStr">
        <is>
          <t>林美玲</t>
        </is>
      </c>
      <c r="D246" s="8" t="inlineStr">
        <is>
          <t>出勤正常</t>
        </is>
      </c>
      <c r="E246" s="19" t="n">
        <v>8</v>
      </c>
      <c r="F246" s="19" t="n">
        <v>2</v>
      </c>
      <c r="G246" s="20">
        <f>IF(F246&gt;0, MIN(F246, 2), 0)</f>
        <v/>
      </c>
      <c r="H246" s="20">
        <f>IF(F246&gt;2, F246-2, 0)</f>
        <v/>
      </c>
      <c r="I246" s="19" t="n">
        <v>0</v>
      </c>
      <c r="J246" s="19" t="n">
        <v>0</v>
      </c>
      <c r="K246" s="19" t="n">
        <v>0</v>
      </c>
      <c r="L246" s="21" t="inlineStr">
        <is>
          <t>貼標趕工</t>
        </is>
      </c>
    </row>
    <row r="247">
      <c r="A247" s="8" t="inlineStr">
        <is>
          <t>2026/09/21</t>
        </is>
      </c>
      <c r="B247" s="8" t="inlineStr">
        <is>
          <t>EMP03</t>
        </is>
      </c>
      <c r="C247" s="8" t="inlineStr">
        <is>
          <t>張志成</t>
        </is>
      </c>
      <c r="D247" s="8" t="inlineStr">
        <is>
          <t>出勤正常</t>
        </is>
      </c>
      <c r="E247" s="19" t="n">
        <v>8</v>
      </c>
      <c r="F247" s="19" t="n">
        <v>0</v>
      </c>
      <c r="G247" s="20">
        <f>IF(F247&gt;0, MIN(F247, 2), 0)</f>
        <v/>
      </c>
      <c r="H247" s="20">
        <f>IF(F247&gt;2, F247-2, 0)</f>
        <v/>
      </c>
      <c r="I247" s="19" t="n">
        <v>0</v>
      </c>
      <c r="J247" s="19" t="n">
        <v>0</v>
      </c>
      <c r="K247" s="19" t="n">
        <v>0</v>
      </c>
      <c r="L247" s="21" t="inlineStr"/>
    </row>
    <row r="248">
      <c r="A248" s="8" t="inlineStr">
        <is>
          <t>2026/09/21</t>
        </is>
      </c>
      <c r="B248" s="8" t="inlineStr">
        <is>
          <t>EMP04</t>
        </is>
      </c>
      <c r="C248" s="8" t="inlineStr">
        <is>
          <t>黃國榮</t>
        </is>
      </c>
      <c r="D248" s="8" t="inlineStr">
        <is>
          <t>出勤正常</t>
        </is>
      </c>
      <c r="E248" s="19" t="n">
        <v>8</v>
      </c>
      <c r="F248" s="19" t="n">
        <v>3</v>
      </c>
      <c r="G248" s="20">
        <f>IF(F248&gt;0, MIN(F248, 2), 0)</f>
        <v/>
      </c>
      <c r="H248" s="20">
        <f>IF(F248&gt;2, F248-2, 0)</f>
        <v/>
      </c>
      <c r="I248" s="19" t="n">
        <v>0</v>
      </c>
      <c r="J248" s="19" t="n">
        <v>0</v>
      </c>
      <c r="K248" s="19" t="n">
        <v>0</v>
      </c>
      <c r="L248" s="21" t="inlineStr">
        <is>
          <t>產線支援</t>
        </is>
      </c>
    </row>
    <row r="249">
      <c r="A249" s="8" t="inlineStr">
        <is>
          <t>2026/09/21</t>
        </is>
      </c>
      <c r="B249" s="8" t="inlineStr">
        <is>
          <t>EMP05</t>
        </is>
      </c>
      <c r="C249" s="8" t="inlineStr">
        <is>
          <t>李雅婷</t>
        </is>
      </c>
      <c r="D249" s="8" t="inlineStr">
        <is>
          <t>出勤正常</t>
        </is>
      </c>
      <c r="E249" s="19" t="n">
        <v>8</v>
      </c>
      <c r="F249" s="19" t="n">
        <v>0</v>
      </c>
      <c r="G249" s="20">
        <f>IF(F249&gt;0, MIN(F249, 2), 0)</f>
        <v/>
      </c>
      <c r="H249" s="20">
        <f>IF(F249&gt;2, F249-2, 0)</f>
        <v/>
      </c>
      <c r="I249" s="19" t="n">
        <v>0</v>
      </c>
      <c r="J249" s="19" t="n">
        <v>0</v>
      </c>
      <c r="K249" s="19" t="n">
        <v>0</v>
      </c>
      <c r="L249" s="21" t="inlineStr"/>
    </row>
    <row r="250">
      <c r="A250" s="8" t="inlineStr">
        <is>
          <t>2026/09/21</t>
        </is>
      </c>
      <c r="B250" s="8" t="inlineStr">
        <is>
          <t>EMP06</t>
        </is>
      </c>
      <c r="C250" s="8" t="inlineStr">
        <is>
          <t>王俊傑</t>
        </is>
      </c>
      <c r="D250" s="8" t="inlineStr">
        <is>
          <t>出勤正常</t>
        </is>
      </c>
      <c r="E250" s="19" t="n">
        <v>8</v>
      </c>
      <c r="F250" s="19" t="n">
        <v>0</v>
      </c>
      <c r="G250" s="20">
        <f>IF(F250&gt;0, MIN(F250, 2), 0)</f>
        <v/>
      </c>
      <c r="H250" s="20">
        <f>IF(F250&gt;2, F250-2, 0)</f>
        <v/>
      </c>
      <c r="I250" s="19" t="n">
        <v>0</v>
      </c>
      <c r="J250" s="19" t="n">
        <v>0</v>
      </c>
      <c r="K250" s="19" t="n">
        <v>0</v>
      </c>
      <c r="L250" s="21" t="inlineStr"/>
    </row>
    <row r="251">
      <c r="A251" s="8" t="inlineStr">
        <is>
          <t>2026/09/21</t>
        </is>
      </c>
      <c r="B251" s="8" t="inlineStr">
        <is>
          <t>EMP07</t>
        </is>
      </c>
      <c r="C251" s="8" t="inlineStr">
        <is>
          <t>吳佩芬</t>
        </is>
      </c>
      <c r="D251" s="8" t="inlineStr">
        <is>
          <t>出勤正常</t>
        </is>
      </c>
      <c r="E251" s="19" t="n">
        <v>8</v>
      </c>
      <c r="F251" s="19" t="n">
        <v>2</v>
      </c>
      <c r="G251" s="20">
        <f>IF(F251&gt;0, MIN(F251, 2), 0)</f>
        <v/>
      </c>
      <c r="H251" s="20">
        <f>IF(F251&gt;2, F251-2, 0)</f>
        <v/>
      </c>
      <c r="I251" s="19" t="n">
        <v>0</v>
      </c>
      <c r="J251" s="19" t="n">
        <v>0</v>
      </c>
      <c r="K251" s="19" t="n">
        <v>0</v>
      </c>
      <c r="L251" s="21" t="inlineStr">
        <is>
          <t>組裝加班</t>
        </is>
      </c>
    </row>
    <row r="252">
      <c r="A252" s="8" t="inlineStr">
        <is>
          <t>2026/09/21</t>
        </is>
      </c>
      <c r="B252" s="8" t="inlineStr">
        <is>
          <t>EMP08</t>
        </is>
      </c>
      <c r="C252" s="8" t="inlineStr">
        <is>
          <t>劉家豪</t>
        </is>
      </c>
      <c r="D252" s="8" t="inlineStr">
        <is>
          <t>出勤正常</t>
        </is>
      </c>
      <c r="E252" s="19" t="n">
        <v>8</v>
      </c>
      <c r="F252" s="19" t="n">
        <v>0</v>
      </c>
      <c r="G252" s="20">
        <f>IF(F252&gt;0, MIN(F252, 2), 0)</f>
        <v/>
      </c>
      <c r="H252" s="20">
        <f>IF(F252&gt;2, F252-2, 0)</f>
        <v/>
      </c>
      <c r="I252" s="19" t="n">
        <v>0</v>
      </c>
      <c r="J252" s="19" t="n">
        <v>0</v>
      </c>
      <c r="K252" s="19" t="n">
        <v>0</v>
      </c>
      <c r="L252" s="21" t="inlineStr"/>
    </row>
    <row r="253">
      <c r="A253" s="8" t="inlineStr">
        <is>
          <t>2026/09/21</t>
        </is>
      </c>
      <c r="B253" s="8" t="inlineStr">
        <is>
          <t>EMP09</t>
        </is>
      </c>
      <c r="C253" s="8" t="inlineStr">
        <is>
          <t>蔡佳蓉</t>
        </is>
      </c>
      <c r="D253" s="8" t="inlineStr">
        <is>
          <t>出勤正常</t>
        </is>
      </c>
      <c r="E253" s="19" t="n">
        <v>8</v>
      </c>
      <c r="F253" s="19" t="n">
        <v>0</v>
      </c>
      <c r="G253" s="20">
        <f>IF(F253&gt;0, MIN(F253, 2), 0)</f>
        <v/>
      </c>
      <c r="H253" s="20">
        <f>IF(F253&gt;2, F253-2, 0)</f>
        <v/>
      </c>
      <c r="I253" s="19" t="n">
        <v>0</v>
      </c>
      <c r="J253" s="19" t="n">
        <v>0</v>
      </c>
      <c r="K253" s="19" t="n">
        <v>0</v>
      </c>
      <c r="L253" s="21" t="inlineStr"/>
    </row>
    <row r="254">
      <c r="A254" s="8" t="inlineStr">
        <is>
          <t>2026/09/21</t>
        </is>
      </c>
      <c r="B254" s="8" t="inlineStr">
        <is>
          <t>EMP10</t>
        </is>
      </c>
      <c r="C254" s="8" t="inlineStr">
        <is>
          <t>許博凱</t>
        </is>
      </c>
      <c r="D254" s="8" t="inlineStr">
        <is>
          <t>出勤正常</t>
        </is>
      </c>
      <c r="E254" s="19" t="n">
        <v>8</v>
      </c>
      <c r="F254" s="19" t="n">
        <v>0</v>
      </c>
      <c r="G254" s="20">
        <f>IF(F254&gt;0, MIN(F254, 2), 0)</f>
        <v/>
      </c>
      <c r="H254" s="20">
        <f>IF(F254&gt;2, F254-2, 0)</f>
        <v/>
      </c>
      <c r="I254" s="19" t="n">
        <v>0</v>
      </c>
      <c r="J254" s="19" t="n">
        <v>0</v>
      </c>
      <c r="K254" s="19" t="n">
        <v>0</v>
      </c>
      <c r="L254" s="21" t="inlineStr"/>
    </row>
    <row r="255">
      <c r="A255" s="8" t="inlineStr">
        <is>
          <t>2026/09/21</t>
        </is>
      </c>
      <c r="B255" s="8" t="inlineStr">
        <is>
          <t>EMP11</t>
        </is>
      </c>
      <c r="C255" s="8" t="inlineStr">
        <is>
          <t>鄭淑芬</t>
        </is>
      </c>
      <c r="D255" s="8" t="inlineStr">
        <is>
          <t>出勤正常</t>
        </is>
      </c>
      <c r="E255" s="19" t="n">
        <v>8</v>
      </c>
      <c r="F255" s="19" t="n">
        <v>0</v>
      </c>
      <c r="G255" s="20">
        <f>IF(F255&gt;0, MIN(F255, 2), 0)</f>
        <v/>
      </c>
      <c r="H255" s="20">
        <f>IF(F255&gt;2, F255-2, 0)</f>
        <v/>
      </c>
      <c r="I255" s="19" t="n">
        <v>0</v>
      </c>
      <c r="J255" s="19" t="n">
        <v>0</v>
      </c>
      <c r="K255" s="19" t="n">
        <v>0</v>
      </c>
      <c r="L255" s="21" t="inlineStr"/>
    </row>
    <row r="256">
      <c r="A256" s="8" t="inlineStr">
        <is>
          <t>2026/09/21</t>
        </is>
      </c>
      <c r="B256" s="8" t="inlineStr">
        <is>
          <t>EMP12</t>
        </is>
      </c>
      <c r="C256" s="8" t="inlineStr">
        <is>
          <t>謝宗翰</t>
        </is>
      </c>
      <c r="D256" s="8" t="inlineStr">
        <is>
          <t>出勤正常</t>
        </is>
      </c>
      <c r="E256" s="19" t="n">
        <v>8</v>
      </c>
      <c r="F256" s="19" t="n">
        <v>0</v>
      </c>
      <c r="G256" s="20">
        <f>IF(F256&gt;0, MIN(F256, 2), 0)</f>
        <v/>
      </c>
      <c r="H256" s="20">
        <f>IF(F256&gt;2, F256-2, 0)</f>
        <v/>
      </c>
      <c r="I256" s="19" t="n">
        <v>0</v>
      </c>
      <c r="J256" s="19" t="n">
        <v>0</v>
      </c>
      <c r="K256" s="19" t="n">
        <v>0</v>
      </c>
      <c r="L256" s="21" t="inlineStr"/>
    </row>
    <row r="257">
      <c r="A257" s="8" t="inlineStr">
        <is>
          <t>2026/09/22</t>
        </is>
      </c>
      <c r="B257" s="8" t="inlineStr">
        <is>
          <t>EMP01</t>
        </is>
      </c>
      <c r="C257" s="8" t="inlineStr">
        <is>
          <t>陳建宏</t>
        </is>
      </c>
      <c r="D257" s="8" t="inlineStr">
        <is>
          <t>出勤正常</t>
        </is>
      </c>
      <c r="E257" s="19" t="n">
        <v>8</v>
      </c>
      <c r="F257" s="19" t="n">
        <v>3</v>
      </c>
      <c r="G257" s="20">
        <f>IF(F257&gt;0, MIN(F257, 2), 0)</f>
        <v/>
      </c>
      <c r="H257" s="20">
        <f>IF(F257&gt;2, F257-2, 0)</f>
        <v/>
      </c>
      <c r="I257" s="19" t="n">
        <v>0</v>
      </c>
      <c r="J257" s="19" t="n">
        <v>0</v>
      </c>
      <c r="K257" s="19" t="n">
        <v>0</v>
      </c>
      <c r="L257" s="21" t="inlineStr">
        <is>
          <t>月底趕工</t>
        </is>
      </c>
    </row>
    <row r="258">
      <c r="A258" s="8" t="inlineStr">
        <is>
          <t>2026/09/22</t>
        </is>
      </c>
      <c r="B258" s="8" t="inlineStr">
        <is>
          <t>EMP02</t>
        </is>
      </c>
      <c r="C258" s="8" t="inlineStr">
        <is>
          <t>林美玲</t>
        </is>
      </c>
      <c r="D258" s="8" t="inlineStr">
        <is>
          <t>出勤正常</t>
        </is>
      </c>
      <c r="E258" s="19" t="n">
        <v>8</v>
      </c>
      <c r="F258" s="19" t="n">
        <v>0</v>
      </c>
      <c r="G258" s="20">
        <f>IF(F258&gt;0, MIN(F258, 2), 0)</f>
        <v/>
      </c>
      <c r="H258" s="20">
        <f>IF(F258&gt;2, F258-2, 0)</f>
        <v/>
      </c>
      <c r="I258" s="19" t="n">
        <v>0</v>
      </c>
      <c r="J258" s="19" t="n">
        <v>0</v>
      </c>
      <c r="K258" s="19" t="n">
        <v>0</v>
      </c>
      <c r="L258" s="21" t="inlineStr"/>
    </row>
    <row r="259">
      <c r="A259" s="8" t="inlineStr">
        <is>
          <t>2026/09/22</t>
        </is>
      </c>
      <c r="B259" s="8" t="inlineStr">
        <is>
          <t>EMP03</t>
        </is>
      </c>
      <c r="C259" s="8" t="inlineStr">
        <is>
          <t>張志成</t>
        </is>
      </c>
      <c r="D259" s="8" t="inlineStr">
        <is>
          <t>出勤正常</t>
        </is>
      </c>
      <c r="E259" s="19" t="n">
        <v>8</v>
      </c>
      <c r="F259" s="19" t="n">
        <v>0</v>
      </c>
      <c r="G259" s="20">
        <f>IF(F259&gt;0, MIN(F259, 2), 0)</f>
        <v/>
      </c>
      <c r="H259" s="20">
        <f>IF(F259&gt;2, F259-2, 0)</f>
        <v/>
      </c>
      <c r="I259" s="19" t="n">
        <v>0</v>
      </c>
      <c r="J259" s="19" t="n">
        <v>0</v>
      </c>
      <c r="K259" s="19" t="n">
        <v>0</v>
      </c>
      <c r="L259" s="21" t="inlineStr"/>
    </row>
    <row r="260">
      <c r="A260" s="8" t="inlineStr">
        <is>
          <t>2026/09/22</t>
        </is>
      </c>
      <c r="B260" s="8" t="inlineStr">
        <is>
          <t>EMP04</t>
        </is>
      </c>
      <c r="C260" s="8" t="inlineStr">
        <is>
          <t>黃國榮</t>
        </is>
      </c>
      <c r="D260" s="8" t="inlineStr">
        <is>
          <t>出勤正常</t>
        </is>
      </c>
      <c r="E260" s="19" t="n">
        <v>8</v>
      </c>
      <c r="F260" s="19" t="n">
        <v>0</v>
      </c>
      <c r="G260" s="20">
        <f>IF(F260&gt;0, MIN(F260, 2), 0)</f>
        <v/>
      </c>
      <c r="H260" s="20">
        <f>IF(F260&gt;2, F260-2, 0)</f>
        <v/>
      </c>
      <c r="I260" s="19" t="n">
        <v>0</v>
      </c>
      <c r="J260" s="19" t="n">
        <v>0</v>
      </c>
      <c r="K260" s="19" t="n">
        <v>0</v>
      </c>
      <c r="L260" s="21" t="inlineStr"/>
    </row>
    <row r="261">
      <c r="A261" s="8" t="inlineStr">
        <is>
          <t>2026/09/22</t>
        </is>
      </c>
      <c r="B261" s="8" t="inlineStr">
        <is>
          <t>EMP05</t>
        </is>
      </c>
      <c r="C261" s="8" t="inlineStr">
        <is>
          <t>李雅婷</t>
        </is>
      </c>
      <c r="D261" s="8" t="inlineStr">
        <is>
          <t>出勤正常</t>
        </is>
      </c>
      <c r="E261" s="19" t="n">
        <v>8</v>
      </c>
      <c r="F261" s="19" t="n">
        <v>2</v>
      </c>
      <c r="G261" s="20">
        <f>IF(F261&gt;0, MIN(F261, 2), 0)</f>
        <v/>
      </c>
      <c r="H261" s="20">
        <f>IF(F261&gt;2, F261-2, 0)</f>
        <v/>
      </c>
      <c r="I261" s="19" t="n">
        <v>0</v>
      </c>
      <c r="J261" s="19" t="n">
        <v>0</v>
      </c>
      <c r="K261" s="19" t="n">
        <v>0</v>
      </c>
      <c r="L261" s="21" t="inlineStr">
        <is>
          <t>出貨檢驗</t>
        </is>
      </c>
    </row>
    <row r="262">
      <c r="A262" s="8" t="inlineStr">
        <is>
          <t>2026/09/22</t>
        </is>
      </c>
      <c r="B262" s="8" t="inlineStr">
        <is>
          <t>EMP06</t>
        </is>
      </c>
      <c r="C262" s="8" t="inlineStr">
        <is>
          <t>王俊傑</t>
        </is>
      </c>
      <c r="D262" s="8" t="inlineStr">
        <is>
          <t>出勤正常</t>
        </is>
      </c>
      <c r="E262" s="19" t="n">
        <v>8</v>
      </c>
      <c r="F262" s="19" t="n">
        <v>0</v>
      </c>
      <c r="G262" s="20">
        <f>IF(F262&gt;0, MIN(F262, 2), 0)</f>
        <v/>
      </c>
      <c r="H262" s="20">
        <f>IF(F262&gt;2, F262-2, 0)</f>
        <v/>
      </c>
      <c r="I262" s="19" t="n">
        <v>0</v>
      </c>
      <c r="J262" s="19" t="n">
        <v>0</v>
      </c>
      <c r="K262" s="19" t="n">
        <v>0</v>
      </c>
      <c r="L262" s="21" t="inlineStr"/>
    </row>
    <row r="263">
      <c r="A263" s="8" t="inlineStr">
        <is>
          <t>2026/09/22</t>
        </is>
      </c>
      <c r="B263" s="8" t="inlineStr">
        <is>
          <t>EMP07</t>
        </is>
      </c>
      <c r="C263" s="8" t="inlineStr">
        <is>
          <t>吳佩芬</t>
        </is>
      </c>
      <c r="D263" s="8" t="inlineStr">
        <is>
          <t>出勤正常</t>
        </is>
      </c>
      <c r="E263" s="19" t="n">
        <v>8</v>
      </c>
      <c r="F263" s="19" t="n">
        <v>0</v>
      </c>
      <c r="G263" s="20">
        <f>IF(F263&gt;0, MIN(F263, 2), 0)</f>
        <v/>
      </c>
      <c r="H263" s="20">
        <f>IF(F263&gt;2, F263-2, 0)</f>
        <v/>
      </c>
      <c r="I263" s="19" t="n">
        <v>0</v>
      </c>
      <c r="J263" s="19" t="n">
        <v>0</v>
      </c>
      <c r="K263" s="19" t="n">
        <v>0</v>
      </c>
      <c r="L263" s="21" t="inlineStr"/>
    </row>
    <row r="264">
      <c r="A264" s="8" t="inlineStr">
        <is>
          <t>2026/09/22</t>
        </is>
      </c>
      <c r="B264" s="8" t="inlineStr">
        <is>
          <t>EMP08</t>
        </is>
      </c>
      <c r="C264" s="8" t="inlineStr">
        <is>
          <t>劉家豪</t>
        </is>
      </c>
      <c r="D264" s="8" t="inlineStr">
        <is>
          <t>出勤正常</t>
        </is>
      </c>
      <c r="E264" s="19" t="n">
        <v>8</v>
      </c>
      <c r="F264" s="19" t="n">
        <v>0</v>
      </c>
      <c r="G264" s="20">
        <f>IF(F264&gt;0, MIN(F264, 2), 0)</f>
        <v/>
      </c>
      <c r="H264" s="20">
        <f>IF(F264&gt;2, F264-2, 0)</f>
        <v/>
      </c>
      <c r="I264" s="19" t="n">
        <v>0</v>
      </c>
      <c r="J264" s="19" t="n">
        <v>0</v>
      </c>
      <c r="K264" s="19" t="n">
        <v>0</v>
      </c>
      <c r="L264" s="21" t="inlineStr"/>
    </row>
    <row r="265">
      <c r="A265" s="8" t="inlineStr">
        <is>
          <t>2026/09/22</t>
        </is>
      </c>
      <c r="B265" s="8" t="inlineStr">
        <is>
          <t>EMP09</t>
        </is>
      </c>
      <c r="C265" s="8" t="inlineStr">
        <is>
          <t>蔡佳蓉</t>
        </is>
      </c>
      <c r="D265" s="8" t="inlineStr">
        <is>
          <t>出勤正常</t>
        </is>
      </c>
      <c r="E265" s="19" t="n">
        <v>8</v>
      </c>
      <c r="F265" s="19" t="n">
        <v>3</v>
      </c>
      <c r="G265" s="20">
        <f>IF(F265&gt;0, MIN(F265, 2), 0)</f>
        <v/>
      </c>
      <c r="H265" s="20">
        <f>IF(F265&gt;2, F265-2, 0)</f>
        <v/>
      </c>
      <c r="I265" s="19" t="n">
        <v>0</v>
      </c>
      <c r="J265" s="19" t="n">
        <v>0</v>
      </c>
      <c r="K265" s="19" t="n">
        <v>0</v>
      </c>
      <c r="L265" s="21" t="inlineStr">
        <is>
          <t>出貨急單</t>
        </is>
      </c>
    </row>
    <row r="266">
      <c r="A266" s="8" t="inlineStr">
        <is>
          <t>2026/09/22</t>
        </is>
      </c>
      <c r="B266" s="8" t="inlineStr">
        <is>
          <t>EMP10</t>
        </is>
      </c>
      <c r="C266" s="8" t="inlineStr">
        <is>
          <t>許博凱</t>
        </is>
      </c>
      <c r="D266" s="8" t="inlineStr">
        <is>
          <t>出勤正常</t>
        </is>
      </c>
      <c r="E266" s="19" t="n">
        <v>8</v>
      </c>
      <c r="F266" s="19" t="n">
        <v>2</v>
      </c>
      <c r="G266" s="20">
        <f>IF(F266&gt;0, MIN(F266, 2), 0)</f>
        <v/>
      </c>
      <c r="H266" s="20">
        <f>IF(F266&gt;2, F266-2, 0)</f>
        <v/>
      </c>
      <c r="I266" s="19" t="n">
        <v>0</v>
      </c>
      <c r="J266" s="19" t="n">
        <v>0</v>
      </c>
      <c r="K266" s="19" t="n">
        <v>0</v>
      </c>
      <c r="L266" s="21" t="inlineStr">
        <is>
          <t>庫存整理</t>
        </is>
      </c>
    </row>
    <row r="267">
      <c r="A267" s="8" t="inlineStr">
        <is>
          <t>2026/09/22</t>
        </is>
      </c>
      <c r="B267" s="8" t="inlineStr">
        <is>
          <t>EMP11</t>
        </is>
      </c>
      <c r="C267" s="8" t="inlineStr">
        <is>
          <t>鄭淑芬</t>
        </is>
      </c>
      <c r="D267" s="8" t="inlineStr">
        <is>
          <t>出勤正常</t>
        </is>
      </c>
      <c r="E267" s="19" t="n">
        <v>8</v>
      </c>
      <c r="F267" s="19" t="n">
        <v>2</v>
      </c>
      <c r="G267" s="20">
        <f>IF(F267&gt;0, MIN(F267, 2), 0)</f>
        <v/>
      </c>
      <c r="H267" s="20">
        <f>IF(F267&gt;2, F267-2, 0)</f>
        <v/>
      </c>
      <c r="I267" s="19" t="n">
        <v>0</v>
      </c>
      <c r="J267" s="19" t="n">
        <v>0</v>
      </c>
      <c r="K267" s="19" t="n">
        <v>0</v>
      </c>
      <c r="L267" s="21" t="inlineStr">
        <is>
          <t>出貨重檢</t>
        </is>
      </c>
    </row>
    <row r="268">
      <c r="A268" s="8" t="inlineStr">
        <is>
          <t>2026/09/22</t>
        </is>
      </c>
      <c r="B268" s="8" t="inlineStr">
        <is>
          <t>EMP12</t>
        </is>
      </c>
      <c r="C268" s="8" t="inlineStr">
        <is>
          <t>謝宗翰</t>
        </is>
      </c>
      <c r="D268" s="8" t="inlineStr">
        <is>
          <t>出勤正常</t>
        </is>
      </c>
      <c r="E268" s="19" t="n">
        <v>8</v>
      </c>
      <c r="F268" s="19" t="n">
        <v>2</v>
      </c>
      <c r="G268" s="20">
        <f>IF(F268&gt;0, MIN(F268, 2), 0)</f>
        <v/>
      </c>
      <c r="H268" s="20">
        <f>IF(F268&gt;2, F268-2, 0)</f>
        <v/>
      </c>
      <c r="I268" s="19" t="n">
        <v>0</v>
      </c>
      <c r="J268" s="19" t="n">
        <v>0</v>
      </c>
      <c r="K268" s="19" t="n">
        <v>0</v>
      </c>
      <c r="L268" s="21" t="inlineStr">
        <is>
          <t>廢料清理</t>
        </is>
      </c>
    </row>
    <row r="269">
      <c r="A269" s="8" t="inlineStr">
        <is>
          <t>2026/09/23</t>
        </is>
      </c>
      <c r="B269" s="8" t="inlineStr">
        <is>
          <t>EMP01</t>
        </is>
      </c>
      <c r="C269" s="8" t="inlineStr">
        <is>
          <t>陳建宏</t>
        </is>
      </c>
      <c r="D269" s="8" t="inlineStr">
        <is>
          <t>出勤正常</t>
        </is>
      </c>
      <c r="E269" s="19" t="n">
        <v>8</v>
      </c>
      <c r="F269" s="19" t="n">
        <v>0</v>
      </c>
      <c r="G269" s="20">
        <f>IF(F269&gt;0, MIN(F269, 2), 0)</f>
        <v/>
      </c>
      <c r="H269" s="20">
        <f>IF(F269&gt;2, F269-2, 0)</f>
        <v/>
      </c>
      <c r="I269" s="19" t="n">
        <v>0</v>
      </c>
      <c r="J269" s="19" t="n">
        <v>0</v>
      </c>
      <c r="K269" s="19" t="n">
        <v>0</v>
      </c>
      <c r="L269" s="21" t="inlineStr"/>
    </row>
    <row r="270">
      <c r="A270" s="8" t="inlineStr">
        <is>
          <t>2026/09/23</t>
        </is>
      </c>
      <c r="B270" s="8" t="inlineStr">
        <is>
          <t>EMP02</t>
        </is>
      </c>
      <c r="C270" s="8" t="inlineStr">
        <is>
          <t>林美玲</t>
        </is>
      </c>
      <c r="D270" s="8" t="inlineStr">
        <is>
          <t>出勤正常</t>
        </is>
      </c>
      <c r="E270" s="19" t="n">
        <v>8</v>
      </c>
      <c r="F270" s="19" t="n">
        <v>0</v>
      </c>
      <c r="G270" s="20">
        <f>IF(F270&gt;0, MIN(F270, 2), 0)</f>
        <v/>
      </c>
      <c r="H270" s="20">
        <f>IF(F270&gt;2, F270-2, 0)</f>
        <v/>
      </c>
      <c r="I270" s="19" t="n">
        <v>0</v>
      </c>
      <c r="J270" s="19" t="n">
        <v>0</v>
      </c>
      <c r="K270" s="19" t="n">
        <v>0</v>
      </c>
      <c r="L270" s="21" t="inlineStr"/>
    </row>
    <row r="271">
      <c r="A271" s="8" t="inlineStr">
        <is>
          <t>2026/09/23</t>
        </is>
      </c>
      <c r="B271" s="8" t="inlineStr">
        <is>
          <t>EMP03</t>
        </is>
      </c>
      <c r="C271" s="8" t="inlineStr">
        <is>
          <t>張志成</t>
        </is>
      </c>
      <c r="D271" s="8" t="inlineStr">
        <is>
          <t>出勤正常</t>
        </is>
      </c>
      <c r="E271" s="19" t="n">
        <v>8</v>
      </c>
      <c r="F271" s="19" t="n">
        <v>3</v>
      </c>
      <c r="G271" s="20">
        <f>IF(F271&gt;0, MIN(F271, 2), 0)</f>
        <v/>
      </c>
      <c r="H271" s="20">
        <f>IF(F271&gt;2, F271-2, 0)</f>
        <v/>
      </c>
      <c r="I271" s="19" t="n">
        <v>0</v>
      </c>
      <c r="J271" s="19" t="n">
        <v>0</v>
      </c>
      <c r="K271" s="19" t="n">
        <v>0</v>
      </c>
      <c r="L271" s="21" t="inlineStr">
        <is>
          <t>物料整理</t>
        </is>
      </c>
    </row>
    <row r="272">
      <c r="A272" s="8" t="inlineStr">
        <is>
          <t>2026/09/23</t>
        </is>
      </c>
      <c r="B272" s="8" t="inlineStr">
        <is>
          <t>EMP04</t>
        </is>
      </c>
      <c r="C272" s="8" t="inlineStr">
        <is>
          <t>黃國榮</t>
        </is>
      </c>
      <c r="D272" s="8" t="inlineStr">
        <is>
          <t>出勤正常</t>
        </is>
      </c>
      <c r="E272" s="19" t="n">
        <v>8</v>
      </c>
      <c r="F272" s="19" t="n">
        <v>0</v>
      </c>
      <c r="G272" s="20">
        <f>IF(F272&gt;0, MIN(F272, 2), 0)</f>
        <v/>
      </c>
      <c r="H272" s="20">
        <f>IF(F272&gt;2, F272-2, 0)</f>
        <v/>
      </c>
      <c r="I272" s="19" t="n">
        <v>0</v>
      </c>
      <c r="J272" s="19" t="n">
        <v>0</v>
      </c>
      <c r="K272" s="19" t="n">
        <v>0</v>
      </c>
      <c r="L272" s="21" t="inlineStr"/>
    </row>
    <row r="273">
      <c r="A273" s="8" t="inlineStr">
        <is>
          <t>2026/09/23</t>
        </is>
      </c>
      <c r="B273" s="8" t="inlineStr">
        <is>
          <t>EMP05</t>
        </is>
      </c>
      <c r="C273" s="8" t="inlineStr">
        <is>
          <t>李雅婷</t>
        </is>
      </c>
      <c r="D273" s="8" t="inlineStr">
        <is>
          <t>出勤正常</t>
        </is>
      </c>
      <c r="E273" s="19" t="n">
        <v>8</v>
      </c>
      <c r="F273" s="19" t="n">
        <v>0</v>
      </c>
      <c r="G273" s="20">
        <f>IF(F273&gt;0, MIN(F273, 2), 0)</f>
        <v/>
      </c>
      <c r="H273" s="20">
        <f>IF(F273&gt;2, F273-2, 0)</f>
        <v/>
      </c>
      <c r="I273" s="19" t="n">
        <v>0</v>
      </c>
      <c r="J273" s="19" t="n">
        <v>0</v>
      </c>
      <c r="K273" s="19" t="n">
        <v>0</v>
      </c>
      <c r="L273" s="21" t="inlineStr"/>
    </row>
    <row r="274">
      <c r="A274" s="8" t="inlineStr">
        <is>
          <t>2026/09/23</t>
        </is>
      </c>
      <c r="B274" s="8" t="inlineStr">
        <is>
          <t>EMP06</t>
        </is>
      </c>
      <c r="C274" s="8" t="inlineStr">
        <is>
          <t>王俊傑</t>
        </is>
      </c>
      <c r="D274" s="8" t="inlineStr">
        <is>
          <t>出勤正常</t>
        </is>
      </c>
      <c r="E274" s="19" t="n">
        <v>8</v>
      </c>
      <c r="F274" s="19" t="n">
        <v>2</v>
      </c>
      <c r="G274" s="20">
        <f>IF(F274&gt;0, MIN(F274, 2), 0)</f>
        <v/>
      </c>
      <c r="H274" s="20">
        <f>IF(F274&gt;2, F274-2, 0)</f>
        <v/>
      </c>
      <c r="I274" s="19" t="n">
        <v>0</v>
      </c>
      <c r="J274" s="19" t="n">
        <v>0</v>
      </c>
      <c r="K274" s="19" t="n">
        <v>0</v>
      </c>
      <c r="L274" s="21" t="inlineStr">
        <is>
          <t>半成品組裝</t>
        </is>
      </c>
    </row>
    <row r="275">
      <c r="A275" s="8" t="inlineStr">
        <is>
          <t>2026/09/23</t>
        </is>
      </c>
      <c r="B275" s="8" t="inlineStr">
        <is>
          <t>EMP07</t>
        </is>
      </c>
      <c r="C275" s="8" t="inlineStr">
        <is>
          <t>吳佩芬</t>
        </is>
      </c>
      <c r="D275" s="8" t="inlineStr">
        <is>
          <t>出勤正常</t>
        </is>
      </c>
      <c r="E275" s="19" t="n">
        <v>8</v>
      </c>
      <c r="F275" s="19" t="n">
        <v>0</v>
      </c>
      <c r="G275" s="20">
        <f>IF(F275&gt;0, MIN(F275, 2), 0)</f>
        <v/>
      </c>
      <c r="H275" s="20">
        <f>IF(F275&gt;2, F275-2, 0)</f>
        <v/>
      </c>
      <c r="I275" s="19" t="n">
        <v>0</v>
      </c>
      <c r="J275" s="19" t="n">
        <v>0</v>
      </c>
      <c r="K275" s="19" t="n">
        <v>0</v>
      </c>
      <c r="L275" s="21" t="inlineStr"/>
    </row>
    <row r="276">
      <c r="A276" s="8" t="inlineStr">
        <is>
          <t>2026/09/23</t>
        </is>
      </c>
      <c r="B276" s="8" t="inlineStr">
        <is>
          <t>EMP08</t>
        </is>
      </c>
      <c r="C276" s="8" t="inlineStr">
        <is>
          <t>劉家豪</t>
        </is>
      </c>
      <c r="D276" s="8" t="inlineStr">
        <is>
          <t>出勤正常</t>
        </is>
      </c>
      <c r="E276" s="19" t="n">
        <v>8</v>
      </c>
      <c r="F276" s="19" t="n">
        <v>0</v>
      </c>
      <c r="G276" s="20">
        <f>IF(F276&gt;0, MIN(F276, 2), 0)</f>
        <v/>
      </c>
      <c r="H276" s="20">
        <f>IF(F276&gt;2, F276-2, 0)</f>
        <v/>
      </c>
      <c r="I276" s="19" t="n">
        <v>0</v>
      </c>
      <c r="J276" s="19" t="n">
        <v>0</v>
      </c>
      <c r="K276" s="19" t="n">
        <v>0</v>
      </c>
      <c r="L276" s="21" t="inlineStr"/>
    </row>
    <row r="277">
      <c r="A277" s="8" t="inlineStr">
        <is>
          <t>2026/09/23</t>
        </is>
      </c>
      <c r="B277" s="8" t="inlineStr">
        <is>
          <t>EMP09</t>
        </is>
      </c>
      <c r="C277" s="8" t="inlineStr">
        <is>
          <t>蔡佳蓉</t>
        </is>
      </c>
      <c r="D277" s="8" t="inlineStr">
        <is>
          <t>出勤正常</t>
        </is>
      </c>
      <c r="E277" s="19" t="n">
        <v>8</v>
      </c>
      <c r="F277" s="19" t="n">
        <v>0</v>
      </c>
      <c r="G277" s="20">
        <f>IF(F277&gt;0, MIN(F277, 2), 0)</f>
        <v/>
      </c>
      <c r="H277" s="20">
        <f>IF(F277&gt;2, F277-2, 0)</f>
        <v/>
      </c>
      <c r="I277" s="19" t="n">
        <v>0</v>
      </c>
      <c r="J277" s="19" t="n">
        <v>0</v>
      </c>
      <c r="K277" s="19" t="n">
        <v>0</v>
      </c>
      <c r="L277" s="21" t="inlineStr"/>
    </row>
    <row r="278">
      <c r="A278" s="8" t="inlineStr">
        <is>
          <t>2026/09/23</t>
        </is>
      </c>
      <c r="B278" s="8" t="inlineStr">
        <is>
          <t>EMP10</t>
        </is>
      </c>
      <c r="C278" s="8" t="inlineStr">
        <is>
          <t>許博凱</t>
        </is>
      </c>
      <c r="D278" s="8" t="inlineStr">
        <is>
          <t>出勤正常</t>
        </is>
      </c>
      <c r="E278" s="19" t="n">
        <v>8</v>
      </c>
      <c r="F278" s="19" t="n">
        <v>0</v>
      </c>
      <c r="G278" s="20">
        <f>IF(F278&gt;0, MIN(F278, 2), 0)</f>
        <v/>
      </c>
      <c r="H278" s="20">
        <f>IF(F278&gt;2, F278-2, 0)</f>
        <v/>
      </c>
      <c r="I278" s="19" t="n">
        <v>0</v>
      </c>
      <c r="J278" s="19" t="n">
        <v>0</v>
      </c>
      <c r="K278" s="19" t="n">
        <v>0</v>
      </c>
      <c r="L278" s="21" t="inlineStr"/>
    </row>
    <row r="279">
      <c r="A279" s="8" t="inlineStr">
        <is>
          <t>2026/09/23</t>
        </is>
      </c>
      <c r="B279" s="8" t="inlineStr">
        <is>
          <t>EMP11</t>
        </is>
      </c>
      <c r="C279" s="8" t="inlineStr">
        <is>
          <t>鄭淑芬</t>
        </is>
      </c>
      <c r="D279" s="8" t="inlineStr">
        <is>
          <t>出勤正常</t>
        </is>
      </c>
      <c r="E279" s="19" t="n">
        <v>8</v>
      </c>
      <c r="F279" s="19" t="n">
        <v>0</v>
      </c>
      <c r="G279" s="20">
        <f>IF(F279&gt;0, MIN(F279, 2), 0)</f>
        <v/>
      </c>
      <c r="H279" s="20">
        <f>IF(F279&gt;2, F279-2, 0)</f>
        <v/>
      </c>
      <c r="I279" s="19" t="n">
        <v>0</v>
      </c>
      <c r="J279" s="19" t="n">
        <v>0</v>
      </c>
      <c r="K279" s="19" t="n">
        <v>0</v>
      </c>
      <c r="L279" s="21" t="inlineStr"/>
    </row>
    <row r="280">
      <c r="A280" s="8" t="inlineStr">
        <is>
          <t>2026/09/23</t>
        </is>
      </c>
      <c r="B280" s="8" t="inlineStr">
        <is>
          <t>EMP12</t>
        </is>
      </c>
      <c r="C280" s="8" t="inlineStr">
        <is>
          <t>謝宗翰</t>
        </is>
      </c>
      <c r="D280" s="8" t="inlineStr">
        <is>
          <t>出勤正常</t>
        </is>
      </c>
      <c r="E280" s="19" t="n">
        <v>8</v>
      </c>
      <c r="F280" s="19" t="n">
        <v>0</v>
      </c>
      <c r="G280" s="20">
        <f>IF(F280&gt;0, MIN(F280, 2), 0)</f>
        <v/>
      </c>
      <c r="H280" s="20">
        <f>IF(F280&gt;2, F280-2, 0)</f>
        <v/>
      </c>
      <c r="I280" s="19" t="n">
        <v>0</v>
      </c>
      <c r="J280" s="19" t="n">
        <v>0</v>
      </c>
      <c r="K280" s="19" t="n">
        <v>0</v>
      </c>
      <c r="L280" s="21" t="inlineStr"/>
    </row>
    <row r="281">
      <c r="A281" s="8" t="inlineStr">
        <is>
          <t>2026/09/24</t>
        </is>
      </c>
      <c r="B281" s="8" t="inlineStr">
        <is>
          <t>EMP01</t>
        </is>
      </c>
      <c r="C281" s="8" t="inlineStr">
        <is>
          <t>陳建宏</t>
        </is>
      </c>
      <c r="D281" s="8" t="inlineStr">
        <is>
          <t>出勤正常</t>
        </is>
      </c>
      <c r="E281" s="19" t="n">
        <v>8</v>
      </c>
      <c r="F281" s="19" t="n">
        <v>0</v>
      </c>
      <c r="G281" s="20">
        <f>IF(F281&gt;0, MIN(F281, 2), 0)</f>
        <v/>
      </c>
      <c r="H281" s="20">
        <f>IF(F281&gt;2, F281-2, 0)</f>
        <v/>
      </c>
      <c r="I281" s="19" t="n">
        <v>0</v>
      </c>
      <c r="J281" s="19" t="n">
        <v>0</v>
      </c>
      <c r="K281" s="19" t="n">
        <v>0</v>
      </c>
      <c r="L281" s="21" t="inlineStr"/>
    </row>
    <row r="282">
      <c r="A282" s="8" t="inlineStr">
        <is>
          <t>2026/09/24</t>
        </is>
      </c>
      <c r="B282" s="8" t="inlineStr">
        <is>
          <t>EMP02</t>
        </is>
      </c>
      <c r="C282" s="8" t="inlineStr">
        <is>
          <t>林美玲</t>
        </is>
      </c>
      <c r="D282" s="8" t="inlineStr">
        <is>
          <t>出勤正常</t>
        </is>
      </c>
      <c r="E282" s="19" t="n">
        <v>8</v>
      </c>
      <c r="F282" s="19" t="n">
        <v>0</v>
      </c>
      <c r="G282" s="20">
        <f>IF(F282&gt;0, MIN(F282, 2), 0)</f>
        <v/>
      </c>
      <c r="H282" s="20">
        <f>IF(F282&gt;2, F282-2, 0)</f>
        <v/>
      </c>
      <c r="I282" s="19" t="n">
        <v>0</v>
      </c>
      <c r="J282" s="19" t="n">
        <v>0</v>
      </c>
      <c r="K282" s="19" t="n">
        <v>0</v>
      </c>
      <c r="L282" s="21" t="inlineStr"/>
    </row>
    <row r="283">
      <c r="A283" s="8" t="inlineStr">
        <is>
          <t>2026/09/24</t>
        </is>
      </c>
      <c r="B283" s="8" t="inlineStr">
        <is>
          <t>EMP03</t>
        </is>
      </c>
      <c r="C283" s="8" t="inlineStr">
        <is>
          <t>張志成</t>
        </is>
      </c>
      <c r="D283" s="8" t="inlineStr">
        <is>
          <t>出勤正常</t>
        </is>
      </c>
      <c r="E283" s="19" t="n">
        <v>8</v>
      </c>
      <c r="F283" s="19" t="n">
        <v>0</v>
      </c>
      <c r="G283" s="20">
        <f>IF(F283&gt;0, MIN(F283, 2), 0)</f>
        <v/>
      </c>
      <c r="H283" s="20">
        <f>IF(F283&gt;2, F283-2, 0)</f>
        <v/>
      </c>
      <c r="I283" s="19" t="n">
        <v>0</v>
      </c>
      <c r="J283" s="19" t="n">
        <v>0</v>
      </c>
      <c r="K283" s="19" t="n">
        <v>0</v>
      </c>
      <c r="L283" s="21" t="inlineStr"/>
    </row>
    <row r="284">
      <c r="A284" s="8" t="inlineStr">
        <is>
          <t>2026/09/24</t>
        </is>
      </c>
      <c r="B284" s="8" t="inlineStr">
        <is>
          <t>EMP04</t>
        </is>
      </c>
      <c r="C284" s="8" t="inlineStr">
        <is>
          <t>黃國榮</t>
        </is>
      </c>
      <c r="D284" s="8" t="inlineStr">
        <is>
          <t>出勤正常</t>
        </is>
      </c>
      <c r="E284" s="19" t="n">
        <v>8</v>
      </c>
      <c r="F284" s="19" t="n">
        <v>4</v>
      </c>
      <c r="G284" s="20">
        <f>IF(F284&gt;0, MIN(F284, 2), 0)</f>
        <v/>
      </c>
      <c r="H284" s="20">
        <f>IF(F284&gt;2, F284-2, 0)</f>
        <v/>
      </c>
      <c r="I284" s="19" t="n">
        <v>0</v>
      </c>
      <c r="J284" s="19" t="n">
        <v>0</v>
      </c>
      <c r="K284" s="19" t="n">
        <v>0</v>
      </c>
      <c r="L284" s="21" t="inlineStr">
        <is>
          <t>急件趕工</t>
        </is>
      </c>
    </row>
    <row r="285">
      <c r="A285" s="8" t="inlineStr">
        <is>
          <t>2026/09/24</t>
        </is>
      </c>
      <c r="B285" s="8" t="inlineStr">
        <is>
          <t>EMP05</t>
        </is>
      </c>
      <c r="C285" s="8" t="inlineStr">
        <is>
          <t>李雅婷</t>
        </is>
      </c>
      <c r="D285" s="8" t="inlineStr">
        <is>
          <t>出勤正常</t>
        </is>
      </c>
      <c r="E285" s="19" t="n">
        <v>8</v>
      </c>
      <c r="F285" s="19" t="n">
        <v>0</v>
      </c>
      <c r="G285" s="20">
        <f>IF(F285&gt;0, MIN(F285, 2), 0)</f>
        <v/>
      </c>
      <c r="H285" s="20">
        <f>IF(F285&gt;2, F285-2, 0)</f>
        <v/>
      </c>
      <c r="I285" s="19" t="n">
        <v>0</v>
      </c>
      <c r="J285" s="19" t="n">
        <v>0</v>
      </c>
      <c r="K285" s="19" t="n">
        <v>0</v>
      </c>
      <c r="L285" s="21" t="inlineStr"/>
    </row>
    <row r="286">
      <c r="A286" s="8" t="inlineStr">
        <is>
          <t>2026/09/24</t>
        </is>
      </c>
      <c r="B286" s="8" t="inlineStr">
        <is>
          <t>EMP06</t>
        </is>
      </c>
      <c r="C286" s="8" t="inlineStr">
        <is>
          <t>王俊傑</t>
        </is>
      </c>
      <c r="D286" s="8" t="inlineStr">
        <is>
          <t>出勤正常</t>
        </is>
      </c>
      <c r="E286" s="19" t="n">
        <v>8</v>
      </c>
      <c r="F286" s="19" t="n">
        <v>0</v>
      </c>
      <c r="G286" s="20">
        <f>IF(F286&gt;0, MIN(F286, 2), 0)</f>
        <v/>
      </c>
      <c r="H286" s="20">
        <f>IF(F286&gt;2, F286-2, 0)</f>
        <v/>
      </c>
      <c r="I286" s="19" t="n">
        <v>0</v>
      </c>
      <c r="J286" s="19" t="n">
        <v>0</v>
      </c>
      <c r="K286" s="19" t="n">
        <v>0</v>
      </c>
      <c r="L286" s="21" t="inlineStr"/>
    </row>
    <row r="287">
      <c r="A287" s="8" t="inlineStr">
        <is>
          <t>2026/09/24</t>
        </is>
      </c>
      <c r="B287" s="8" t="inlineStr">
        <is>
          <t>EMP07</t>
        </is>
      </c>
      <c r="C287" s="8" t="inlineStr">
        <is>
          <t>吳佩芬</t>
        </is>
      </c>
      <c r="D287" s="8" t="inlineStr">
        <is>
          <t>出勤正常</t>
        </is>
      </c>
      <c r="E287" s="19" t="n">
        <v>8</v>
      </c>
      <c r="F287" s="19" t="n">
        <v>0</v>
      </c>
      <c r="G287" s="20">
        <f>IF(F287&gt;0, MIN(F287, 2), 0)</f>
        <v/>
      </c>
      <c r="H287" s="20">
        <f>IF(F287&gt;2, F287-2, 0)</f>
        <v/>
      </c>
      <c r="I287" s="19" t="n">
        <v>0</v>
      </c>
      <c r="J287" s="19" t="n">
        <v>0</v>
      </c>
      <c r="K287" s="19" t="n">
        <v>0</v>
      </c>
      <c r="L287" s="21" t="inlineStr"/>
    </row>
    <row r="288">
      <c r="A288" s="8" t="inlineStr">
        <is>
          <t>2026/09/24</t>
        </is>
      </c>
      <c r="B288" s="8" t="inlineStr">
        <is>
          <t>EMP08</t>
        </is>
      </c>
      <c r="C288" s="8" t="inlineStr">
        <is>
          <t>劉家豪</t>
        </is>
      </c>
      <c r="D288" s="8" t="inlineStr">
        <is>
          <t>出勤正常</t>
        </is>
      </c>
      <c r="E288" s="19" t="n">
        <v>8</v>
      </c>
      <c r="F288" s="19" t="n">
        <v>4</v>
      </c>
      <c r="G288" s="20">
        <f>IF(F288&gt;0, MIN(F288, 2), 0)</f>
        <v/>
      </c>
      <c r="H288" s="20">
        <f>IF(F288&gt;2, F288-2, 0)</f>
        <v/>
      </c>
      <c r="I288" s="19" t="n">
        <v>0</v>
      </c>
      <c r="J288" s="19" t="n">
        <v>0</v>
      </c>
      <c r="K288" s="19" t="n">
        <v>0</v>
      </c>
      <c r="L288" s="21" t="inlineStr">
        <is>
          <t>模具保養</t>
        </is>
      </c>
    </row>
    <row r="289">
      <c r="A289" s="8" t="inlineStr">
        <is>
          <t>2026/09/24</t>
        </is>
      </c>
      <c r="B289" s="8" t="inlineStr">
        <is>
          <t>EMP09</t>
        </is>
      </c>
      <c r="C289" s="8" t="inlineStr">
        <is>
          <t>蔡佳蓉</t>
        </is>
      </c>
      <c r="D289" s="8" t="inlineStr">
        <is>
          <t>出勤正常</t>
        </is>
      </c>
      <c r="E289" s="19" t="n">
        <v>8</v>
      </c>
      <c r="F289" s="19" t="n">
        <v>0</v>
      </c>
      <c r="G289" s="20">
        <f>IF(F289&gt;0, MIN(F289, 2), 0)</f>
        <v/>
      </c>
      <c r="H289" s="20">
        <f>IF(F289&gt;2, F289-2, 0)</f>
        <v/>
      </c>
      <c r="I289" s="19" t="n">
        <v>0</v>
      </c>
      <c r="J289" s="19" t="n">
        <v>0</v>
      </c>
      <c r="K289" s="19" t="n">
        <v>0</v>
      </c>
      <c r="L289" s="21" t="inlineStr"/>
    </row>
    <row r="290">
      <c r="A290" s="8" t="inlineStr">
        <is>
          <t>2026/09/24</t>
        </is>
      </c>
      <c r="B290" s="8" t="inlineStr">
        <is>
          <t>EMP10</t>
        </is>
      </c>
      <c r="C290" s="8" t="inlineStr">
        <is>
          <t>許博凱</t>
        </is>
      </c>
      <c r="D290" s="8" t="inlineStr">
        <is>
          <t>出勤正常</t>
        </is>
      </c>
      <c r="E290" s="19" t="n">
        <v>8</v>
      </c>
      <c r="F290" s="19" t="n">
        <v>0</v>
      </c>
      <c r="G290" s="20">
        <f>IF(F290&gt;0, MIN(F290, 2), 0)</f>
        <v/>
      </c>
      <c r="H290" s="20">
        <f>IF(F290&gt;2, F290-2, 0)</f>
        <v/>
      </c>
      <c r="I290" s="19" t="n">
        <v>0</v>
      </c>
      <c r="J290" s="19" t="n">
        <v>0</v>
      </c>
      <c r="K290" s="19" t="n">
        <v>0</v>
      </c>
      <c r="L290" s="21" t="inlineStr"/>
    </row>
    <row r="291">
      <c r="A291" s="8" t="inlineStr">
        <is>
          <t>2026/09/24</t>
        </is>
      </c>
      <c r="B291" s="8" t="inlineStr">
        <is>
          <t>EMP11</t>
        </is>
      </c>
      <c r="C291" s="8" t="inlineStr">
        <is>
          <t>鄭淑芬</t>
        </is>
      </c>
      <c r="D291" s="8" t="inlineStr">
        <is>
          <t>出勤正常</t>
        </is>
      </c>
      <c r="E291" s="19" t="n">
        <v>8</v>
      </c>
      <c r="F291" s="19" t="n">
        <v>0</v>
      </c>
      <c r="G291" s="20">
        <f>IF(F291&gt;0, MIN(F291, 2), 0)</f>
        <v/>
      </c>
      <c r="H291" s="20">
        <f>IF(F291&gt;2, F291-2, 0)</f>
        <v/>
      </c>
      <c r="I291" s="19" t="n">
        <v>0</v>
      </c>
      <c r="J291" s="19" t="n">
        <v>0</v>
      </c>
      <c r="K291" s="19" t="n">
        <v>0</v>
      </c>
      <c r="L291" s="21" t="inlineStr"/>
    </row>
    <row r="292">
      <c r="A292" s="8" t="inlineStr">
        <is>
          <t>2026/09/24</t>
        </is>
      </c>
      <c r="B292" s="8" t="inlineStr">
        <is>
          <t>EMP12</t>
        </is>
      </c>
      <c r="C292" s="8" t="inlineStr">
        <is>
          <t>謝宗翰</t>
        </is>
      </c>
      <c r="D292" s="8" t="inlineStr">
        <is>
          <t>出勤正常</t>
        </is>
      </c>
      <c r="E292" s="19" t="n">
        <v>8</v>
      </c>
      <c r="F292" s="19" t="n">
        <v>0</v>
      </c>
      <c r="G292" s="20">
        <f>IF(F292&gt;0, MIN(F292, 2), 0)</f>
        <v/>
      </c>
      <c r="H292" s="20">
        <f>IF(F292&gt;2, F292-2, 0)</f>
        <v/>
      </c>
      <c r="I292" s="19" t="n">
        <v>0</v>
      </c>
      <c r="J292" s="19" t="n">
        <v>0</v>
      </c>
      <c r="K292" s="19" t="n">
        <v>0</v>
      </c>
      <c r="L292" s="21" t="inlineStr"/>
    </row>
    <row r="293">
      <c r="A293" s="8" t="inlineStr">
        <is>
          <t>2026/09/25</t>
        </is>
      </c>
      <c r="B293" s="8" t="inlineStr">
        <is>
          <t>EMP01</t>
        </is>
      </c>
      <c r="C293" s="8" t="inlineStr">
        <is>
          <t>陳建宏</t>
        </is>
      </c>
      <c r="D293" s="8" t="inlineStr">
        <is>
          <t>出勤正常</t>
        </is>
      </c>
      <c r="E293" s="19" t="n">
        <v>8</v>
      </c>
      <c r="F293" s="19" t="n">
        <v>0</v>
      </c>
      <c r="G293" s="20">
        <f>IF(F293&gt;0, MIN(F293, 2), 0)</f>
        <v/>
      </c>
      <c r="H293" s="20">
        <f>IF(F293&gt;2, F293-2, 0)</f>
        <v/>
      </c>
      <c r="I293" s="19" t="n">
        <v>0</v>
      </c>
      <c r="J293" s="19" t="n">
        <v>0</v>
      </c>
      <c r="K293" s="19" t="n">
        <v>0</v>
      </c>
      <c r="L293" s="21" t="inlineStr"/>
    </row>
    <row r="294">
      <c r="A294" s="8" t="inlineStr">
        <is>
          <t>2026/09/25</t>
        </is>
      </c>
      <c r="B294" s="8" t="inlineStr">
        <is>
          <t>EMP02</t>
        </is>
      </c>
      <c r="C294" s="8" t="inlineStr">
        <is>
          <t>林美玲</t>
        </is>
      </c>
      <c r="D294" s="8" t="inlineStr">
        <is>
          <t>出勤正常</t>
        </is>
      </c>
      <c r="E294" s="19" t="n">
        <v>8</v>
      </c>
      <c r="F294" s="19" t="n">
        <v>0</v>
      </c>
      <c r="G294" s="20">
        <f>IF(F294&gt;0, MIN(F294, 2), 0)</f>
        <v/>
      </c>
      <c r="H294" s="20">
        <f>IF(F294&gt;2, F294-2, 0)</f>
        <v/>
      </c>
      <c r="I294" s="19" t="n">
        <v>0</v>
      </c>
      <c r="J294" s="19" t="n">
        <v>0</v>
      </c>
      <c r="K294" s="19" t="n">
        <v>0</v>
      </c>
      <c r="L294" s="21" t="inlineStr"/>
    </row>
    <row r="295">
      <c r="A295" s="8" t="inlineStr">
        <is>
          <t>2026/09/25</t>
        </is>
      </c>
      <c r="B295" s="8" t="inlineStr">
        <is>
          <t>EMP03</t>
        </is>
      </c>
      <c r="C295" s="8" t="inlineStr">
        <is>
          <t>張志成</t>
        </is>
      </c>
      <c r="D295" s="8" t="inlineStr">
        <is>
          <t>出勤正常</t>
        </is>
      </c>
      <c r="E295" s="19" t="n">
        <v>8</v>
      </c>
      <c r="F295" s="19" t="n">
        <v>0</v>
      </c>
      <c r="G295" s="20">
        <f>IF(F295&gt;0, MIN(F295, 2), 0)</f>
        <v/>
      </c>
      <c r="H295" s="20">
        <f>IF(F295&gt;2, F295-2, 0)</f>
        <v/>
      </c>
      <c r="I295" s="19" t="n">
        <v>0</v>
      </c>
      <c r="J295" s="19" t="n">
        <v>0</v>
      </c>
      <c r="K295" s="19" t="n">
        <v>0</v>
      </c>
      <c r="L295" s="21" t="inlineStr"/>
    </row>
    <row r="296">
      <c r="A296" s="8" t="inlineStr">
        <is>
          <t>2026/09/25</t>
        </is>
      </c>
      <c r="B296" s="8" t="inlineStr">
        <is>
          <t>EMP04</t>
        </is>
      </c>
      <c r="C296" s="8" t="inlineStr">
        <is>
          <t>黃國榮</t>
        </is>
      </c>
      <c r="D296" s="8" t="inlineStr">
        <is>
          <t>出勤正常</t>
        </is>
      </c>
      <c r="E296" s="19" t="n">
        <v>8</v>
      </c>
      <c r="F296" s="19" t="n">
        <v>0</v>
      </c>
      <c r="G296" s="20">
        <f>IF(F296&gt;0, MIN(F296, 2), 0)</f>
        <v/>
      </c>
      <c r="H296" s="20">
        <f>IF(F296&gt;2, F296-2, 0)</f>
        <v/>
      </c>
      <c r="I296" s="19" t="n">
        <v>0</v>
      </c>
      <c r="J296" s="19" t="n">
        <v>0</v>
      </c>
      <c r="K296" s="19" t="n">
        <v>0</v>
      </c>
      <c r="L296" s="21" t="inlineStr"/>
    </row>
    <row r="297">
      <c r="A297" s="8" t="inlineStr">
        <is>
          <t>2026/09/25</t>
        </is>
      </c>
      <c r="B297" s="8" t="inlineStr">
        <is>
          <t>EMP05</t>
        </is>
      </c>
      <c r="C297" s="8" t="inlineStr">
        <is>
          <t>李雅婷</t>
        </is>
      </c>
      <c r="D297" s="8" t="inlineStr">
        <is>
          <t>出勤正常</t>
        </is>
      </c>
      <c r="E297" s="19" t="n">
        <v>8</v>
      </c>
      <c r="F297" s="19" t="n">
        <v>0</v>
      </c>
      <c r="G297" s="20">
        <f>IF(F297&gt;0, MIN(F297, 2), 0)</f>
        <v/>
      </c>
      <c r="H297" s="20">
        <f>IF(F297&gt;2, F297-2, 0)</f>
        <v/>
      </c>
      <c r="I297" s="19" t="n">
        <v>0</v>
      </c>
      <c r="J297" s="19" t="n">
        <v>0</v>
      </c>
      <c r="K297" s="19" t="n">
        <v>0</v>
      </c>
      <c r="L297" s="21" t="inlineStr"/>
    </row>
    <row r="298">
      <c r="A298" s="8" t="inlineStr">
        <is>
          <t>2026/09/25</t>
        </is>
      </c>
      <c r="B298" s="8" t="inlineStr">
        <is>
          <t>EMP06</t>
        </is>
      </c>
      <c r="C298" s="8" t="inlineStr">
        <is>
          <t>王俊傑</t>
        </is>
      </c>
      <c r="D298" s="8" t="inlineStr">
        <is>
          <t>出勤正常</t>
        </is>
      </c>
      <c r="E298" s="19" t="n">
        <v>8</v>
      </c>
      <c r="F298" s="19" t="n">
        <v>0</v>
      </c>
      <c r="G298" s="20">
        <f>IF(F298&gt;0, MIN(F298, 2), 0)</f>
        <v/>
      </c>
      <c r="H298" s="20">
        <f>IF(F298&gt;2, F298-2, 0)</f>
        <v/>
      </c>
      <c r="I298" s="19" t="n">
        <v>0</v>
      </c>
      <c r="J298" s="19" t="n">
        <v>0</v>
      </c>
      <c r="K298" s="19" t="n">
        <v>0</v>
      </c>
      <c r="L298" s="21" t="inlineStr"/>
    </row>
    <row r="299">
      <c r="A299" s="8" t="inlineStr">
        <is>
          <t>2026/09/25</t>
        </is>
      </c>
      <c r="B299" s="8" t="inlineStr">
        <is>
          <t>EMP07</t>
        </is>
      </c>
      <c r="C299" s="8" t="inlineStr">
        <is>
          <t>吳佩芬</t>
        </is>
      </c>
      <c r="D299" s="8" t="inlineStr">
        <is>
          <t>出勤正常</t>
        </is>
      </c>
      <c r="E299" s="19" t="n">
        <v>8</v>
      </c>
      <c r="F299" s="19" t="n">
        <v>0</v>
      </c>
      <c r="G299" s="20">
        <f>IF(F299&gt;0, MIN(F299, 2), 0)</f>
        <v/>
      </c>
      <c r="H299" s="20">
        <f>IF(F299&gt;2, F299-2, 0)</f>
        <v/>
      </c>
      <c r="I299" s="19" t="n">
        <v>0</v>
      </c>
      <c r="J299" s="19" t="n">
        <v>0</v>
      </c>
      <c r="K299" s="19" t="n">
        <v>0</v>
      </c>
      <c r="L299" s="21" t="inlineStr"/>
    </row>
    <row r="300">
      <c r="A300" s="8" t="inlineStr">
        <is>
          <t>2026/09/25</t>
        </is>
      </c>
      <c r="B300" s="8" t="inlineStr">
        <is>
          <t>EMP08</t>
        </is>
      </c>
      <c r="C300" s="8" t="inlineStr">
        <is>
          <t>劉家豪</t>
        </is>
      </c>
      <c r="D300" s="8" t="inlineStr">
        <is>
          <t>出勤正常</t>
        </is>
      </c>
      <c r="E300" s="19" t="n">
        <v>8</v>
      </c>
      <c r="F300" s="19" t="n">
        <v>0</v>
      </c>
      <c r="G300" s="20">
        <f>IF(F300&gt;0, MIN(F300, 2), 0)</f>
        <v/>
      </c>
      <c r="H300" s="20">
        <f>IF(F300&gt;2, F300-2, 0)</f>
        <v/>
      </c>
      <c r="I300" s="19" t="n">
        <v>0</v>
      </c>
      <c r="J300" s="19" t="n">
        <v>0</v>
      </c>
      <c r="K300" s="19" t="n">
        <v>0</v>
      </c>
      <c r="L300" s="21" t="inlineStr"/>
    </row>
    <row r="301">
      <c r="A301" s="8" t="inlineStr">
        <is>
          <t>2026/09/25</t>
        </is>
      </c>
      <c r="B301" s="8" t="inlineStr">
        <is>
          <t>EMP09</t>
        </is>
      </c>
      <c r="C301" s="8" t="inlineStr">
        <is>
          <t>蔡佳蓉</t>
        </is>
      </c>
      <c r="D301" s="8" t="inlineStr">
        <is>
          <t>出勤正常</t>
        </is>
      </c>
      <c r="E301" s="19" t="n">
        <v>8</v>
      </c>
      <c r="F301" s="19" t="n">
        <v>2</v>
      </c>
      <c r="G301" s="20">
        <f>IF(F301&gt;0, MIN(F301, 2), 0)</f>
        <v/>
      </c>
      <c r="H301" s="20">
        <f>IF(F301&gt;2, F301-2, 0)</f>
        <v/>
      </c>
      <c r="I301" s="19" t="n">
        <v>0</v>
      </c>
      <c r="J301" s="19" t="n">
        <v>0</v>
      </c>
      <c r="K301" s="19" t="n">
        <v>0</v>
      </c>
      <c r="L301" s="21" t="inlineStr">
        <is>
          <t>標籤整理</t>
        </is>
      </c>
    </row>
    <row r="302">
      <c r="A302" s="8" t="inlineStr">
        <is>
          <t>2026/09/25</t>
        </is>
      </c>
      <c r="B302" s="8" t="inlineStr">
        <is>
          <t>EMP10</t>
        </is>
      </c>
      <c r="C302" s="8" t="inlineStr">
        <is>
          <t>許博凱</t>
        </is>
      </c>
      <c r="D302" s="8" t="inlineStr">
        <is>
          <t>出勤正常</t>
        </is>
      </c>
      <c r="E302" s="19" t="n">
        <v>8</v>
      </c>
      <c r="F302" s="19" t="n">
        <v>0</v>
      </c>
      <c r="G302" s="20">
        <f>IF(F302&gt;0, MIN(F302, 2), 0)</f>
        <v/>
      </c>
      <c r="H302" s="20">
        <f>IF(F302&gt;2, F302-2, 0)</f>
        <v/>
      </c>
      <c r="I302" s="19" t="n">
        <v>0</v>
      </c>
      <c r="J302" s="19" t="n">
        <v>0</v>
      </c>
      <c r="K302" s="19" t="n">
        <v>0</v>
      </c>
      <c r="L302" s="21" t="inlineStr"/>
    </row>
    <row r="303">
      <c r="A303" s="8" t="inlineStr">
        <is>
          <t>2026/09/25</t>
        </is>
      </c>
      <c r="B303" s="8" t="inlineStr">
        <is>
          <t>EMP11</t>
        </is>
      </c>
      <c r="C303" s="8" t="inlineStr">
        <is>
          <t>鄭淑芬</t>
        </is>
      </c>
      <c r="D303" s="8" t="inlineStr">
        <is>
          <t>出勤正常</t>
        </is>
      </c>
      <c r="E303" s="19" t="n">
        <v>8</v>
      </c>
      <c r="F303" s="19" t="n">
        <v>0</v>
      </c>
      <c r="G303" s="20">
        <f>IF(F303&gt;0, MIN(F303, 2), 0)</f>
        <v/>
      </c>
      <c r="H303" s="20">
        <f>IF(F303&gt;2, F303-2, 0)</f>
        <v/>
      </c>
      <c r="I303" s="19" t="n">
        <v>0</v>
      </c>
      <c r="J303" s="19" t="n">
        <v>0</v>
      </c>
      <c r="K303" s="19" t="n">
        <v>0</v>
      </c>
      <c r="L303" s="21" t="inlineStr"/>
    </row>
    <row r="304">
      <c r="A304" s="8" t="inlineStr">
        <is>
          <t>2026/09/25</t>
        </is>
      </c>
      <c r="B304" s="8" t="inlineStr">
        <is>
          <t>EMP12</t>
        </is>
      </c>
      <c r="C304" s="8" t="inlineStr">
        <is>
          <t>謝宗翰</t>
        </is>
      </c>
      <c r="D304" s="8" t="inlineStr">
        <is>
          <t>出勤正常</t>
        </is>
      </c>
      <c r="E304" s="19" t="n">
        <v>8</v>
      </c>
      <c r="F304" s="19" t="n">
        <v>2</v>
      </c>
      <c r="G304" s="20">
        <f>IF(F304&gt;0, MIN(F304, 2), 0)</f>
        <v/>
      </c>
      <c r="H304" s="20">
        <f>IF(F304&gt;2, F304-2, 0)</f>
        <v/>
      </c>
      <c r="I304" s="19" t="n">
        <v>0</v>
      </c>
      <c r="J304" s="19" t="n">
        <v>0</v>
      </c>
      <c r="K304" s="19" t="n">
        <v>0</v>
      </c>
      <c r="L304" s="21" t="inlineStr">
        <is>
          <t>消防檢查支援</t>
        </is>
      </c>
    </row>
    <row r="305">
      <c r="A305" s="22" t="inlineStr">
        <is>
          <t>2026/09/26</t>
        </is>
      </c>
      <c r="B305" s="22" t="inlineStr">
        <is>
          <t>EMP01</t>
        </is>
      </c>
      <c r="C305" s="22" t="inlineStr">
        <is>
          <t>陳建宏</t>
        </is>
      </c>
      <c r="D305" s="22" t="inlineStr">
        <is>
          <t>例假日 (休)</t>
        </is>
      </c>
      <c r="E305" s="23" t="n">
        <v>0</v>
      </c>
      <c r="F305" s="23" t="n">
        <v>0</v>
      </c>
      <c r="G305" s="24">
        <f>IF(F305&gt;0, MIN(F305, 2), 0)</f>
        <v/>
      </c>
      <c r="H305" s="24">
        <f>IF(F305&gt;2, F305-2, 0)</f>
        <v/>
      </c>
      <c r="I305" s="23" t="n">
        <v>0</v>
      </c>
      <c r="J305" s="23" t="n">
        <v>0</v>
      </c>
      <c r="K305" s="23" t="n">
        <v>0</v>
      </c>
      <c r="L305" s="25" t="inlineStr">
        <is>
          <t>週末例假</t>
        </is>
      </c>
    </row>
    <row r="306">
      <c r="A306" s="22" t="inlineStr">
        <is>
          <t>2026/09/26</t>
        </is>
      </c>
      <c r="B306" s="22" t="inlineStr">
        <is>
          <t>EMP02</t>
        </is>
      </c>
      <c r="C306" s="22" t="inlineStr">
        <is>
          <t>林美玲</t>
        </is>
      </c>
      <c r="D306" s="22" t="inlineStr">
        <is>
          <t>例假日 (休)</t>
        </is>
      </c>
      <c r="E306" s="23" t="n">
        <v>0</v>
      </c>
      <c r="F306" s="23" t="n">
        <v>0</v>
      </c>
      <c r="G306" s="24">
        <f>IF(F306&gt;0, MIN(F306, 2), 0)</f>
        <v/>
      </c>
      <c r="H306" s="24">
        <f>IF(F306&gt;2, F306-2, 0)</f>
        <v/>
      </c>
      <c r="I306" s="23" t="n">
        <v>0</v>
      </c>
      <c r="J306" s="23" t="n">
        <v>0</v>
      </c>
      <c r="K306" s="23" t="n">
        <v>0</v>
      </c>
      <c r="L306" s="25" t="inlineStr">
        <is>
          <t>週末例假</t>
        </is>
      </c>
    </row>
    <row r="307">
      <c r="A307" s="22" t="inlineStr">
        <is>
          <t>2026/09/26</t>
        </is>
      </c>
      <c r="B307" s="22" t="inlineStr">
        <is>
          <t>EMP03</t>
        </is>
      </c>
      <c r="C307" s="22" t="inlineStr">
        <is>
          <t>張志成</t>
        </is>
      </c>
      <c r="D307" s="22" t="inlineStr">
        <is>
          <t>例假日 (休)</t>
        </is>
      </c>
      <c r="E307" s="23" t="n">
        <v>0</v>
      </c>
      <c r="F307" s="23" t="n">
        <v>0</v>
      </c>
      <c r="G307" s="24">
        <f>IF(F307&gt;0, MIN(F307, 2), 0)</f>
        <v/>
      </c>
      <c r="H307" s="24">
        <f>IF(F307&gt;2, F307-2, 0)</f>
        <v/>
      </c>
      <c r="I307" s="23" t="n">
        <v>0</v>
      </c>
      <c r="J307" s="23" t="n">
        <v>0</v>
      </c>
      <c r="K307" s="23" t="n">
        <v>0</v>
      </c>
      <c r="L307" s="25" t="inlineStr">
        <is>
          <t>週末例假</t>
        </is>
      </c>
    </row>
    <row r="308">
      <c r="A308" s="22" t="inlineStr">
        <is>
          <t>2026/09/26</t>
        </is>
      </c>
      <c r="B308" s="22" t="inlineStr">
        <is>
          <t>EMP04</t>
        </is>
      </c>
      <c r="C308" s="22" t="inlineStr">
        <is>
          <t>黃國榮</t>
        </is>
      </c>
      <c r="D308" s="22" t="inlineStr">
        <is>
          <t>例假日 (休)</t>
        </is>
      </c>
      <c r="E308" s="23" t="n">
        <v>0</v>
      </c>
      <c r="F308" s="23" t="n">
        <v>0</v>
      </c>
      <c r="G308" s="24">
        <f>IF(F308&gt;0, MIN(F308, 2), 0)</f>
        <v/>
      </c>
      <c r="H308" s="24">
        <f>IF(F308&gt;2, F308-2, 0)</f>
        <v/>
      </c>
      <c r="I308" s="23" t="n">
        <v>0</v>
      </c>
      <c r="J308" s="23" t="n">
        <v>0</v>
      </c>
      <c r="K308" s="23" t="n">
        <v>0</v>
      </c>
      <c r="L308" s="25" t="inlineStr">
        <is>
          <t>週末例假</t>
        </is>
      </c>
    </row>
    <row r="309">
      <c r="A309" s="22" t="inlineStr">
        <is>
          <t>2026/09/26</t>
        </is>
      </c>
      <c r="B309" s="22" t="inlineStr">
        <is>
          <t>EMP05</t>
        </is>
      </c>
      <c r="C309" s="22" t="inlineStr">
        <is>
          <t>李雅婷</t>
        </is>
      </c>
      <c r="D309" s="22" t="inlineStr">
        <is>
          <t>例假日 (休)</t>
        </is>
      </c>
      <c r="E309" s="23" t="n">
        <v>0</v>
      </c>
      <c r="F309" s="23" t="n">
        <v>0</v>
      </c>
      <c r="G309" s="24">
        <f>IF(F309&gt;0, MIN(F309, 2), 0)</f>
        <v/>
      </c>
      <c r="H309" s="24">
        <f>IF(F309&gt;2, F309-2, 0)</f>
        <v/>
      </c>
      <c r="I309" s="23" t="n">
        <v>0</v>
      </c>
      <c r="J309" s="23" t="n">
        <v>0</v>
      </c>
      <c r="K309" s="23" t="n">
        <v>0</v>
      </c>
      <c r="L309" s="25" t="inlineStr">
        <is>
          <t>週末例假</t>
        </is>
      </c>
    </row>
    <row r="310">
      <c r="A310" s="22" t="inlineStr">
        <is>
          <t>2026/09/26</t>
        </is>
      </c>
      <c r="B310" s="22" t="inlineStr">
        <is>
          <t>EMP06</t>
        </is>
      </c>
      <c r="C310" s="22" t="inlineStr">
        <is>
          <t>王俊傑</t>
        </is>
      </c>
      <c r="D310" s="22" t="inlineStr">
        <is>
          <t>例假日 (休)</t>
        </is>
      </c>
      <c r="E310" s="23" t="n">
        <v>0</v>
      </c>
      <c r="F310" s="23" t="n">
        <v>0</v>
      </c>
      <c r="G310" s="24">
        <f>IF(F310&gt;0, MIN(F310, 2), 0)</f>
        <v/>
      </c>
      <c r="H310" s="24">
        <f>IF(F310&gt;2, F310-2, 0)</f>
        <v/>
      </c>
      <c r="I310" s="23" t="n">
        <v>0</v>
      </c>
      <c r="J310" s="23" t="n">
        <v>0</v>
      </c>
      <c r="K310" s="23" t="n">
        <v>0</v>
      </c>
      <c r="L310" s="25" t="inlineStr">
        <is>
          <t>週末例假</t>
        </is>
      </c>
    </row>
    <row r="311">
      <c r="A311" s="22" t="inlineStr">
        <is>
          <t>2026/09/26</t>
        </is>
      </c>
      <c r="B311" s="22" t="inlineStr">
        <is>
          <t>EMP07</t>
        </is>
      </c>
      <c r="C311" s="22" t="inlineStr">
        <is>
          <t>吳佩芬</t>
        </is>
      </c>
      <c r="D311" s="22" t="inlineStr">
        <is>
          <t>例假日 (休)</t>
        </is>
      </c>
      <c r="E311" s="23" t="n">
        <v>0</v>
      </c>
      <c r="F311" s="23" t="n">
        <v>0</v>
      </c>
      <c r="G311" s="24">
        <f>IF(F311&gt;0, MIN(F311, 2), 0)</f>
        <v/>
      </c>
      <c r="H311" s="24">
        <f>IF(F311&gt;2, F311-2, 0)</f>
        <v/>
      </c>
      <c r="I311" s="23" t="n">
        <v>0</v>
      </c>
      <c r="J311" s="23" t="n">
        <v>0</v>
      </c>
      <c r="K311" s="23" t="n">
        <v>0</v>
      </c>
      <c r="L311" s="25" t="inlineStr">
        <is>
          <t>週末例假</t>
        </is>
      </c>
    </row>
    <row r="312">
      <c r="A312" s="22" t="inlineStr">
        <is>
          <t>2026/09/26</t>
        </is>
      </c>
      <c r="B312" s="22" t="inlineStr">
        <is>
          <t>EMP08</t>
        </is>
      </c>
      <c r="C312" s="22" t="inlineStr">
        <is>
          <t>劉家豪</t>
        </is>
      </c>
      <c r="D312" s="22" t="inlineStr">
        <is>
          <t>例假日 (休)</t>
        </is>
      </c>
      <c r="E312" s="23" t="n">
        <v>0</v>
      </c>
      <c r="F312" s="23" t="n">
        <v>0</v>
      </c>
      <c r="G312" s="24">
        <f>IF(F312&gt;0, MIN(F312, 2), 0)</f>
        <v/>
      </c>
      <c r="H312" s="24">
        <f>IF(F312&gt;2, F312-2, 0)</f>
        <v/>
      </c>
      <c r="I312" s="23" t="n">
        <v>0</v>
      </c>
      <c r="J312" s="23" t="n">
        <v>0</v>
      </c>
      <c r="K312" s="23" t="n">
        <v>0</v>
      </c>
      <c r="L312" s="25" t="inlineStr">
        <is>
          <t>週末例假</t>
        </is>
      </c>
    </row>
    <row r="313">
      <c r="A313" s="22" t="inlineStr">
        <is>
          <t>2026/09/26</t>
        </is>
      </c>
      <c r="B313" s="22" t="inlineStr">
        <is>
          <t>EMP09</t>
        </is>
      </c>
      <c r="C313" s="22" t="inlineStr">
        <is>
          <t>蔡佳蓉</t>
        </is>
      </c>
      <c r="D313" s="22" t="inlineStr">
        <is>
          <t>例假日 (休)</t>
        </is>
      </c>
      <c r="E313" s="23" t="n">
        <v>0</v>
      </c>
      <c r="F313" s="23" t="n">
        <v>0</v>
      </c>
      <c r="G313" s="24">
        <f>IF(F313&gt;0, MIN(F313, 2), 0)</f>
        <v/>
      </c>
      <c r="H313" s="24">
        <f>IF(F313&gt;2, F313-2, 0)</f>
        <v/>
      </c>
      <c r="I313" s="23" t="n">
        <v>0</v>
      </c>
      <c r="J313" s="23" t="n">
        <v>0</v>
      </c>
      <c r="K313" s="23" t="n">
        <v>0</v>
      </c>
      <c r="L313" s="25" t="inlineStr">
        <is>
          <t>週末例假</t>
        </is>
      </c>
    </row>
    <row r="314">
      <c r="A314" s="22" t="inlineStr">
        <is>
          <t>2026/09/26</t>
        </is>
      </c>
      <c r="B314" s="22" t="inlineStr">
        <is>
          <t>EMP10</t>
        </is>
      </c>
      <c r="C314" s="22" t="inlineStr">
        <is>
          <t>許博凱</t>
        </is>
      </c>
      <c r="D314" s="22" t="inlineStr">
        <is>
          <t>例假日 (休)</t>
        </is>
      </c>
      <c r="E314" s="23" t="n">
        <v>0</v>
      </c>
      <c r="F314" s="23" t="n">
        <v>0</v>
      </c>
      <c r="G314" s="24">
        <f>IF(F314&gt;0, MIN(F314, 2), 0)</f>
        <v/>
      </c>
      <c r="H314" s="24">
        <f>IF(F314&gt;2, F314-2, 0)</f>
        <v/>
      </c>
      <c r="I314" s="23" t="n">
        <v>0</v>
      </c>
      <c r="J314" s="23" t="n">
        <v>0</v>
      </c>
      <c r="K314" s="23" t="n">
        <v>0</v>
      </c>
      <c r="L314" s="25" t="inlineStr">
        <is>
          <t>週末例假</t>
        </is>
      </c>
    </row>
    <row r="315">
      <c r="A315" s="22" t="inlineStr">
        <is>
          <t>2026/09/26</t>
        </is>
      </c>
      <c r="B315" s="22" t="inlineStr">
        <is>
          <t>EMP11</t>
        </is>
      </c>
      <c r="C315" s="22" t="inlineStr">
        <is>
          <t>鄭淑芬</t>
        </is>
      </c>
      <c r="D315" s="22" t="inlineStr">
        <is>
          <t>例假日 (休)</t>
        </is>
      </c>
      <c r="E315" s="23" t="n">
        <v>0</v>
      </c>
      <c r="F315" s="23" t="n">
        <v>0</v>
      </c>
      <c r="G315" s="24">
        <f>IF(F315&gt;0, MIN(F315, 2), 0)</f>
        <v/>
      </c>
      <c r="H315" s="24">
        <f>IF(F315&gt;2, F315-2, 0)</f>
        <v/>
      </c>
      <c r="I315" s="23" t="n">
        <v>0</v>
      </c>
      <c r="J315" s="23" t="n">
        <v>0</v>
      </c>
      <c r="K315" s="23" t="n">
        <v>0</v>
      </c>
      <c r="L315" s="25" t="inlineStr">
        <is>
          <t>週末例假</t>
        </is>
      </c>
    </row>
    <row r="316">
      <c r="A316" s="22" t="inlineStr">
        <is>
          <t>2026/09/26</t>
        </is>
      </c>
      <c r="B316" s="22" t="inlineStr">
        <is>
          <t>EMP12</t>
        </is>
      </c>
      <c r="C316" s="22" t="inlineStr">
        <is>
          <t>謝宗翰</t>
        </is>
      </c>
      <c r="D316" s="22" t="inlineStr">
        <is>
          <t>例假日 (休)</t>
        </is>
      </c>
      <c r="E316" s="23" t="n">
        <v>0</v>
      </c>
      <c r="F316" s="23" t="n">
        <v>0</v>
      </c>
      <c r="G316" s="24">
        <f>IF(F316&gt;0, MIN(F316, 2), 0)</f>
        <v/>
      </c>
      <c r="H316" s="24">
        <f>IF(F316&gt;2, F316-2, 0)</f>
        <v/>
      </c>
      <c r="I316" s="23" t="n">
        <v>0</v>
      </c>
      <c r="J316" s="23" t="n">
        <v>0</v>
      </c>
      <c r="K316" s="23" t="n">
        <v>0</v>
      </c>
      <c r="L316" s="25" t="inlineStr">
        <is>
          <t>週末例假</t>
        </is>
      </c>
    </row>
    <row r="317">
      <c r="A317" s="22" t="inlineStr">
        <is>
          <t>2026/09/27</t>
        </is>
      </c>
      <c r="B317" s="22" t="inlineStr">
        <is>
          <t>EMP01</t>
        </is>
      </c>
      <c r="C317" s="22" t="inlineStr">
        <is>
          <t>陳建宏</t>
        </is>
      </c>
      <c r="D317" s="22" t="inlineStr">
        <is>
          <t>例假日 (休)</t>
        </is>
      </c>
      <c r="E317" s="23" t="n">
        <v>0</v>
      </c>
      <c r="F317" s="23" t="n">
        <v>0</v>
      </c>
      <c r="G317" s="24">
        <f>IF(F317&gt;0, MIN(F317, 2), 0)</f>
        <v/>
      </c>
      <c r="H317" s="24">
        <f>IF(F317&gt;2, F317-2, 0)</f>
        <v/>
      </c>
      <c r="I317" s="23" t="n">
        <v>0</v>
      </c>
      <c r="J317" s="23" t="n">
        <v>0</v>
      </c>
      <c r="K317" s="23" t="n">
        <v>0</v>
      </c>
      <c r="L317" s="25" t="inlineStr">
        <is>
          <t>週末例假</t>
        </is>
      </c>
    </row>
    <row r="318">
      <c r="A318" s="22" t="inlineStr">
        <is>
          <t>2026/09/27</t>
        </is>
      </c>
      <c r="B318" s="22" t="inlineStr">
        <is>
          <t>EMP02</t>
        </is>
      </c>
      <c r="C318" s="22" t="inlineStr">
        <is>
          <t>林美玲</t>
        </is>
      </c>
      <c r="D318" s="22" t="inlineStr">
        <is>
          <t>例假日 (休)</t>
        </is>
      </c>
      <c r="E318" s="23" t="n">
        <v>0</v>
      </c>
      <c r="F318" s="23" t="n">
        <v>0</v>
      </c>
      <c r="G318" s="24">
        <f>IF(F318&gt;0, MIN(F318, 2), 0)</f>
        <v/>
      </c>
      <c r="H318" s="24">
        <f>IF(F318&gt;2, F318-2, 0)</f>
        <v/>
      </c>
      <c r="I318" s="23" t="n">
        <v>0</v>
      </c>
      <c r="J318" s="23" t="n">
        <v>0</v>
      </c>
      <c r="K318" s="23" t="n">
        <v>0</v>
      </c>
      <c r="L318" s="25" t="inlineStr">
        <is>
          <t>週末例假</t>
        </is>
      </c>
    </row>
    <row r="319">
      <c r="A319" s="22" t="inlineStr">
        <is>
          <t>2026/09/27</t>
        </is>
      </c>
      <c r="B319" s="22" t="inlineStr">
        <is>
          <t>EMP03</t>
        </is>
      </c>
      <c r="C319" s="22" t="inlineStr">
        <is>
          <t>張志成</t>
        </is>
      </c>
      <c r="D319" s="22" t="inlineStr">
        <is>
          <t>例假日 (休)</t>
        </is>
      </c>
      <c r="E319" s="23" t="n">
        <v>0</v>
      </c>
      <c r="F319" s="23" t="n">
        <v>0</v>
      </c>
      <c r="G319" s="24">
        <f>IF(F319&gt;0, MIN(F319, 2), 0)</f>
        <v/>
      </c>
      <c r="H319" s="24">
        <f>IF(F319&gt;2, F319-2, 0)</f>
        <v/>
      </c>
      <c r="I319" s="23" t="n">
        <v>0</v>
      </c>
      <c r="J319" s="23" t="n">
        <v>0</v>
      </c>
      <c r="K319" s="23" t="n">
        <v>0</v>
      </c>
      <c r="L319" s="25" t="inlineStr">
        <is>
          <t>週末例假</t>
        </is>
      </c>
    </row>
    <row r="320">
      <c r="A320" s="22" t="inlineStr">
        <is>
          <t>2026/09/27</t>
        </is>
      </c>
      <c r="B320" s="22" t="inlineStr">
        <is>
          <t>EMP04</t>
        </is>
      </c>
      <c r="C320" s="22" t="inlineStr">
        <is>
          <t>黃國榮</t>
        </is>
      </c>
      <c r="D320" s="22" t="inlineStr">
        <is>
          <t>例假日 (休)</t>
        </is>
      </c>
      <c r="E320" s="23" t="n">
        <v>0</v>
      </c>
      <c r="F320" s="23" t="n">
        <v>0</v>
      </c>
      <c r="G320" s="24">
        <f>IF(F320&gt;0, MIN(F320, 2), 0)</f>
        <v/>
      </c>
      <c r="H320" s="24">
        <f>IF(F320&gt;2, F320-2, 0)</f>
        <v/>
      </c>
      <c r="I320" s="23" t="n">
        <v>0</v>
      </c>
      <c r="J320" s="23" t="n">
        <v>0</v>
      </c>
      <c r="K320" s="23" t="n">
        <v>0</v>
      </c>
      <c r="L320" s="25" t="inlineStr">
        <is>
          <t>週末例假</t>
        </is>
      </c>
    </row>
    <row r="321">
      <c r="A321" s="22" t="inlineStr">
        <is>
          <t>2026/09/27</t>
        </is>
      </c>
      <c r="B321" s="22" t="inlineStr">
        <is>
          <t>EMP05</t>
        </is>
      </c>
      <c r="C321" s="22" t="inlineStr">
        <is>
          <t>李雅婷</t>
        </is>
      </c>
      <c r="D321" s="22" t="inlineStr">
        <is>
          <t>例假日 (休)</t>
        </is>
      </c>
      <c r="E321" s="23" t="n">
        <v>0</v>
      </c>
      <c r="F321" s="23" t="n">
        <v>0</v>
      </c>
      <c r="G321" s="24">
        <f>IF(F321&gt;0, MIN(F321, 2), 0)</f>
        <v/>
      </c>
      <c r="H321" s="24">
        <f>IF(F321&gt;2, F321-2, 0)</f>
        <v/>
      </c>
      <c r="I321" s="23" t="n">
        <v>0</v>
      </c>
      <c r="J321" s="23" t="n">
        <v>0</v>
      </c>
      <c r="K321" s="23" t="n">
        <v>0</v>
      </c>
      <c r="L321" s="25" t="inlineStr">
        <is>
          <t>週末例假</t>
        </is>
      </c>
    </row>
    <row r="322">
      <c r="A322" s="22" t="inlineStr">
        <is>
          <t>2026/09/27</t>
        </is>
      </c>
      <c r="B322" s="22" t="inlineStr">
        <is>
          <t>EMP06</t>
        </is>
      </c>
      <c r="C322" s="22" t="inlineStr">
        <is>
          <t>王俊傑</t>
        </is>
      </c>
      <c r="D322" s="22" t="inlineStr">
        <is>
          <t>例假日 (休)</t>
        </is>
      </c>
      <c r="E322" s="23" t="n">
        <v>0</v>
      </c>
      <c r="F322" s="23" t="n">
        <v>0</v>
      </c>
      <c r="G322" s="24">
        <f>IF(F322&gt;0, MIN(F322, 2), 0)</f>
        <v/>
      </c>
      <c r="H322" s="24">
        <f>IF(F322&gt;2, F322-2, 0)</f>
        <v/>
      </c>
      <c r="I322" s="23" t="n">
        <v>0</v>
      </c>
      <c r="J322" s="23" t="n">
        <v>0</v>
      </c>
      <c r="K322" s="23" t="n">
        <v>0</v>
      </c>
      <c r="L322" s="25" t="inlineStr">
        <is>
          <t>週末例假</t>
        </is>
      </c>
    </row>
    <row r="323">
      <c r="A323" s="22" t="inlineStr">
        <is>
          <t>2026/09/27</t>
        </is>
      </c>
      <c r="B323" s="22" t="inlineStr">
        <is>
          <t>EMP07</t>
        </is>
      </c>
      <c r="C323" s="22" t="inlineStr">
        <is>
          <t>吳佩芬</t>
        </is>
      </c>
      <c r="D323" s="22" t="inlineStr">
        <is>
          <t>例假日 (休)</t>
        </is>
      </c>
      <c r="E323" s="23" t="n">
        <v>0</v>
      </c>
      <c r="F323" s="23" t="n">
        <v>0</v>
      </c>
      <c r="G323" s="24">
        <f>IF(F323&gt;0, MIN(F323, 2), 0)</f>
        <v/>
      </c>
      <c r="H323" s="24">
        <f>IF(F323&gt;2, F323-2, 0)</f>
        <v/>
      </c>
      <c r="I323" s="23" t="n">
        <v>0</v>
      </c>
      <c r="J323" s="23" t="n">
        <v>0</v>
      </c>
      <c r="K323" s="23" t="n">
        <v>0</v>
      </c>
      <c r="L323" s="25" t="inlineStr">
        <is>
          <t>週末例假</t>
        </is>
      </c>
    </row>
    <row r="324">
      <c r="A324" s="22" t="inlineStr">
        <is>
          <t>2026/09/27</t>
        </is>
      </c>
      <c r="B324" s="22" t="inlineStr">
        <is>
          <t>EMP08</t>
        </is>
      </c>
      <c r="C324" s="22" t="inlineStr">
        <is>
          <t>劉家豪</t>
        </is>
      </c>
      <c r="D324" s="22" t="inlineStr">
        <is>
          <t>例假日 (休)</t>
        </is>
      </c>
      <c r="E324" s="23" t="n">
        <v>0</v>
      </c>
      <c r="F324" s="23" t="n">
        <v>0</v>
      </c>
      <c r="G324" s="24">
        <f>IF(F324&gt;0, MIN(F324, 2), 0)</f>
        <v/>
      </c>
      <c r="H324" s="24">
        <f>IF(F324&gt;2, F324-2, 0)</f>
        <v/>
      </c>
      <c r="I324" s="23" t="n">
        <v>0</v>
      </c>
      <c r="J324" s="23" t="n">
        <v>0</v>
      </c>
      <c r="K324" s="23" t="n">
        <v>0</v>
      </c>
      <c r="L324" s="25" t="inlineStr">
        <is>
          <t>週末例假</t>
        </is>
      </c>
    </row>
    <row r="325">
      <c r="A325" s="22" t="inlineStr">
        <is>
          <t>2026/09/27</t>
        </is>
      </c>
      <c r="B325" s="22" t="inlineStr">
        <is>
          <t>EMP09</t>
        </is>
      </c>
      <c r="C325" s="22" t="inlineStr">
        <is>
          <t>蔡佳蓉</t>
        </is>
      </c>
      <c r="D325" s="22" t="inlineStr">
        <is>
          <t>例假日 (休)</t>
        </is>
      </c>
      <c r="E325" s="23" t="n">
        <v>0</v>
      </c>
      <c r="F325" s="23" t="n">
        <v>0</v>
      </c>
      <c r="G325" s="24">
        <f>IF(F325&gt;0, MIN(F325, 2), 0)</f>
        <v/>
      </c>
      <c r="H325" s="24">
        <f>IF(F325&gt;2, F325-2, 0)</f>
        <v/>
      </c>
      <c r="I325" s="23" t="n">
        <v>0</v>
      </c>
      <c r="J325" s="23" t="n">
        <v>0</v>
      </c>
      <c r="K325" s="23" t="n">
        <v>0</v>
      </c>
      <c r="L325" s="25" t="inlineStr">
        <is>
          <t>週末例假</t>
        </is>
      </c>
    </row>
    <row r="326">
      <c r="A326" s="22" t="inlineStr">
        <is>
          <t>2026/09/27</t>
        </is>
      </c>
      <c r="B326" s="22" t="inlineStr">
        <is>
          <t>EMP10</t>
        </is>
      </c>
      <c r="C326" s="22" t="inlineStr">
        <is>
          <t>許博凱</t>
        </is>
      </c>
      <c r="D326" s="22" t="inlineStr">
        <is>
          <t>例假日 (休)</t>
        </is>
      </c>
      <c r="E326" s="23" t="n">
        <v>0</v>
      </c>
      <c r="F326" s="23" t="n">
        <v>0</v>
      </c>
      <c r="G326" s="24">
        <f>IF(F326&gt;0, MIN(F326, 2), 0)</f>
        <v/>
      </c>
      <c r="H326" s="24">
        <f>IF(F326&gt;2, F326-2, 0)</f>
        <v/>
      </c>
      <c r="I326" s="23" t="n">
        <v>0</v>
      </c>
      <c r="J326" s="23" t="n">
        <v>0</v>
      </c>
      <c r="K326" s="23" t="n">
        <v>0</v>
      </c>
      <c r="L326" s="25" t="inlineStr">
        <is>
          <t>週末例假</t>
        </is>
      </c>
    </row>
    <row r="327">
      <c r="A327" s="22" t="inlineStr">
        <is>
          <t>2026/09/27</t>
        </is>
      </c>
      <c r="B327" s="22" t="inlineStr">
        <is>
          <t>EMP11</t>
        </is>
      </c>
      <c r="C327" s="22" t="inlineStr">
        <is>
          <t>鄭淑芬</t>
        </is>
      </c>
      <c r="D327" s="22" t="inlineStr">
        <is>
          <t>例假日 (休)</t>
        </is>
      </c>
      <c r="E327" s="23" t="n">
        <v>0</v>
      </c>
      <c r="F327" s="23" t="n">
        <v>0</v>
      </c>
      <c r="G327" s="24">
        <f>IF(F327&gt;0, MIN(F327, 2), 0)</f>
        <v/>
      </c>
      <c r="H327" s="24">
        <f>IF(F327&gt;2, F327-2, 0)</f>
        <v/>
      </c>
      <c r="I327" s="23" t="n">
        <v>0</v>
      </c>
      <c r="J327" s="23" t="n">
        <v>0</v>
      </c>
      <c r="K327" s="23" t="n">
        <v>0</v>
      </c>
      <c r="L327" s="25" t="inlineStr">
        <is>
          <t>週末例假</t>
        </is>
      </c>
    </row>
    <row r="328">
      <c r="A328" s="22" t="inlineStr">
        <is>
          <t>2026/09/27</t>
        </is>
      </c>
      <c r="B328" s="22" t="inlineStr">
        <is>
          <t>EMP12</t>
        </is>
      </c>
      <c r="C328" s="22" t="inlineStr">
        <is>
          <t>謝宗翰</t>
        </is>
      </c>
      <c r="D328" s="22" t="inlineStr">
        <is>
          <t>例假日 (休)</t>
        </is>
      </c>
      <c r="E328" s="23" t="n">
        <v>0</v>
      </c>
      <c r="F328" s="23" t="n">
        <v>0</v>
      </c>
      <c r="G328" s="24">
        <f>IF(F328&gt;0, MIN(F328, 2), 0)</f>
        <v/>
      </c>
      <c r="H328" s="24">
        <f>IF(F328&gt;2, F328-2, 0)</f>
        <v/>
      </c>
      <c r="I328" s="23" t="n">
        <v>0</v>
      </c>
      <c r="J328" s="23" t="n">
        <v>0</v>
      </c>
      <c r="K328" s="23" t="n">
        <v>0</v>
      </c>
      <c r="L328" s="25" t="inlineStr">
        <is>
          <t>週末例假</t>
        </is>
      </c>
    </row>
    <row r="329">
      <c r="A329" s="8" t="inlineStr">
        <is>
          <t>2026/09/28</t>
        </is>
      </c>
      <c r="B329" s="8" t="inlineStr">
        <is>
          <t>EMP01</t>
        </is>
      </c>
      <c r="C329" s="8" t="inlineStr">
        <is>
          <t>陳建宏</t>
        </is>
      </c>
      <c r="D329" s="8" t="inlineStr">
        <is>
          <t>出勤正常</t>
        </is>
      </c>
      <c r="E329" s="19" t="n">
        <v>8</v>
      </c>
      <c r="F329" s="19" t="n">
        <v>0</v>
      </c>
      <c r="G329" s="20">
        <f>IF(F329&gt;0, MIN(F329, 2), 0)</f>
        <v/>
      </c>
      <c r="H329" s="20">
        <f>IF(F329&gt;2, F329-2, 0)</f>
        <v/>
      </c>
      <c r="I329" s="19" t="n">
        <v>0</v>
      </c>
      <c r="J329" s="19" t="n">
        <v>0</v>
      </c>
      <c r="K329" s="19" t="n">
        <v>0</v>
      </c>
      <c r="L329" s="21" t="inlineStr"/>
    </row>
    <row r="330">
      <c r="A330" s="8" t="inlineStr">
        <is>
          <t>2026/09/28</t>
        </is>
      </c>
      <c r="B330" s="8" t="inlineStr">
        <is>
          <t>EMP02</t>
        </is>
      </c>
      <c r="C330" s="8" t="inlineStr">
        <is>
          <t>林美玲</t>
        </is>
      </c>
      <c r="D330" s="8" t="inlineStr">
        <is>
          <t>出勤正常</t>
        </is>
      </c>
      <c r="E330" s="19" t="n">
        <v>8</v>
      </c>
      <c r="F330" s="19" t="n">
        <v>2</v>
      </c>
      <c r="G330" s="20">
        <f>IF(F330&gt;0, MIN(F330, 2), 0)</f>
        <v/>
      </c>
      <c r="H330" s="20">
        <f>IF(F330&gt;2, F330-2, 0)</f>
        <v/>
      </c>
      <c r="I330" s="19" t="n">
        <v>0</v>
      </c>
      <c r="J330" s="19" t="n">
        <v>0</v>
      </c>
      <c r="K330" s="19" t="n">
        <v>0</v>
      </c>
      <c r="L330" s="21" t="inlineStr">
        <is>
          <t>常規加班</t>
        </is>
      </c>
    </row>
    <row r="331">
      <c r="A331" s="8" t="inlineStr">
        <is>
          <t>2026/09/28</t>
        </is>
      </c>
      <c r="B331" s="8" t="inlineStr">
        <is>
          <t>EMP03</t>
        </is>
      </c>
      <c r="C331" s="8" t="inlineStr">
        <is>
          <t>張志成</t>
        </is>
      </c>
      <c r="D331" s="8" t="inlineStr">
        <is>
          <t>出勤正常</t>
        </is>
      </c>
      <c r="E331" s="19" t="n">
        <v>8</v>
      </c>
      <c r="F331" s="19" t="n">
        <v>4</v>
      </c>
      <c r="G331" s="20">
        <f>IF(F331&gt;0, MIN(F331, 2), 0)</f>
        <v/>
      </c>
      <c r="H331" s="20">
        <f>IF(F331&gt;2, F331-2, 0)</f>
        <v/>
      </c>
      <c r="I331" s="19" t="n">
        <v>0</v>
      </c>
      <c r="J331" s="19" t="n">
        <v>0</v>
      </c>
      <c r="K331" s="19" t="n">
        <v>0</v>
      </c>
      <c r="L331" s="21" t="inlineStr">
        <is>
          <t>進貨清點</t>
        </is>
      </c>
    </row>
    <row r="332">
      <c r="A332" s="8" t="inlineStr">
        <is>
          <t>2026/09/28</t>
        </is>
      </c>
      <c r="B332" s="8" t="inlineStr">
        <is>
          <t>EMP04</t>
        </is>
      </c>
      <c r="C332" s="8" t="inlineStr">
        <is>
          <t>黃國榮</t>
        </is>
      </c>
      <c r="D332" s="8" t="inlineStr">
        <is>
          <t>出勤正常</t>
        </is>
      </c>
      <c r="E332" s="19" t="n">
        <v>8</v>
      </c>
      <c r="F332" s="19" t="n">
        <v>0</v>
      </c>
      <c r="G332" s="20">
        <f>IF(F332&gt;0, MIN(F332, 2), 0)</f>
        <v/>
      </c>
      <c r="H332" s="20">
        <f>IF(F332&gt;2, F332-2, 0)</f>
        <v/>
      </c>
      <c r="I332" s="19" t="n">
        <v>0</v>
      </c>
      <c r="J332" s="19" t="n">
        <v>0</v>
      </c>
      <c r="K332" s="19" t="n">
        <v>0</v>
      </c>
      <c r="L332" s="21" t="inlineStr"/>
    </row>
    <row r="333">
      <c r="A333" s="8" t="inlineStr">
        <is>
          <t>2026/09/28</t>
        </is>
      </c>
      <c r="B333" s="8" t="inlineStr">
        <is>
          <t>EMP05</t>
        </is>
      </c>
      <c r="C333" s="8" t="inlineStr">
        <is>
          <t>李雅婷</t>
        </is>
      </c>
      <c r="D333" s="8" t="inlineStr">
        <is>
          <t>出勤正常</t>
        </is>
      </c>
      <c r="E333" s="19" t="n">
        <v>8</v>
      </c>
      <c r="F333" s="19" t="n">
        <v>0</v>
      </c>
      <c r="G333" s="20">
        <f>IF(F333&gt;0, MIN(F333, 2), 0)</f>
        <v/>
      </c>
      <c r="H333" s="20">
        <f>IF(F333&gt;2, F333-2, 0)</f>
        <v/>
      </c>
      <c r="I333" s="19" t="n">
        <v>0</v>
      </c>
      <c r="J333" s="19" t="n">
        <v>0</v>
      </c>
      <c r="K333" s="19" t="n">
        <v>0</v>
      </c>
      <c r="L333" s="21" t="inlineStr"/>
    </row>
    <row r="334">
      <c r="A334" s="8" t="inlineStr">
        <is>
          <t>2026/09/28</t>
        </is>
      </c>
      <c r="B334" s="8" t="inlineStr">
        <is>
          <t>EMP06</t>
        </is>
      </c>
      <c r="C334" s="8" t="inlineStr">
        <is>
          <t>王俊傑</t>
        </is>
      </c>
      <c r="D334" s="8" t="inlineStr">
        <is>
          <t>出勤正常</t>
        </is>
      </c>
      <c r="E334" s="19" t="n">
        <v>8</v>
      </c>
      <c r="F334" s="19" t="n">
        <v>0</v>
      </c>
      <c r="G334" s="20">
        <f>IF(F334&gt;0, MIN(F334, 2), 0)</f>
        <v/>
      </c>
      <c r="H334" s="20">
        <f>IF(F334&gt;2, F334-2, 0)</f>
        <v/>
      </c>
      <c r="I334" s="19" t="n">
        <v>0</v>
      </c>
      <c r="J334" s="19" t="n">
        <v>0</v>
      </c>
      <c r="K334" s="19" t="n">
        <v>0</v>
      </c>
      <c r="L334" s="21" t="inlineStr"/>
    </row>
    <row r="335">
      <c r="A335" s="8" t="inlineStr">
        <is>
          <t>2026/09/28</t>
        </is>
      </c>
      <c r="B335" s="8" t="inlineStr">
        <is>
          <t>EMP07</t>
        </is>
      </c>
      <c r="C335" s="8" t="inlineStr">
        <is>
          <t>吳佩芬</t>
        </is>
      </c>
      <c r="D335" s="8" t="inlineStr">
        <is>
          <t>出勤正常</t>
        </is>
      </c>
      <c r="E335" s="19" t="n">
        <v>8</v>
      </c>
      <c r="F335" s="19" t="n">
        <v>2</v>
      </c>
      <c r="G335" s="20">
        <f>IF(F335&gt;0, MIN(F335, 2), 0)</f>
        <v/>
      </c>
      <c r="H335" s="20">
        <f>IF(F335&gt;2, F335-2, 0)</f>
        <v/>
      </c>
      <c r="I335" s="19" t="n">
        <v>0</v>
      </c>
      <c r="J335" s="19" t="n">
        <v>0</v>
      </c>
      <c r="K335" s="19" t="n">
        <v>0</v>
      </c>
      <c r="L335" s="21" t="inlineStr">
        <is>
          <t>包裝支援</t>
        </is>
      </c>
    </row>
    <row r="336">
      <c r="A336" s="8" t="inlineStr">
        <is>
          <t>2026/09/28</t>
        </is>
      </c>
      <c r="B336" s="8" t="inlineStr">
        <is>
          <t>EMP08</t>
        </is>
      </c>
      <c r="C336" s="8" t="inlineStr">
        <is>
          <t>劉家豪</t>
        </is>
      </c>
      <c r="D336" s="8" t="inlineStr">
        <is>
          <t>出勤正常</t>
        </is>
      </c>
      <c r="E336" s="19" t="n">
        <v>8</v>
      </c>
      <c r="F336" s="19" t="n">
        <v>4</v>
      </c>
      <c r="G336" s="20">
        <f>IF(F336&gt;0, MIN(F336, 2), 0)</f>
        <v/>
      </c>
      <c r="H336" s="20">
        <f>IF(F336&gt;2, F336-2, 0)</f>
        <v/>
      </c>
      <c r="I336" s="19" t="n">
        <v>0</v>
      </c>
      <c r="J336" s="19" t="n">
        <v>0</v>
      </c>
      <c r="K336" s="19" t="n">
        <v>0</v>
      </c>
      <c r="L336" s="21" t="inlineStr">
        <is>
          <t>機台保養</t>
        </is>
      </c>
    </row>
    <row r="337">
      <c r="A337" s="8" t="inlineStr">
        <is>
          <t>2026/09/28</t>
        </is>
      </c>
      <c r="B337" s="8" t="inlineStr">
        <is>
          <t>EMP09</t>
        </is>
      </c>
      <c r="C337" s="8" t="inlineStr">
        <is>
          <t>蔡佳蓉</t>
        </is>
      </c>
      <c r="D337" s="8" t="inlineStr">
        <is>
          <t>出勤正常</t>
        </is>
      </c>
      <c r="E337" s="19" t="n">
        <v>8</v>
      </c>
      <c r="F337" s="19" t="n">
        <v>0</v>
      </c>
      <c r="G337" s="20">
        <f>IF(F337&gt;0, MIN(F337, 2), 0)</f>
        <v/>
      </c>
      <c r="H337" s="20">
        <f>IF(F337&gt;2, F337-2, 0)</f>
        <v/>
      </c>
      <c r="I337" s="19" t="n">
        <v>0</v>
      </c>
      <c r="J337" s="19" t="n">
        <v>0</v>
      </c>
      <c r="K337" s="19" t="n">
        <v>0</v>
      </c>
      <c r="L337" s="21" t="inlineStr"/>
    </row>
    <row r="338">
      <c r="A338" s="8" t="inlineStr">
        <is>
          <t>2026/09/28</t>
        </is>
      </c>
      <c r="B338" s="8" t="inlineStr">
        <is>
          <t>EMP10</t>
        </is>
      </c>
      <c r="C338" s="8" t="inlineStr">
        <is>
          <t>許博凱</t>
        </is>
      </c>
      <c r="D338" s="8" t="inlineStr">
        <is>
          <t>出勤正常</t>
        </is>
      </c>
      <c r="E338" s="19" t="n">
        <v>8</v>
      </c>
      <c r="F338" s="19" t="n">
        <v>0</v>
      </c>
      <c r="G338" s="20">
        <f>IF(F338&gt;0, MIN(F338, 2), 0)</f>
        <v/>
      </c>
      <c r="H338" s="20">
        <f>IF(F338&gt;2, F338-2, 0)</f>
        <v/>
      </c>
      <c r="I338" s="19" t="n">
        <v>0</v>
      </c>
      <c r="J338" s="19" t="n">
        <v>0</v>
      </c>
      <c r="K338" s="19" t="n">
        <v>0</v>
      </c>
      <c r="L338" s="21" t="inlineStr"/>
    </row>
    <row r="339">
      <c r="A339" s="8" t="inlineStr">
        <is>
          <t>2026/09/28</t>
        </is>
      </c>
      <c r="B339" s="8" t="inlineStr">
        <is>
          <t>EMP11</t>
        </is>
      </c>
      <c r="C339" s="8" t="inlineStr">
        <is>
          <t>鄭淑芬</t>
        </is>
      </c>
      <c r="D339" s="8" t="inlineStr">
        <is>
          <t>出勤正常</t>
        </is>
      </c>
      <c r="E339" s="19" t="n">
        <v>8</v>
      </c>
      <c r="F339" s="19" t="n">
        <v>0</v>
      </c>
      <c r="G339" s="20">
        <f>IF(F339&gt;0, MIN(F339, 2), 0)</f>
        <v/>
      </c>
      <c r="H339" s="20">
        <f>IF(F339&gt;2, F339-2, 0)</f>
        <v/>
      </c>
      <c r="I339" s="19" t="n">
        <v>0</v>
      </c>
      <c r="J339" s="19" t="n">
        <v>0</v>
      </c>
      <c r="K339" s="19" t="n">
        <v>0</v>
      </c>
      <c r="L339" s="21" t="inlineStr"/>
    </row>
    <row r="340">
      <c r="A340" s="8" t="inlineStr">
        <is>
          <t>2026/09/28</t>
        </is>
      </c>
      <c r="B340" s="8" t="inlineStr">
        <is>
          <t>EMP12</t>
        </is>
      </c>
      <c r="C340" s="8" t="inlineStr">
        <is>
          <t>謝宗翰</t>
        </is>
      </c>
      <c r="D340" s="8" t="inlineStr">
        <is>
          <t>出勤正常</t>
        </is>
      </c>
      <c r="E340" s="19" t="n">
        <v>8</v>
      </c>
      <c r="F340" s="19" t="n">
        <v>0</v>
      </c>
      <c r="G340" s="20">
        <f>IF(F340&gt;0, MIN(F340, 2), 0)</f>
        <v/>
      </c>
      <c r="H340" s="20">
        <f>IF(F340&gt;2, F340-2, 0)</f>
        <v/>
      </c>
      <c r="I340" s="19" t="n">
        <v>0</v>
      </c>
      <c r="J340" s="19" t="n">
        <v>0</v>
      </c>
      <c r="K340" s="19" t="n">
        <v>0</v>
      </c>
      <c r="L340" s="21" t="inlineStr"/>
    </row>
    <row r="341">
      <c r="A341" s="8" t="inlineStr">
        <is>
          <t>2026/09/29</t>
        </is>
      </c>
      <c r="B341" s="8" t="inlineStr">
        <is>
          <t>EMP01</t>
        </is>
      </c>
      <c r="C341" s="8" t="inlineStr">
        <is>
          <t>陳建宏</t>
        </is>
      </c>
      <c r="D341" s="8" t="inlineStr">
        <is>
          <t>出勤正常</t>
        </is>
      </c>
      <c r="E341" s="19" t="n">
        <v>8</v>
      </c>
      <c r="F341" s="19" t="n">
        <v>2</v>
      </c>
      <c r="G341" s="20">
        <f>IF(F341&gt;0, MIN(F341, 2), 0)</f>
        <v/>
      </c>
      <c r="H341" s="20">
        <f>IF(F341&gt;2, F341-2, 0)</f>
        <v/>
      </c>
      <c r="I341" s="19" t="n">
        <v>0</v>
      </c>
      <c r="J341" s="19" t="n">
        <v>0</v>
      </c>
      <c r="K341" s="19" t="n">
        <v>0</v>
      </c>
      <c r="L341" s="21" t="inlineStr">
        <is>
          <t>主管交代</t>
        </is>
      </c>
    </row>
    <row r="342">
      <c r="A342" s="8" t="inlineStr">
        <is>
          <t>2026/09/29</t>
        </is>
      </c>
      <c r="B342" s="8" t="inlineStr">
        <is>
          <t>EMP02</t>
        </is>
      </c>
      <c r="C342" s="8" t="inlineStr">
        <is>
          <t>林美玲</t>
        </is>
      </c>
      <c r="D342" s="8" t="inlineStr">
        <is>
          <t>出勤正常</t>
        </is>
      </c>
      <c r="E342" s="19" t="n">
        <v>8</v>
      </c>
      <c r="F342" s="19" t="n">
        <v>0</v>
      </c>
      <c r="G342" s="20">
        <f>IF(F342&gt;0, MIN(F342, 2), 0)</f>
        <v/>
      </c>
      <c r="H342" s="20">
        <f>IF(F342&gt;2, F342-2, 0)</f>
        <v/>
      </c>
      <c r="I342" s="19" t="n">
        <v>0</v>
      </c>
      <c r="J342" s="19" t="n">
        <v>0</v>
      </c>
      <c r="K342" s="19" t="n">
        <v>0</v>
      </c>
      <c r="L342" s="21" t="inlineStr"/>
    </row>
    <row r="343">
      <c r="A343" s="8" t="inlineStr">
        <is>
          <t>2026/09/29</t>
        </is>
      </c>
      <c r="B343" s="8" t="inlineStr">
        <is>
          <t>EMP03</t>
        </is>
      </c>
      <c r="C343" s="8" t="inlineStr">
        <is>
          <t>張志成</t>
        </is>
      </c>
      <c r="D343" s="8" t="inlineStr">
        <is>
          <t>出勤正常</t>
        </is>
      </c>
      <c r="E343" s="19" t="n">
        <v>8</v>
      </c>
      <c r="F343" s="19" t="n">
        <v>0</v>
      </c>
      <c r="G343" s="20">
        <f>IF(F343&gt;0, MIN(F343, 2), 0)</f>
        <v/>
      </c>
      <c r="H343" s="20">
        <f>IF(F343&gt;2, F343-2, 0)</f>
        <v/>
      </c>
      <c r="I343" s="19" t="n">
        <v>0</v>
      </c>
      <c r="J343" s="19" t="n">
        <v>0</v>
      </c>
      <c r="K343" s="19" t="n">
        <v>0</v>
      </c>
      <c r="L343" s="21" t="inlineStr"/>
    </row>
    <row r="344">
      <c r="A344" s="8" t="inlineStr">
        <is>
          <t>2026/09/29</t>
        </is>
      </c>
      <c r="B344" s="8" t="inlineStr">
        <is>
          <t>EMP04</t>
        </is>
      </c>
      <c r="C344" s="8" t="inlineStr">
        <is>
          <t>黃國榮</t>
        </is>
      </c>
      <c r="D344" s="8" t="inlineStr">
        <is>
          <t>出勤正常</t>
        </is>
      </c>
      <c r="E344" s="19" t="n">
        <v>8</v>
      </c>
      <c r="F344" s="19" t="n">
        <v>4</v>
      </c>
      <c r="G344" s="20">
        <f>IF(F344&gt;0, MIN(F344, 2), 0)</f>
        <v/>
      </c>
      <c r="H344" s="20">
        <f>IF(F344&gt;2, F344-2, 0)</f>
        <v/>
      </c>
      <c r="I344" s="19" t="n">
        <v>0</v>
      </c>
      <c r="J344" s="19" t="n">
        <v>0</v>
      </c>
      <c r="K344" s="19" t="n">
        <v>0</v>
      </c>
      <c r="L344" s="21" t="inlineStr">
        <is>
          <t>月底沖量</t>
        </is>
      </c>
    </row>
    <row r="345">
      <c r="A345" s="8" t="inlineStr">
        <is>
          <t>2026/09/29</t>
        </is>
      </c>
      <c r="B345" s="8" t="inlineStr">
        <is>
          <t>EMP05</t>
        </is>
      </c>
      <c r="C345" s="8" t="inlineStr">
        <is>
          <t>李雅婷</t>
        </is>
      </c>
      <c r="D345" s="8" t="inlineStr">
        <is>
          <t>出勤正常</t>
        </is>
      </c>
      <c r="E345" s="19" t="n">
        <v>8</v>
      </c>
      <c r="F345" s="19" t="n">
        <v>0</v>
      </c>
      <c r="G345" s="20">
        <f>IF(F345&gt;0, MIN(F345, 2), 0)</f>
        <v/>
      </c>
      <c r="H345" s="20">
        <f>IF(F345&gt;2, F345-2, 0)</f>
        <v/>
      </c>
      <c r="I345" s="19" t="n">
        <v>0</v>
      </c>
      <c r="J345" s="19" t="n">
        <v>0</v>
      </c>
      <c r="K345" s="19" t="n">
        <v>0</v>
      </c>
      <c r="L345" s="21" t="inlineStr"/>
    </row>
    <row r="346">
      <c r="A346" s="8" t="inlineStr">
        <is>
          <t>2026/09/29</t>
        </is>
      </c>
      <c r="B346" s="8" t="inlineStr">
        <is>
          <t>EMP06</t>
        </is>
      </c>
      <c r="C346" s="8" t="inlineStr">
        <is>
          <t>王俊傑</t>
        </is>
      </c>
      <c r="D346" s="8" t="inlineStr">
        <is>
          <t>出勤正常</t>
        </is>
      </c>
      <c r="E346" s="19" t="n">
        <v>8</v>
      </c>
      <c r="F346" s="19" t="n">
        <v>0</v>
      </c>
      <c r="G346" s="20">
        <f>IF(F346&gt;0, MIN(F346, 2), 0)</f>
        <v/>
      </c>
      <c r="H346" s="20">
        <f>IF(F346&gt;2, F346-2, 0)</f>
        <v/>
      </c>
      <c r="I346" s="19" t="n">
        <v>0</v>
      </c>
      <c r="J346" s="19" t="n">
        <v>0</v>
      </c>
      <c r="K346" s="19" t="n">
        <v>0</v>
      </c>
      <c r="L346" s="21" t="inlineStr"/>
    </row>
    <row r="347">
      <c r="A347" s="8" t="inlineStr">
        <is>
          <t>2026/09/29</t>
        </is>
      </c>
      <c r="B347" s="8" t="inlineStr">
        <is>
          <t>EMP07</t>
        </is>
      </c>
      <c r="C347" s="8" t="inlineStr">
        <is>
          <t>吳佩芬</t>
        </is>
      </c>
      <c r="D347" s="8" t="inlineStr">
        <is>
          <t>出勤正常</t>
        </is>
      </c>
      <c r="E347" s="19" t="n">
        <v>8</v>
      </c>
      <c r="F347" s="19" t="n">
        <v>0</v>
      </c>
      <c r="G347" s="20">
        <f>IF(F347&gt;0, MIN(F347, 2), 0)</f>
        <v/>
      </c>
      <c r="H347" s="20">
        <f>IF(F347&gt;2, F347-2, 0)</f>
        <v/>
      </c>
      <c r="I347" s="19" t="n">
        <v>0</v>
      </c>
      <c r="J347" s="19" t="n">
        <v>0</v>
      </c>
      <c r="K347" s="19" t="n">
        <v>0</v>
      </c>
      <c r="L347" s="21" t="inlineStr"/>
    </row>
    <row r="348">
      <c r="A348" s="8" t="inlineStr">
        <is>
          <t>2026/09/29</t>
        </is>
      </c>
      <c r="B348" s="8" t="inlineStr">
        <is>
          <t>EMP08</t>
        </is>
      </c>
      <c r="C348" s="8" t="inlineStr">
        <is>
          <t>劉家豪</t>
        </is>
      </c>
      <c r="D348" s="8" t="inlineStr">
        <is>
          <t>出勤正常</t>
        </is>
      </c>
      <c r="E348" s="19" t="n">
        <v>8</v>
      </c>
      <c r="F348" s="19" t="n">
        <v>0</v>
      </c>
      <c r="G348" s="20">
        <f>IF(F348&gt;0, MIN(F348, 2), 0)</f>
        <v/>
      </c>
      <c r="H348" s="20">
        <f>IF(F348&gt;2, F348-2, 0)</f>
        <v/>
      </c>
      <c r="I348" s="19" t="n">
        <v>0</v>
      </c>
      <c r="J348" s="19" t="n">
        <v>0</v>
      </c>
      <c r="K348" s="19" t="n">
        <v>0</v>
      </c>
      <c r="L348" s="21" t="inlineStr"/>
    </row>
    <row r="349">
      <c r="A349" s="8" t="inlineStr">
        <is>
          <t>2026/09/29</t>
        </is>
      </c>
      <c r="B349" s="8" t="inlineStr">
        <is>
          <t>EMP09</t>
        </is>
      </c>
      <c r="C349" s="8" t="inlineStr">
        <is>
          <t>蔡佳蓉</t>
        </is>
      </c>
      <c r="D349" s="8" t="inlineStr">
        <is>
          <t>出勤正常</t>
        </is>
      </c>
      <c r="E349" s="19" t="n">
        <v>8</v>
      </c>
      <c r="F349" s="19" t="n">
        <v>0</v>
      </c>
      <c r="G349" s="20">
        <f>IF(F349&gt;0, MIN(F349, 2), 0)</f>
        <v/>
      </c>
      <c r="H349" s="20">
        <f>IF(F349&gt;2, F349-2, 0)</f>
        <v/>
      </c>
      <c r="I349" s="19" t="n">
        <v>0</v>
      </c>
      <c r="J349" s="19" t="n">
        <v>0</v>
      </c>
      <c r="K349" s="19" t="n">
        <v>0</v>
      </c>
      <c r="L349" s="21" t="inlineStr"/>
    </row>
    <row r="350">
      <c r="A350" s="8" t="inlineStr">
        <is>
          <t>2026/09/29</t>
        </is>
      </c>
      <c r="B350" s="8" t="inlineStr">
        <is>
          <t>EMP10</t>
        </is>
      </c>
      <c r="C350" s="8" t="inlineStr">
        <is>
          <t>許博凱</t>
        </is>
      </c>
      <c r="D350" s="8" t="inlineStr">
        <is>
          <t>出勤正常</t>
        </is>
      </c>
      <c r="E350" s="19" t="n">
        <v>8</v>
      </c>
      <c r="F350" s="19" t="n">
        <v>2</v>
      </c>
      <c r="G350" s="20">
        <f>IF(F350&gt;0, MIN(F350, 2), 0)</f>
        <v/>
      </c>
      <c r="H350" s="20">
        <f>IF(F350&gt;2, F350-2, 0)</f>
        <v/>
      </c>
      <c r="I350" s="19" t="n">
        <v>0</v>
      </c>
      <c r="J350" s="19" t="n">
        <v>0</v>
      </c>
      <c r="K350" s="19" t="n">
        <v>0</v>
      </c>
      <c r="L350" s="21" t="inlineStr">
        <is>
          <t>出貨理貨</t>
        </is>
      </c>
    </row>
    <row r="351">
      <c r="A351" s="8" t="inlineStr">
        <is>
          <t>2026/09/29</t>
        </is>
      </c>
      <c r="B351" s="8" t="inlineStr">
        <is>
          <t>EMP11</t>
        </is>
      </c>
      <c r="C351" s="8" t="inlineStr">
        <is>
          <t>鄭淑芬</t>
        </is>
      </c>
      <c r="D351" s="8" t="inlineStr">
        <is>
          <t>出勤正常</t>
        </is>
      </c>
      <c r="E351" s="19" t="n">
        <v>8</v>
      </c>
      <c r="F351" s="19" t="n">
        <v>2</v>
      </c>
      <c r="G351" s="20">
        <f>IF(F351&gt;0, MIN(F351, 2), 0)</f>
        <v/>
      </c>
      <c r="H351" s="20">
        <f>IF(F351&gt;2, F351-2, 0)</f>
        <v/>
      </c>
      <c r="I351" s="19" t="n">
        <v>0</v>
      </c>
      <c r="J351" s="19" t="n">
        <v>0</v>
      </c>
      <c r="K351" s="19" t="n">
        <v>0</v>
      </c>
      <c r="L351" s="21" t="inlineStr">
        <is>
          <t>月結巡檢</t>
        </is>
      </c>
    </row>
    <row r="352">
      <c r="A352" s="8" t="inlineStr">
        <is>
          <t>2026/09/29</t>
        </is>
      </c>
      <c r="B352" s="8" t="inlineStr">
        <is>
          <t>EMP12</t>
        </is>
      </c>
      <c r="C352" s="8" t="inlineStr">
        <is>
          <t>謝宗翰</t>
        </is>
      </c>
      <c r="D352" s="8" t="inlineStr">
        <is>
          <t>出勤正常</t>
        </is>
      </c>
      <c r="E352" s="19" t="n">
        <v>8</v>
      </c>
      <c r="F352" s="19" t="n">
        <v>2</v>
      </c>
      <c r="G352" s="20">
        <f>IF(F352&gt;0, MIN(F352, 2), 0)</f>
        <v/>
      </c>
      <c r="H352" s="20">
        <f>IF(F352&gt;2, F352-2, 0)</f>
        <v/>
      </c>
      <c r="I352" s="19" t="n">
        <v>0</v>
      </c>
      <c r="J352" s="19" t="n">
        <v>0</v>
      </c>
      <c r="K352" s="19" t="n">
        <v>0</v>
      </c>
      <c r="L352" s="21" t="inlineStr">
        <is>
          <t>廠區維護</t>
        </is>
      </c>
    </row>
    <row r="353">
      <c r="A353" s="8" t="inlineStr">
        <is>
          <t>2026/09/30</t>
        </is>
      </c>
      <c r="B353" s="8" t="inlineStr">
        <is>
          <t>EMP01</t>
        </is>
      </c>
      <c r="C353" s="8" t="inlineStr">
        <is>
          <t>陳建宏</t>
        </is>
      </c>
      <c r="D353" s="8" t="inlineStr">
        <is>
          <t>出勤正常</t>
        </is>
      </c>
      <c r="E353" s="19" t="n">
        <v>8</v>
      </c>
      <c r="F353" s="19" t="n">
        <v>0</v>
      </c>
      <c r="G353" s="20">
        <f>IF(F353&gt;0, MIN(F353, 2), 0)</f>
        <v/>
      </c>
      <c r="H353" s="20">
        <f>IF(F353&gt;2, F353-2, 0)</f>
        <v/>
      </c>
      <c r="I353" s="19" t="n">
        <v>0</v>
      </c>
      <c r="J353" s="19" t="n">
        <v>0</v>
      </c>
      <c r="K353" s="19" t="n">
        <v>0</v>
      </c>
      <c r="L353" s="21" t="inlineStr"/>
    </row>
    <row r="354">
      <c r="A354" s="8" t="inlineStr">
        <is>
          <t>2026/09/30</t>
        </is>
      </c>
      <c r="B354" s="8" t="inlineStr">
        <is>
          <t>EMP02</t>
        </is>
      </c>
      <c r="C354" s="8" t="inlineStr">
        <is>
          <t>林美玲</t>
        </is>
      </c>
      <c r="D354" s="8" t="inlineStr">
        <is>
          <t>出勤正常</t>
        </is>
      </c>
      <c r="E354" s="19" t="n">
        <v>8</v>
      </c>
      <c r="F354" s="19" t="n">
        <v>0</v>
      </c>
      <c r="G354" s="20">
        <f>IF(F354&gt;0, MIN(F354, 2), 0)</f>
        <v/>
      </c>
      <c r="H354" s="20">
        <f>IF(F354&gt;2, F354-2, 0)</f>
        <v/>
      </c>
      <c r="I354" s="19" t="n">
        <v>0</v>
      </c>
      <c r="J354" s="19" t="n">
        <v>0</v>
      </c>
      <c r="K354" s="19" t="n">
        <v>0</v>
      </c>
      <c r="L354" s="21" t="inlineStr"/>
    </row>
    <row r="355">
      <c r="A355" s="8" t="inlineStr">
        <is>
          <t>2026/09/30</t>
        </is>
      </c>
      <c r="B355" s="8" t="inlineStr">
        <is>
          <t>EMP03</t>
        </is>
      </c>
      <c r="C355" s="8" t="inlineStr">
        <is>
          <t>張志成</t>
        </is>
      </c>
      <c r="D355" s="8" t="inlineStr">
        <is>
          <t>出勤正常</t>
        </is>
      </c>
      <c r="E355" s="19" t="n">
        <v>8</v>
      </c>
      <c r="F355" s="19" t="n">
        <v>2</v>
      </c>
      <c r="G355" s="20">
        <f>IF(F355&gt;0, MIN(F355, 2), 0)</f>
        <v/>
      </c>
      <c r="H355" s="20">
        <f>IF(F355&gt;2, F355-2, 0)</f>
        <v/>
      </c>
      <c r="I355" s="19" t="n">
        <v>0</v>
      </c>
      <c r="J355" s="19" t="n">
        <v>0</v>
      </c>
      <c r="K355" s="19" t="n">
        <v>0</v>
      </c>
      <c r="L355" s="21" t="inlineStr">
        <is>
          <t>月底對帳</t>
        </is>
      </c>
    </row>
    <row r="356">
      <c r="A356" s="8" t="inlineStr">
        <is>
          <t>2026/09/30</t>
        </is>
      </c>
      <c r="B356" s="8" t="inlineStr">
        <is>
          <t>EMP04</t>
        </is>
      </c>
      <c r="C356" s="8" t="inlineStr">
        <is>
          <t>黃國榮</t>
        </is>
      </c>
      <c r="D356" s="8" t="inlineStr">
        <is>
          <t>出勤正常</t>
        </is>
      </c>
      <c r="E356" s="19" t="n">
        <v>8</v>
      </c>
      <c r="F356" s="19" t="n">
        <v>0</v>
      </c>
      <c r="G356" s="20">
        <f>IF(F356&gt;0, MIN(F356, 2), 0)</f>
        <v/>
      </c>
      <c r="H356" s="20">
        <f>IF(F356&gt;2, F356-2, 0)</f>
        <v/>
      </c>
      <c r="I356" s="19" t="n">
        <v>0</v>
      </c>
      <c r="J356" s="19" t="n">
        <v>0</v>
      </c>
      <c r="K356" s="19" t="n">
        <v>0</v>
      </c>
      <c r="L356" s="21" t="inlineStr"/>
    </row>
    <row r="357">
      <c r="A357" s="8" t="inlineStr">
        <is>
          <t>2026/09/30</t>
        </is>
      </c>
      <c r="B357" s="8" t="inlineStr">
        <is>
          <t>EMP05</t>
        </is>
      </c>
      <c r="C357" s="8" t="inlineStr">
        <is>
          <t>李雅婷</t>
        </is>
      </c>
      <c r="D357" s="8" t="inlineStr">
        <is>
          <t>出勤正常</t>
        </is>
      </c>
      <c r="E357" s="19" t="n">
        <v>8</v>
      </c>
      <c r="F357" s="19" t="n">
        <v>0</v>
      </c>
      <c r="G357" s="20">
        <f>IF(F357&gt;0, MIN(F357, 2), 0)</f>
        <v/>
      </c>
      <c r="H357" s="20">
        <f>IF(F357&gt;2, F357-2, 0)</f>
        <v/>
      </c>
      <c r="I357" s="19" t="n">
        <v>0</v>
      </c>
      <c r="J357" s="19" t="n">
        <v>0</v>
      </c>
      <c r="K357" s="19" t="n">
        <v>0</v>
      </c>
      <c r="L357" s="21" t="inlineStr"/>
    </row>
    <row r="358">
      <c r="A358" s="8" t="inlineStr">
        <is>
          <t>2026/09/30</t>
        </is>
      </c>
      <c r="B358" s="8" t="inlineStr">
        <is>
          <t>EMP06</t>
        </is>
      </c>
      <c r="C358" s="8" t="inlineStr">
        <is>
          <t>王俊傑</t>
        </is>
      </c>
      <c r="D358" s="8" t="inlineStr">
        <is>
          <t>出勤正常</t>
        </is>
      </c>
      <c r="E358" s="19" t="n">
        <v>8</v>
      </c>
      <c r="F358" s="19" t="n">
        <v>2</v>
      </c>
      <c r="G358" s="20">
        <f>IF(F358&gt;0, MIN(F358, 2), 0)</f>
        <v/>
      </c>
      <c r="H358" s="20">
        <f>IF(F358&gt;2, F358-2, 0)</f>
        <v/>
      </c>
      <c r="I358" s="19" t="n">
        <v>0</v>
      </c>
      <c r="J358" s="19" t="n">
        <v>0</v>
      </c>
      <c r="K358" s="19" t="n">
        <v>0</v>
      </c>
      <c r="L358" s="21" t="inlineStr">
        <is>
          <t>月結整理</t>
        </is>
      </c>
    </row>
    <row r="359">
      <c r="A359" s="8" t="inlineStr">
        <is>
          <t>2026/09/30</t>
        </is>
      </c>
      <c r="B359" s="8" t="inlineStr">
        <is>
          <t>EMP07</t>
        </is>
      </c>
      <c r="C359" s="8" t="inlineStr">
        <is>
          <t>吳佩芬</t>
        </is>
      </c>
      <c r="D359" s="8" t="inlineStr">
        <is>
          <t>出勤正常</t>
        </is>
      </c>
      <c r="E359" s="19" t="n">
        <v>8</v>
      </c>
      <c r="F359" s="19" t="n">
        <v>0</v>
      </c>
      <c r="G359" s="20">
        <f>IF(F359&gt;0, MIN(F359, 2), 0)</f>
        <v/>
      </c>
      <c r="H359" s="20">
        <f>IF(F359&gt;2, F359-2, 0)</f>
        <v/>
      </c>
      <c r="I359" s="19" t="n">
        <v>0</v>
      </c>
      <c r="J359" s="19" t="n">
        <v>0</v>
      </c>
      <c r="K359" s="19" t="n">
        <v>0</v>
      </c>
      <c r="L359" s="21" t="inlineStr"/>
    </row>
    <row r="360">
      <c r="A360" s="8" t="inlineStr">
        <is>
          <t>2026/09/30</t>
        </is>
      </c>
      <c r="B360" s="8" t="inlineStr">
        <is>
          <t>EMP08</t>
        </is>
      </c>
      <c r="C360" s="8" t="inlineStr">
        <is>
          <t>劉家豪</t>
        </is>
      </c>
      <c r="D360" s="8" t="inlineStr">
        <is>
          <t>出勤正常</t>
        </is>
      </c>
      <c r="E360" s="19" t="n">
        <v>8</v>
      </c>
      <c r="F360" s="19" t="n">
        <v>4</v>
      </c>
      <c r="G360" s="20">
        <f>IF(F360&gt;0, MIN(F360, 2), 0)</f>
        <v/>
      </c>
      <c r="H360" s="20">
        <f>IF(F360&gt;2, F360-2, 0)</f>
        <v/>
      </c>
      <c r="I360" s="19" t="n">
        <v>0</v>
      </c>
      <c r="J360" s="19" t="n">
        <v>0</v>
      </c>
      <c r="K360" s="19" t="n">
        <v>0</v>
      </c>
      <c r="L360" s="21" t="inlineStr">
        <is>
          <t>月結保養</t>
        </is>
      </c>
    </row>
    <row r="361">
      <c r="A361" s="8" t="inlineStr">
        <is>
          <t>2026/09/30</t>
        </is>
      </c>
      <c r="B361" s="8" t="inlineStr">
        <is>
          <t>EMP09</t>
        </is>
      </c>
      <c r="C361" s="8" t="inlineStr">
        <is>
          <t>蔡佳蓉</t>
        </is>
      </c>
      <c r="D361" s="8" t="inlineStr">
        <is>
          <t>出勤正常</t>
        </is>
      </c>
      <c r="E361" s="19" t="n">
        <v>8</v>
      </c>
      <c r="F361" s="19" t="n">
        <v>0</v>
      </c>
      <c r="G361" s="20">
        <f>IF(F361&gt;0, MIN(F361, 2), 0)</f>
        <v/>
      </c>
      <c r="H361" s="20">
        <f>IF(F361&gt;2, F361-2, 0)</f>
        <v/>
      </c>
      <c r="I361" s="19" t="n">
        <v>0</v>
      </c>
      <c r="J361" s="19" t="n">
        <v>0</v>
      </c>
      <c r="K361" s="19" t="n">
        <v>0</v>
      </c>
      <c r="L361" s="21" t="inlineStr"/>
    </row>
    <row r="362">
      <c r="A362" s="8" t="inlineStr">
        <is>
          <t>2026/09/30</t>
        </is>
      </c>
      <c r="B362" s="8" t="inlineStr">
        <is>
          <t>EMP10</t>
        </is>
      </c>
      <c r="C362" s="8" t="inlineStr">
        <is>
          <t>許博凱</t>
        </is>
      </c>
      <c r="D362" s="8" t="inlineStr">
        <is>
          <t>出勤正常</t>
        </is>
      </c>
      <c r="E362" s="19" t="n">
        <v>8</v>
      </c>
      <c r="F362" s="19" t="n">
        <v>0</v>
      </c>
      <c r="G362" s="20">
        <f>IF(F362&gt;0, MIN(F362, 2), 0)</f>
        <v/>
      </c>
      <c r="H362" s="20">
        <f>IF(F362&gt;2, F362-2, 0)</f>
        <v/>
      </c>
      <c r="I362" s="19" t="n">
        <v>0</v>
      </c>
      <c r="J362" s="19" t="n">
        <v>0</v>
      </c>
      <c r="K362" s="19" t="n">
        <v>0</v>
      </c>
      <c r="L362" s="21" t="inlineStr"/>
    </row>
    <row r="363">
      <c r="A363" s="8" t="inlineStr">
        <is>
          <t>2026/09/30</t>
        </is>
      </c>
      <c r="B363" s="8" t="inlineStr">
        <is>
          <t>EMP11</t>
        </is>
      </c>
      <c r="C363" s="8" t="inlineStr">
        <is>
          <t>鄭淑芬</t>
        </is>
      </c>
      <c r="D363" s="8" t="inlineStr">
        <is>
          <t>出勤正常</t>
        </is>
      </c>
      <c r="E363" s="19" t="n">
        <v>8</v>
      </c>
      <c r="F363" s="19" t="n">
        <v>0</v>
      </c>
      <c r="G363" s="20">
        <f>IF(F363&gt;0, MIN(F363, 2), 0)</f>
        <v/>
      </c>
      <c r="H363" s="20">
        <f>IF(F363&gt;2, F363-2, 0)</f>
        <v/>
      </c>
      <c r="I363" s="19" t="n">
        <v>0</v>
      </c>
      <c r="J363" s="19" t="n">
        <v>0</v>
      </c>
      <c r="K363" s="19" t="n">
        <v>0</v>
      </c>
      <c r="L363" s="21" t="inlineStr"/>
    </row>
    <row r="364">
      <c r="A364" s="8" t="inlineStr">
        <is>
          <t>2026/09/30</t>
        </is>
      </c>
      <c r="B364" s="8" t="inlineStr">
        <is>
          <t>EMP12</t>
        </is>
      </c>
      <c r="C364" s="8" t="inlineStr">
        <is>
          <t>謝宗翰</t>
        </is>
      </c>
      <c r="D364" s="8" t="inlineStr">
        <is>
          <t>出勤正常</t>
        </is>
      </c>
      <c r="E364" s="19" t="n">
        <v>8</v>
      </c>
      <c r="F364" s="19" t="n">
        <v>0</v>
      </c>
      <c r="G364" s="20">
        <f>IF(F364&gt;0, MIN(F364, 2), 0)</f>
        <v/>
      </c>
      <c r="H364" s="20">
        <f>IF(F364&gt;2, F364-2, 0)</f>
        <v/>
      </c>
      <c r="I364" s="19" t="n">
        <v>0</v>
      </c>
      <c r="J364" s="19" t="n">
        <v>0</v>
      </c>
      <c r="K364" s="19" t="n">
        <v>0</v>
      </c>
      <c r="L364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9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【員工投保與薪資參數設定庫】</t>
        </is>
      </c>
    </row>
    <row r="2">
      <c r="A2" s="2" t="inlineStr">
        <is>
          <t>基準日薪：NT$ 1,300（8小時） ｜ 正常時薪：NT$ 162.5 ｜ 每工作日餐補：NT$ 130 ｜ 加班費倍率：前2H 1.33倍、超2H 1.66倍</t>
        </is>
      </c>
    </row>
    <row r="4">
      <c r="A4" s="26" t="inlineStr">
        <is>
          <t>員工編號</t>
        </is>
      </c>
      <c r="B4" s="26" t="inlineStr">
        <is>
          <t>姓名</t>
        </is>
      </c>
      <c r="C4" s="26" t="inlineStr">
        <is>
          <t>職稱</t>
        </is>
      </c>
      <c r="D4" s="26" t="inlineStr">
        <is>
          <t>勞保投保薪資</t>
        </is>
      </c>
      <c r="E4" s="26" t="inlineStr">
        <is>
          <t>勞保自付額(11%)</t>
        </is>
      </c>
      <c r="F4" s="26" t="inlineStr">
        <is>
          <t>健保投保薪資</t>
        </is>
      </c>
      <c r="G4" s="26" t="inlineStr">
        <is>
          <t>健保自付額(30%)</t>
        </is>
      </c>
      <c r="H4" s="26" t="inlineStr">
        <is>
          <t>勞退提繳工資</t>
        </is>
      </c>
      <c r="I4" s="26" t="inlineStr">
        <is>
          <t>勞退雇主提撥(6%)</t>
        </is>
      </c>
      <c r="J4" s="26" t="inlineStr">
        <is>
          <t>自提退休金率</t>
        </is>
      </c>
      <c r="K4" s="26" t="inlineStr">
        <is>
          <t>日薪基準</t>
        </is>
      </c>
      <c r="L4" s="26" t="inlineStr">
        <is>
          <t>正常時薪</t>
        </is>
      </c>
      <c r="M4" s="26" t="inlineStr">
        <is>
          <t>餐補每日</t>
        </is>
      </c>
    </row>
    <row r="5">
      <c r="A5" s="8" t="inlineStr">
        <is>
          <t>EMP01</t>
        </is>
      </c>
      <c r="B5" s="8" t="inlineStr">
        <is>
          <t>陳建宏</t>
        </is>
      </c>
      <c r="C5" s="8" t="inlineStr">
        <is>
          <t>生產技術員</t>
        </is>
      </c>
      <c r="D5" s="9" t="n">
        <v>27470</v>
      </c>
      <c r="E5" s="9" t="n">
        <v>632</v>
      </c>
      <c r="F5" s="9" t="n">
        <v>27470</v>
      </c>
      <c r="G5" s="9" t="n">
        <v>426</v>
      </c>
      <c r="H5" s="9" t="n">
        <v>27470</v>
      </c>
      <c r="I5" s="9" t="n">
        <v>1648</v>
      </c>
      <c r="J5" s="27" t="n">
        <v>0</v>
      </c>
      <c r="K5" s="9" t="n">
        <v>1300</v>
      </c>
      <c r="L5" s="28">
        <f>K5/8</f>
        <v/>
      </c>
      <c r="M5" s="9" t="n">
        <v>130</v>
      </c>
    </row>
    <row r="6">
      <c r="A6" s="8" t="inlineStr">
        <is>
          <t>EMP02</t>
        </is>
      </c>
      <c r="B6" s="8" t="inlineStr">
        <is>
          <t>林美玲</t>
        </is>
      </c>
      <c r="C6" s="8" t="inlineStr">
        <is>
          <t>包裝作業員</t>
        </is>
      </c>
      <c r="D6" s="9" t="n">
        <v>27470</v>
      </c>
      <c r="E6" s="9" t="n">
        <v>632</v>
      </c>
      <c r="F6" s="9" t="n">
        <v>27470</v>
      </c>
      <c r="G6" s="9" t="n">
        <v>426</v>
      </c>
      <c r="H6" s="9" t="n">
        <v>27470</v>
      </c>
      <c r="I6" s="9" t="n">
        <v>1648</v>
      </c>
      <c r="J6" s="27" t="n">
        <v>0</v>
      </c>
      <c r="K6" s="9" t="n">
        <v>1300</v>
      </c>
      <c r="L6" s="28">
        <f>K6/8</f>
        <v/>
      </c>
      <c r="M6" s="9" t="n">
        <v>130</v>
      </c>
    </row>
    <row r="7">
      <c r="A7" s="8" t="inlineStr">
        <is>
          <t>EMP03</t>
        </is>
      </c>
      <c r="B7" s="8" t="inlineStr">
        <is>
          <t>張志成</t>
        </is>
      </c>
      <c r="C7" s="8" t="inlineStr">
        <is>
          <t>物料備料員</t>
        </is>
      </c>
      <c r="D7" s="9" t="n">
        <v>28800</v>
      </c>
      <c r="E7" s="9" t="n">
        <v>662</v>
      </c>
      <c r="F7" s="9" t="n">
        <v>28800</v>
      </c>
      <c r="G7" s="9" t="n">
        <v>446</v>
      </c>
      <c r="H7" s="9" t="n">
        <v>28800</v>
      </c>
      <c r="I7" s="9" t="n">
        <v>1728</v>
      </c>
      <c r="J7" s="27" t="n">
        <v>0</v>
      </c>
      <c r="K7" s="9" t="n">
        <v>1300</v>
      </c>
      <c r="L7" s="28">
        <f>K7/8</f>
        <v/>
      </c>
      <c r="M7" s="9" t="n">
        <v>130</v>
      </c>
    </row>
    <row r="8">
      <c r="A8" s="8" t="inlineStr">
        <is>
          <t>EMP04</t>
        </is>
      </c>
      <c r="B8" s="8" t="inlineStr">
        <is>
          <t>黃國榮</t>
        </is>
      </c>
      <c r="C8" s="8" t="inlineStr">
        <is>
          <t>機械操作員</t>
        </is>
      </c>
      <c r="D8" s="9" t="n">
        <v>30300</v>
      </c>
      <c r="E8" s="9" t="n">
        <v>697</v>
      </c>
      <c r="F8" s="9" t="n">
        <v>30300</v>
      </c>
      <c r="G8" s="9" t="n">
        <v>470</v>
      </c>
      <c r="H8" s="9" t="n">
        <v>30300</v>
      </c>
      <c r="I8" s="9" t="n">
        <v>1818</v>
      </c>
      <c r="J8" s="27" t="n">
        <v>0</v>
      </c>
      <c r="K8" s="9" t="n">
        <v>1300</v>
      </c>
      <c r="L8" s="28">
        <f>K8/8</f>
        <v/>
      </c>
      <c r="M8" s="9" t="n">
        <v>130</v>
      </c>
    </row>
    <row r="9">
      <c r="A9" s="8" t="inlineStr">
        <is>
          <t>EMP05</t>
        </is>
      </c>
      <c r="B9" s="8" t="inlineStr">
        <is>
          <t>李雅婷</t>
        </is>
      </c>
      <c r="C9" s="8" t="inlineStr">
        <is>
          <t>品管檢驗員</t>
        </is>
      </c>
      <c r="D9" s="9" t="n">
        <v>27470</v>
      </c>
      <c r="E9" s="9" t="n">
        <v>632</v>
      </c>
      <c r="F9" s="9" t="n">
        <v>27470</v>
      </c>
      <c r="G9" s="9" t="n">
        <v>426</v>
      </c>
      <c r="H9" s="9" t="n">
        <v>27470</v>
      </c>
      <c r="I9" s="9" t="n">
        <v>1648</v>
      </c>
      <c r="J9" s="27" t="n">
        <v>0</v>
      </c>
      <c r="K9" s="9" t="n">
        <v>1300</v>
      </c>
      <c r="L9" s="28">
        <f>K9/8</f>
        <v/>
      </c>
      <c r="M9" s="9" t="n">
        <v>130</v>
      </c>
    </row>
    <row r="10">
      <c r="A10" s="8" t="inlineStr">
        <is>
          <t>EMP06</t>
        </is>
      </c>
      <c r="B10" s="8" t="inlineStr">
        <is>
          <t>王俊傑</t>
        </is>
      </c>
      <c r="C10" s="8" t="inlineStr">
        <is>
          <t>組裝作業員</t>
        </is>
      </c>
      <c r="D10" s="9" t="n">
        <v>27470</v>
      </c>
      <c r="E10" s="9" t="n">
        <v>632</v>
      </c>
      <c r="F10" s="9" t="n">
        <v>27470</v>
      </c>
      <c r="G10" s="9" t="n">
        <v>426</v>
      </c>
      <c r="H10" s="9" t="n">
        <v>27470</v>
      </c>
      <c r="I10" s="9" t="n">
        <v>1648</v>
      </c>
      <c r="J10" s="27" t="n">
        <v>0</v>
      </c>
      <c r="K10" s="9" t="n">
        <v>1300</v>
      </c>
      <c r="L10" s="28">
        <f>K10/8</f>
        <v/>
      </c>
      <c r="M10" s="9" t="n">
        <v>130</v>
      </c>
    </row>
    <row r="11">
      <c r="A11" s="8" t="inlineStr">
        <is>
          <t>EMP07</t>
        </is>
      </c>
      <c r="B11" s="8" t="inlineStr">
        <is>
          <t>吳佩芬</t>
        </is>
      </c>
      <c r="C11" s="8" t="inlineStr">
        <is>
          <t>組裝作業員</t>
        </is>
      </c>
      <c r="D11" s="9" t="n">
        <v>27470</v>
      </c>
      <c r="E11" s="9" t="n">
        <v>632</v>
      </c>
      <c r="F11" s="9" t="n">
        <v>27470</v>
      </c>
      <c r="G11" s="9" t="n">
        <v>426</v>
      </c>
      <c r="H11" s="9" t="n">
        <v>27470</v>
      </c>
      <c r="I11" s="9" t="n">
        <v>1648</v>
      </c>
      <c r="J11" s="27" t="n">
        <v>0</v>
      </c>
      <c r="K11" s="9" t="n">
        <v>1300</v>
      </c>
      <c r="L11" s="28">
        <f>K11/8</f>
        <v/>
      </c>
      <c r="M11" s="9" t="n">
        <v>130</v>
      </c>
    </row>
    <row r="12">
      <c r="A12" s="8" t="inlineStr">
        <is>
          <t>EMP08</t>
        </is>
      </c>
      <c r="B12" s="8" t="inlineStr">
        <is>
          <t>劉家豪</t>
        </is>
      </c>
      <c r="C12" s="8" t="inlineStr">
        <is>
          <t>機台調機員</t>
        </is>
      </c>
      <c r="D12" s="9" t="n">
        <v>31800</v>
      </c>
      <c r="E12" s="9" t="n">
        <v>731</v>
      </c>
      <c r="F12" s="9" t="n">
        <v>31800</v>
      </c>
      <c r="G12" s="9" t="n">
        <v>493</v>
      </c>
      <c r="H12" s="9" t="n">
        <v>31800</v>
      </c>
      <c r="I12" s="9" t="n">
        <v>1908</v>
      </c>
      <c r="J12" s="27" t="n">
        <v>0</v>
      </c>
      <c r="K12" s="9" t="n">
        <v>1300</v>
      </c>
      <c r="L12" s="28">
        <f>K12/8</f>
        <v/>
      </c>
      <c r="M12" s="9" t="n">
        <v>130</v>
      </c>
    </row>
    <row r="13">
      <c r="A13" s="8" t="inlineStr">
        <is>
          <t>EMP09</t>
        </is>
      </c>
      <c r="B13" s="8" t="inlineStr">
        <is>
          <t>蔡佳蓉</t>
        </is>
      </c>
      <c r="C13" s="8" t="inlineStr">
        <is>
          <t>包裝作業員</t>
        </is>
      </c>
      <c r="D13" s="9" t="n">
        <v>27470</v>
      </c>
      <c r="E13" s="9" t="n">
        <v>632</v>
      </c>
      <c r="F13" s="9" t="n">
        <v>27470</v>
      </c>
      <c r="G13" s="9" t="n">
        <v>426</v>
      </c>
      <c r="H13" s="9" t="n">
        <v>27470</v>
      </c>
      <c r="I13" s="9" t="n">
        <v>1648</v>
      </c>
      <c r="J13" s="27" t="n">
        <v>0</v>
      </c>
      <c r="K13" s="9" t="n">
        <v>1300</v>
      </c>
      <c r="L13" s="28">
        <f>K13/8</f>
        <v/>
      </c>
      <c r="M13" s="9" t="n">
        <v>130</v>
      </c>
    </row>
    <row r="14">
      <c r="A14" s="8" t="inlineStr">
        <is>
          <t>EMP10</t>
        </is>
      </c>
      <c r="B14" s="8" t="inlineStr">
        <is>
          <t>許博凱</t>
        </is>
      </c>
      <c r="C14" s="8" t="inlineStr">
        <is>
          <t>倉儲理貨員</t>
        </is>
      </c>
      <c r="D14" s="9" t="n">
        <v>28800</v>
      </c>
      <c r="E14" s="9" t="n">
        <v>662</v>
      </c>
      <c r="F14" s="9" t="n">
        <v>28800</v>
      </c>
      <c r="G14" s="9" t="n">
        <v>446</v>
      </c>
      <c r="H14" s="9" t="n">
        <v>28800</v>
      </c>
      <c r="I14" s="9" t="n">
        <v>1728</v>
      </c>
      <c r="J14" s="27" t="n">
        <v>0</v>
      </c>
      <c r="K14" s="9" t="n">
        <v>1300</v>
      </c>
      <c r="L14" s="28">
        <f>K14/8</f>
        <v/>
      </c>
      <c r="M14" s="9" t="n">
        <v>130</v>
      </c>
    </row>
    <row r="15">
      <c r="A15" s="8" t="inlineStr">
        <is>
          <t>EMP11</t>
        </is>
      </c>
      <c r="B15" s="8" t="inlineStr">
        <is>
          <t>鄭淑芬</t>
        </is>
      </c>
      <c r="C15" s="8" t="inlineStr">
        <is>
          <t>品檢作業員</t>
        </is>
      </c>
      <c r="D15" s="9" t="n">
        <v>27470</v>
      </c>
      <c r="E15" s="9" t="n">
        <v>632</v>
      </c>
      <c r="F15" s="9" t="n">
        <v>27470</v>
      </c>
      <c r="G15" s="9" t="n">
        <v>426</v>
      </c>
      <c r="H15" s="9" t="n">
        <v>27470</v>
      </c>
      <c r="I15" s="9" t="n">
        <v>1648</v>
      </c>
      <c r="J15" s="27" t="n">
        <v>0</v>
      </c>
      <c r="K15" s="9" t="n">
        <v>1300</v>
      </c>
      <c r="L15" s="28">
        <f>K15/8</f>
        <v/>
      </c>
      <c r="M15" s="9" t="n">
        <v>130</v>
      </c>
    </row>
    <row r="16">
      <c r="A16" s="8" t="inlineStr">
        <is>
          <t>EMP12</t>
        </is>
      </c>
      <c r="B16" s="8" t="inlineStr">
        <is>
          <t>謝宗翰</t>
        </is>
      </c>
      <c r="C16" s="8" t="inlineStr">
        <is>
          <t>廠務助理</t>
        </is>
      </c>
      <c r="D16" s="9" t="n">
        <v>27470</v>
      </c>
      <c r="E16" s="9" t="n">
        <v>632</v>
      </c>
      <c r="F16" s="9" t="n">
        <v>27470</v>
      </c>
      <c r="G16" s="9" t="n">
        <v>426</v>
      </c>
      <c r="H16" s="9" t="n">
        <v>27470</v>
      </c>
      <c r="I16" s="9" t="n">
        <v>1648</v>
      </c>
      <c r="J16" s="27" t="n">
        <v>0</v>
      </c>
      <c r="K16" s="9" t="n">
        <v>1300</v>
      </c>
      <c r="L16" s="28">
        <f>K16/8</f>
        <v/>
      </c>
      <c r="M16" s="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【12位員工日薪制出勤與薪資計算系統 —— 會計新手超詳細操作指南】</t>
        </is>
      </c>
    </row>
    <row r="3">
      <c r="A3" s="29" t="inlineStr">
        <is>
          <t>一、給會計新手的 3 個核心觀念（放輕鬆，這張表很聰明！）</t>
        </is>
      </c>
    </row>
    <row r="4">
      <c r="A4" s="30" t="inlineStr">
        <is>
          <t>1. 【您只要負責填基本數字】：例如今天上班幾小時、加班幾小時。其餘所有計算（算時薪、算加班倍率、扣勞健保、算實領）全部由電腦公式自動完成！</t>
        </is>
      </c>
    </row>
    <row r="5">
      <c r="A5" s="30" t="inlineStr">
        <is>
          <t>2. 【千萬不要手動去改有公式的格子】：凡是有底色、或是您點進去看到上方編輯列有「=SUM(...)」或「=IF(...)」的格子，電腦會自己算，請不要手動打字覆蓋它！</t>
        </is>
      </c>
    </row>
    <row r="6">
      <c r="A6" s="30" t="inlineStr">
        <is>
          <t>3. 【月薪資總表會自動雷達偵測】：您在「每日出勤」隨便改一個數字，「月薪資總表」在一秒之內就會自動同步變更，完全不需要手動複製貼上！</t>
        </is>
      </c>
    </row>
    <row r="8">
      <c r="A8" s="29" t="inlineStr">
        <is>
          <t>二、出納 / 會計日常操作 3 步驟（照著做絕不出錯）</t>
        </is>
      </c>
    </row>
    <row r="9">
      <c r="A9" s="31" t="inlineStr">
        <is>
          <t>【步驟 1：月初或有人員變動時】➔ 檢查「員工設定」工作表</t>
        </is>
      </c>
    </row>
    <row r="10">
      <c r="A10" s="30" t="inlineStr">
        <is>
          <t xml:space="preserve">   - 每年初或新員工入職時，進來設定一次：員工姓名、投保級距（勞保、健保、勞退提繳）。</t>
        </is>
      </c>
    </row>
    <row r="11">
      <c r="A11" s="30" t="inlineStr">
        <is>
          <t xml:space="preserve">   - ⚠️ 特別注意：『員工編號』（例如 EMP01, EMP02）是全系統的靈魂身分證字號，請確保各表一致，不要隨意打錯或加空格！</t>
        </is>
      </c>
    </row>
    <row r="12">
      <c r="A12" s="30" t="inlineStr"/>
    </row>
    <row r="13">
      <c r="A13" s="31" t="inlineStr">
        <is>
          <t>【步驟 2：每天最主要的登記工作】➔ 填寫「每日出勤」工作表</t>
        </is>
      </c>
    </row>
    <row r="14">
      <c r="A14" s="31" t="inlineStr">
        <is>
          <t xml:space="preserve">   - ❓ 重要問答：每天登記『一定要照日期或員工順序嗎？』</t>
        </is>
      </c>
    </row>
    <row r="15">
      <c r="A15" s="30" t="inlineStr">
        <is>
          <t xml:space="preserve">     👉 答案：【完全不需要照順序！】想怎麼記就怎麼記！</t>
        </is>
      </c>
    </row>
    <row r="16">
      <c r="A16" s="30" t="inlineStr">
        <is>
          <t xml:space="preserve">     👉 原因：後台月總表是用『SUMIF（條件搜尋加總）』，電腦只認『員工編號』，完全不在乎資料排在第幾行、也不在乎日期先後！</t>
        </is>
      </c>
    </row>
    <row r="17">
      <c r="A17" s="30" t="inlineStr">
        <is>
          <t xml:space="preserve">     👉 操作方式 A（推薦流水帳）：今天誰有上班、誰有加班，直接在最下方空列填一行。今天漏記了前天補打也可以！</t>
        </is>
      </c>
    </row>
    <row r="18">
      <c r="A18" s="30" t="inlineStr">
        <is>
          <t xml:space="preserve">     👉 操作方式 B（預排表格）：直接滑鼠滾動到今天的日期，在對應員工那一行填入數字。</t>
        </is>
      </c>
    </row>
    <row r="19">
      <c r="A19" s="31" t="inlineStr">
        <is>
          <t xml:space="preserve">   - ❓ 關鍵技巧：『加班時數怎麼填？需要自己心算拆 1.33 和 1.66 嗎？』</t>
        </is>
      </c>
    </row>
    <row r="20">
      <c r="A20" s="30" t="inlineStr">
        <is>
          <t xml:space="preserve">     👉 答案：【絕對不要自己心算！】您只要在『當日加班總時數 (F欄)』填入一個總數（例如加班 3 小時填 3，加班 3.5 小時填 3.5）。</t>
        </is>
      </c>
    </row>
    <row r="21">
      <c r="A21" s="30" t="inlineStr">
        <is>
          <t xml:space="preserve">     👉 電腦會自動在 G 欄幫您填入『前2小時 = 2』，在 H 欄幫您填入『超過2小時 = 1.5』！</t>
        </is>
      </c>
    </row>
    <row r="22">
      <c r="A22" s="31" t="inlineStr">
        <is>
          <t xml:space="preserve">   - ❓ 新手實用密技：『如果自己在最下面新加了一行，後面的自動拆分公式沒跑出來怎麼辦？』</t>
        </is>
      </c>
    </row>
    <row r="23">
      <c r="A23" s="32" t="inlineStr">
        <is>
          <t xml:space="preserve">     👉 密技：滑鼠選取上一行的格子，按下鍵盤上的【Ctrl + D】（向下填滿），公式就瞬間自動複製下來了！</t>
        </is>
      </c>
    </row>
    <row r="24">
      <c r="A24" s="31" t="inlineStr">
        <is>
          <t xml:space="preserve">   - ❓ 預支或借支扣款：</t>
        </is>
      </c>
    </row>
    <row r="25">
      <c r="A25" s="30" t="inlineStr">
        <is>
          <t xml:space="preserve">     👉 若員工在月中借支 1,000 元，直接在『預支/代扣款 (K欄)』輸入 1000，備註寫『月中預支』。月底總表會全自動從實領中扣除，保證不呆帳！</t>
        </is>
      </c>
    </row>
    <row r="26">
      <c r="A26" s="30" t="inlineStr"/>
    </row>
    <row r="27">
      <c r="A27" s="31" t="inlineStr">
        <is>
          <t>【步驟 3：月底結算與發薪】➔ 查看與列印「月薪資總表」</t>
        </is>
      </c>
    </row>
    <row r="28">
      <c r="A28" s="30" t="inlineStr">
        <is>
          <t xml:space="preserve">   - 月底一到，點進「月薪資總表」，此時所有員工的出勤天數、餐費補助、加班費、請假扣薪、實領薪資已 100% 自動算好！</t>
        </is>
      </c>
    </row>
    <row r="29">
      <c r="A29" s="30" t="inlineStr">
        <is>
          <t xml:space="preserve">   - 會計只要花 10 秒核對：最底部的『合計』實領薪資總額，是否與公司準備發放的現金或轉帳總額一致。</t>
        </is>
      </c>
    </row>
    <row r="30">
      <c r="A30" s="32" t="inlineStr">
        <is>
          <t xml:space="preserve">   - 直接按列印（Ctrl + P），交給主管簽章（核准、覆核、審核、製表），結算大功告成！</t>
        </is>
      </c>
    </row>
    <row r="32">
      <c r="A32" s="29" t="inlineStr">
        <is>
          <t>三、新手常見問題與避坑指南（救急 Q&amp;A）</t>
        </is>
      </c>
    </row>
    <row r="33">
      <c r="A33" s="31" t="inlineStr">
        <is>
          <t>Q1：我不小心把某個格子的公式刪掉了，變成一片空白，怎麼辦？</t>
        </is>
      </c>
    </row>
    <row r="34">
      <c r="A34" s="32" t="inlineStr">
        <is>
          <t xml:space="preserve">   👉 救命快捷鍵：立刻按下鍵盤上的【Ctrl + Z】（復原上一步），公式就會立刻變回來！</t>
        </is>
      </c>
    </row>
    <row r="35">
      <c r="A35" s="32" t="inlineStr">
        <is>
          <t xml:space="preserve">   👉 備用救法：如果已經存檔關閉了，可以點選上一行正常的格子，按下鍵盤【Ctrl + D】，公式就會重新複製下來。</t>
        </is>
      </c>
    </row>
    <row r="36">
      <c r="A36" s="30" t="inlineStr"/>
    </row>
    <row r="37">
      <c r="A37" s="31" t="inlineStr">
        <is>
          <t>Q2：為什麼加班費算出來會有小數點？</t>
        </is>
      </c>
    </row>
    <row r="38">
      <c r="A38" s="30" t="inlineStr">
        <is>
          <t xml:space="preserve">   👉 說明：因為法定倍率是 1.3333... 與 1.6666...，公式內部已經幫您寫了【ROUND(..., 0)】（自動四捨五入到個位數），不用擔心小數點問題！</t>
        </is>
      </c>
    </row>
    <row r="39">
      <c r="A39" s="30" t="inlineStr"/>
    </row>
    <row r="40">
      <c r="A40" s="31" t="inlineStr">
        <is>
          <t>Q3：勞退雇主提撥 6% 為什麼寫在最右邊？會扣到員工的薪水嗎？</t>
        </is>
      </c>
    </row>
    <row r="41">
      <c r="A41" s="30" t="inlineStr">
        <is>
          <t xml:space="preserve">   👉 說明：【絕對不會扣員工薪水！】勞退 6% 依照勞工退休金條例是『老闆要額外付的法定成本』，依法嚴禁從員工薪水扣！</t>
        </is>
      </c>
    </row>
    <row r="42">
      <c r="A42" s="30" t="inlineStr">
        <is>
          <t xml:space="preserve">   👉 總表特別列出來，是為了讓老闆或財務主管每個月能一眼看出『公司這個月實際的人事總成本是多少』，避免少估成本。</t>
        </is>
      </c>
    </row>
    <row r="44">
      <c r="A44" s="29" t="inlineStr">
        <is>
          <t>四、新手必備 4 個 Excel 鍵盤快捷鍵（記住這 4 個，操作快十倍！）</t>
        </is>
      </c>
    </row>
    <row r="45">
      <c r="A45" s="32" t="inlineStr">
        <is>
          <t>1. 【Ctrl + Z】：按錯了、不小心刪掉了？按它立刻『復原上一步』！</t>
        </is>
      </c>
    </row>
    <row r="46">
      <c r="A46" s="32" t="inlineStr">
        <is>
          <t>2. 【Ctrl + D】：選取上一格按它，立刻『把上一格的內容或公式直接複製下來』！</t>
        </is>
      </c>
    </row>
    <row r="47">
      <c r="A47" s="32" t="inlineStr">
        <is>
          <t>3. 【Ctrl + F】：資料好多找不到某個員工？按它輸入員工姓名或編號，立刻『快速搜尋跳過去』！</t>
        </is>
      </c>
    </row>
    <row r="48">
      <c r="A48" s="32" t="inlineStr">
        <is>
          <t>4. 【Ctrl + S】：做完一部分就隨手按一下，立刻『存檔』，預防電腦當機資料遺失！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2026-10-05T05:20:24Z</dcterms:created>
  <dcterms:modified xsi:type="dcterms:W3CDTF">2026-10-05T05:20:24Z</dcterms:modified>
</cp:coreProperties>
</file>