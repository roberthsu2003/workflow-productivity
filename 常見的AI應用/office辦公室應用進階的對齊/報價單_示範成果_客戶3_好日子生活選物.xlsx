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報價單範本" sheetId="1" state="visible" r:id="rId1"/>
    <sheet name="教學說明" sheetId="2" state="visible" r:id="rId2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FFFFFF"/>
      <sz val="18"/>
    </font>
    <font>
      <name val="Carlito"/>
      <b val="1"/>
      <sz val="11"/>
    </font>
    <font>
      <name val="Carlito"/>
      <color rgb="FF995A00"/>
      <sz val="11"/>
    </font>
    <font>
      <name val="Carlito"/>
      <b val="1"/>
      <color rgb="FFFFFFFF"/>
      <sz val="11"/>
    </font>
    <font>
      <name val="Carlito"/>
      <color rgb="FF667085"/>
      <sz val="11"/>
    </font>
  </fonts>
  <fills count="7">
    <fill>
      <patternFill/>
    </fill>
    <fill>
      <patternFill patternType="gray125"/>
    </fill>
    <fill>
      <patternFill patternType="solid">
        <fgColor rgb="FF183153"/>
      </patternFill>
    </fill>
    <fill>
      <patternFill patternType="solid">
        <fgColor rgb="FFE9F1F5"/>
      </patternFill>
    </fill>
    <fill>
      <patternFill patternType="solid">
        <fgColor rgb="FFFFF4D6"/>
      </patternFill>
    </fill>
    <fill>
      <patternFill patternType="solid">
        <fgColor rgb="FF087F8C"/>
      </patternFill>
    </fill>
    <fill>
      <patternFill patternType="solid">
        <fgColor rgb="FFF0F5F8"/>
      </patternFill>
    </fill>
  </fills>
  <borders count="2">
    <border/>
    <border/>
  </borders>
  <cellStyleXfs count="1">
    <xf numFmtId="0" fontId="0" fillId="0" borderId="1"/>
  </cellStyleXfs>
  <cellXfs count="5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1" pivotButton="0" quotePrefix="0" xfId="0"/>
    <xf numFmtId="0" fontId="2" fillId="3" borderId="0" pivotButton="0" quotePrefix="0" xfId="0"/>
    <xf numFmtId="0" fontId="2" fillId="3" borderId="1" pivotButton="0" quotePrefix="0" xfId="0"/>
    <xf numFmtId="0" fontId="0" fillId="4" borderId="0" pivotButton="0" quotePrefix="0" xfId="0"/>
    <xf numFmtId="0" fontId="0" fillId="4" borderId="1" pivotButton="0" quotePrefix="0" xfId="0"/>
    <xf numFmtId="0" fontId="3" fillId="4" borderId="0" pivotButton="0" quotePrefix="0" xfId="0"/>
    <xf numFmtId="0" fontId="3" fillId="4" borderId="1" pivotButton="0" quotePrefix="0" xfId="0"/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horizontal="center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0" fontId="0" fillId="6" borderId="0" pivotButton="0" quotePrefix="0" xfId="0"/>
    <xf numFmtId="0" fontId="0" fillId="6" borderId="1" pivotButton="0" quotePrefix="0" xfId="0"/>
    <xf numFmtId="0" fontId="4" fillId="2" borderId="0" pivotButton="0" quotePrefix="0" xfId="0"/>
    <xf numFmtId="0" fontId="4" fillId="2" borderId="1" pivotButton="0" quotePrefix="0" xfId="0"/>
    <xf numFmtId="0" fontId="3" fillId="4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3" borderId="0" applyAlignment="1" pivotButton="0" quotePrefix="0" xfId="0">
      <alignment horizontal="right"/>
    </xf>
    <xf numFmtId="0" fontId="4" fillId="2" borderId="0" applyAlignment="1" pivotButton="0" quotePrefix="0" xfId="0">
      <alignment horizontal="right"/>
    </xf>
    <xf numFmtId="0" fontId="3" fillId="4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4" fillId="2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3" fontId="0" fillId="3" borderId="0" applyAlignment="1" pivotButton="0" quotePrefix="0" xfId="0">
      <alignment horizontal="right"/>
    </xf>
    <xf numFmtId="3" fontId="4" fillId="2" borderId="0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3" fontId="0" fillId="3" borderId="1" applyAlignment="1" pivotButton="0" quotePrefix="0" xfId="0">
      <alignment horizontal="right"/>
    </xf>
    <xf numFmtId="3" fontId="4" fillId="2" borderId="1" applyAlignment="1" pivotButton="0" quotePrefix="0" xfId="0">
      <alignment horizontal="right"/>
    </xf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vertical="center" wrapText="1"/>
    </xf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vertical="center" wrapText="1"/>
    </xf>
    <xf numFmtId="0" fontId="5" fillId="0" borderId="0" pivotButton="0" quotePrefix="0" xfId="0"/>
    <xf numFmtId="0" fontId="5" fillId="0" borderId="1" pivotButton="0" quotePrefix="0" xfId="0"/>
    <xf numFmtId="0" fontId="0" fillId="0" borderId="0" applyAlignment="1" pivotButton="0" quotePrefix="0" xfId="0">
      <alignment wrapText="1"/>
    </xf>
    <xf numFmtId="3" fontId="0" fillId="0" borderId="0" applyAlignment="1" pivotButton="0" quotePrefix="0" xfId="0">
      <alignment horizontal="right"/>
    </xf>
    <xf numFmtId="3" fontId="0" fillId="3" borderId="0" applyAlignment="1" pivotButton="0" quotePrefix="0" xfId="0">
      <alignment horizontal="right"/>
    </xf>
    <xf numFmtId="3" fontId="4" fillId="2" borderId="0" applyAlignment="1" pivotButton="0" quotePrefix="0" xfId="0">
      <alignment horizontal="right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5" customWidth="1" min="1" max="1"/>
    <col width="19" customWidth="1" min="2" max="2"/>
    <col width="19" customWidth="1" min="3" max="3"/>
    <col width="15" customWidth="1" min="4" max="4"/>
    <col width="13" customWidth="1" min="5" max="5"/>
    <col width="14" customWidth="1" min="6" max="6"/>
    <col width="15" customWidth="1" min="7" max="7"/>
    <col width="5" customWidth="1" min="8" max="8"/>
  </cols>
  <sheetData>
    <row r="1"/>
    <row r="2" ht="30" customHeight="1">
      <c r="B2" s="9" t="inlineStr">
        <is>
          <t>晨光數位科技｜專業服務報價單</t>
        </is>
      </c>
      <c r="C2" s="1" t="n"/>
      <c r="D2" s="1" t="n"/>
      <c r="E2" s="1" t="n"/>
      <c r="F2" s="1" t="n"/>
      <c r="G2" s="1" t="n"/>
    </row>
    <row r="3" ht="30" customHeight="1">
      <c r="B3" s="1" t="n"/>
      <c r="C3" s="1" t="n"/>
      <c r="D3" s="1" t="n"/>
      <c r="E3" s="1" t="n"/>
      <c r="F3" s="1" t="n"/>
      <c r="G3" s="1" t="n"/>
    </row>
    <row r="4"/>
    <row r="5" ht="27" customHeight="1">
      <c r="B5" s="13" t="inlineStr">
        <is>
          <t>客戶名稱</t>
        </is>
      </c>
      <c r="C5" s="1" t="n"/>
      <c r="D5" s="17" t="inlineStr">
        <is>
          <t>好日子生活選物有限公司</t>
        </is>
      </c>
      <c r="E5" s="1" t="n"/>
      <c r="F5" s="1" t="n"/>
      <c r="G5" s="1" t="n"/>
    </row>
    <row r="6" ht="27" customHeight="1">
      <c r="B6" s="13" t="inlineStr">
        <is>
          <t>聯絡窗口</t>
        </is>
      </c>
      <c r="C6" s="1" t="n"/>
      <c r="D6" s="17" t="inlineStr">
        <is>
          <t>黃雅婷</t>
        </is>
      </c>
      <c r="E6" s="1" t="n"/>
      <c r="F6" s="1" t="n"/>
      <c r="G6" s="1" t="n"/>
    </row>
    <row r="7" ht="27" customHeight="1">
      <c r="B7" s="13" t="inlineStr">
        <is>
          <t>報價單號</t>
        </is>
      </c>
      <c r="C7" s="1" t="n"/>
      <c r="D7" s="17" t="inlineStr">
        <is>
          <t>Q20261021-003</t>
        </is>
      </c>
      <c r="E7" s="1" t="n"/>
      <c r="F7" s="1" t="n"/>
      <c r="G7" s="1" t="n"/>
    </row>
    <row r="8" ht="27" customHeight="1">
      <c r="B8" s="13" t="inlineStr">
        <is>
          <t>報價日期</t>
        </is>
      </c>
      <c r="C8" s="1" t="n"/>
      <c r="D8" s="17" t="inlineStr">
        <is>
          <t>2026/10/21</t>
        </is>
      </c>
      <c r="E8" s="1" t="n"/>
      <c r="F8" s="1" t="n"/>
      <c r="G8" s="1" t="n"/>
    </row>
    <row r="9" ht="27" customHeight="1">
      <c r="B9" s="13" t="inlineStr">
        <is>
          <t>專案名稱</t>
        </is>
      </c>
      <c r="C9" s="1" t="n"/>
      <c r="D9" s="17" t="inlineStr">
        <is>
          <t>電商數據儀表板建置</t>
        </is>
      </c>
      <c r="E9" s="1" t="n"/>
      <c r="F9" s="1" t="n"/>
      <c r="G9" s="1" t="n"/>
    </row>
    <row r="10"/>
    <row r="11"/>
    <row r="12" ht="30" customHeight="1">
      <c r="B12" s="20" t="inlineStr">
        <is>
          <t>項次</t>
        </is>
      </c>
      <c r="C12" s="20" t="inlineStr">
        <is>
          <t>服務項目</t>
        </is>
      </c>
      <c r="D12" s="20" t="inlineStr">
        <is>
          <t>數量</t>
        </is>
      </c>
      <c r="E12" s="20" t="inlineStr">
        <is>
          <t>單位</t>
        </is>
      </c>
      <c r="F12" s="20" t="inlineStr">
        <is>
          <t>單價（元）</t>
        </is>
      </c>
      <c r="G12" s="20" t="inlineStr">
        <is>
          <t>小計（元）</t>
        </is>
      </c>
    </row>
    <row r="13" ht="32" customHeight="1">
      <c r="B13" s="24" t="n">
        <v>1</v>
      </c>
      <c r="C13" s="16" t="inlineStr">
        <is>
          <t>需求訪談</t>
        </is>
      </c>
      <c r="D13" s="16" t="n">
        <v>2</v>
      </c>
      <c r="E13" s="16" t="inlineStr">
        <is>
          <t>場</t>
        </is>
      </c>
      <c r="F13" s="28" t="n">
        <v>3500</v>
      </c>
      <c r="G13" s="49">
        <f>IF(AND(ISNUMBER(D13),ISNUMBER(F13)),D13*F13,"待填資料")</f>
        <v/>
      </c>
    </row>
    <row r="14" ht="32" customHeight="1">
      <c r="B14" t="n">
        <v>2</v>
      </c>
      <c r="C14" s="16" t="inlineStr">
        <is>
          <t>銷售數據清理</t>
        </is>
      </c>
      <c r="D14" s="16" t="n">
        <v>5</v>
      </c>
      <c r="E14" s="16" t="inlineStr">
        <is>
          <t>批</t>
        </is>
      </c>
      <c r="F14" s="28" t="n">
        <v>4200</v>
      </c>
      <c r="G14" s="49">
        <f>IF(AND(ISNUMBER(D14),ISNUMBER(F14)),D14*F14,"待填資料")</f>
        <v/>
      </c>
    </row>
    <row r="15" ht="32" customHeight="1">
      <c r="B15" s="24" t="n">
        <v>3</v>
      </c>
      <c r="C15" s="16" t="inlineStr">
        <is>
          <t>互動式儀表板</t>
        </is>
      </c>
      <c r="D15" s="16" t="n">
        <v>2</v>
      </c>
      <c r="E15" s="16" t="inlineStr">
        <is>
          <t>頁</t>
        </is>
      </c>
      <c r="F15" s="28" t="n">
        <v>18000</v>
      </c>
      <c r="G15" s="49">
        <f>IF(AND(ISNUMBER(D15),ISNUMBER(F15)),D15*F15,"待填資料")</f>
        <v/>
      </c>
    </row>
    <row r="16">
      <c r="F16" s="29" t="n"/>
      <c r="G16" s="49" t="n"/>
    </row>
    <row r="17">
      <c r="F17" s="29" t="n"/>
      <c r="G17" s="49" t="n"/>
    </row>
    <row r="18">
      <c r="F18" s="30" t="inlineStr">
        <is>
          <t>未稅合計</t>
        </is>
      </c>
      <c r="G18" s="50">
        <f>SUM(G13:G15)</f>
        <v/>
      </c>
    </row>
    <row r="19">
      <c r="F19" s="30" t="inlineStr">
        <is>
          <t>營業稅 5%</t>
        </is>
      </c>
      <c r="G19" s="50">
        <f>G18*5%</f>
        <v/>
      </c>
    </row>
    <row r="20" ht="30" customHeight="1">
      <c r="F20" s="31" t="inlineStr">
        <is>
          <t>含稅總計</t>
        </is>
      </c>
      <c r="G20" s="51">
        <f>G18+G19</f>
        <v/>
      </c>
    </row>
    <row r="21"/>
    <row r="22"/>
    <row r="23" ht="26" customHeight="1">
      <c r="B23" s="22" t="inlineStr">
        <is>
          <t>專案備註與付款條件</t>
        </is>
      </c>
      <c r="C23" s="1" t="n"/>
      <c r="D23" s="1" t="n"/>
      <c r="E23" s="1" t="n"/>
      <c r="F23" s="1" t="n"/>
      <c r="G23" s="1" t="n"/>
    </row>
    <row r="24">
      <c r="B24" s="45" t="inlineStr">
        <is>
          <t>資料來源由客戶提供；含兩次修改與一次成果說明會。</t>
        </is>
      </c>
      <c r="C24" s="1" t="n"/>
      <c r="D24" s="1" t="n"/>
      <c r="E24" s="1" t="n"/>
      <c r="F24" s="1" t="n"/>
      <c r="G24" s="1" t="n"/>
    </row>
    <row r="25">
      <c r="B25" s="1" t="n"/>
      <c r="G25" s="1" t="n"/>
    </row>
    <row r="26">
      <c r="B26" s="1" t="n"/>
      <c r="C26" s="1" t="n"/>
      <c r="D26" s="1" t="n"/>
      <c r="E26" s="1" t="n"/>
      <c r="F26" s="1" t="n"/>
      <c r="G26" s="1" t="n"/>
    </row>
    <row r="27"/>
    <row r="28"/>
    <row r="29">
      <c r="B29" s="1" t="inlineStr">
        <is>
          <t>報價有效期限：2026/11/10</t>
        </is>
      </c>
      <c r="C29" s="1" t="n"/>
      <c r="D29" s="1" t="n"/>
      <c r="E29" s="1" t="n"/>
      <c r="F29" s="1" t="n"/>
      <c r="G29" s="1" t="n"/>
    </row>
    <row r="31">
      <c r="B31" s="47" t="inlineStr">
        <is>
          <t>教學重點：黃色為佔位符｜藍色為公式｜請保留儲存格格式與公式</t>
        </is>
      </c>
      <c r="C31" s="1" t="n"/>
      <c r="D31" s="1" t="n"/>
      <c r="E31" s="1" t="n"/>
      <c r="F31" s="1" t="n"/>
      <c r="G31" s="1" t="n"/>
    </row>
  </sheetData>
  <mergeCells count="15">
    <mergeCell ref="B6:C6"/>
    <mergeCell ref="B2:G3"/>
    <mergeCell ref="B24:G26"/>
    <mergeCell ref="D9:G9"/>
    <mergeCell ref="B7:C7"/>
    <mergeCell ref="B5:C5"/>
    <mergeCell ref="D6:G6"/>
    <mergeCell ref="D8:G8"/>
    <mergeCell ref="B23:G23"/>
    <mergeCell ref="B31:G31"/>
    <mergeCell ref="D7:G7"/>
    <mergeCell ref="B9:C9"/>
    <mergeCell ref="D5:G5"/>
    <mergeCell ref="B8:C8"/>
    <mergeCell ref="B29:G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26" t="inlineStr">
        <is>
          <t>課堂實作流程</t>
        </is>
      </c>
      <c r="B1" s="26" t="inlineStr">
        <is>
          <t>說明</t>
        </is>
      </c>
    </row>
    <row r="2" ht="36" customHeight="1">
      <c r="A2" t="inlineStr">
        <is>
          <t>1. 觀察範本</t>
        </is>
      </c>
      <c r="B2" s="48" t="inlineStr">
        <is>
          <t>黃色儲存格使用 {{欄位名稱}} 作為佔位符。</t>
        </is>
      </c>
    </row>
    <row r="3" ht="36" customHeight="1">
      <c r="A3" t="inlineStr">
        <is>
          <t>2. 準備資料</t>
        </is>
      </c>
      <c r="B3" s="48" t="inlineStr">
        <is>
          <t>由老師提供客戶報價資料（Markdown 或 TXT）。</t>
        </is>
      </c>
    </row>
    <row r="4" ht="36" customHeight="1">
      <c r="A4" t="inlineStr">
        <is>
          <t>3. AI 替換</t>
        </is>
      </c>
      <c r="B4" s="48" t="inlineStr">
        <is>
          <t>請 AI 依欄位名稱替換，保留樣式、合併儲存格與公式。</t>
        </is>
      </c>
    </row>
    <row r="5" ht="36" customHeight="1">
      <c r="A5" t="inlineStr">
        <is>
          <t>4. 公式計算</t>
        </is>
      </c>
      <c r="B5" s="48" t="inlineStr">
        <is>
          <t>數量與單價必須轉為數字，小計及總計自動計算。</t>
        </is>
      </c>
    </row>
    <row r="6" ht="36" customHeight="1">
      <c r="A6" t="inlineStr">
        <is>
          <t>5. 檢查對齊</t>
        </is>
      </c>
      <c r="B6" s="48" t="inlineStr">
        <is>
          <t>觀察文字置中、靠左、數字靠右及長文字換行。</t>
        </is>
      </c>
    </row>
    <row r="7" ht="36" customHeight="1">
      <c r="A7" t="inlineStr">
        <is>
          <t>6. 進階挑戰</t>
        </is>
      </c>
      <c r="B7" s="48" t="inlineStr">
        <is>
          <t>一份範本產生多位客戶的報價單。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2026-10-21T01:09:43Z</dcterms:created>
  <dcterms:modified xsi:type="dcterms:W3CDTF">2026-10-21T01:09:43Z</dcterms:modified>
</cp:coreProperties>
</file>