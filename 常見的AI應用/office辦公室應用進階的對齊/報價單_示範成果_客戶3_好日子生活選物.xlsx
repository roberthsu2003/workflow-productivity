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好日子生活選物有限公司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黃雅婷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Q20261021-003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電商數據儀表板建置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需求訪談</t>
        </is>
      </c>
      <c r="D13" s="16" t="n">
        <v>2</v>
      </c>
      <c r="E13" s="16" t="inlineStr">
        <is>
          <t>場</t>
        </is>
      </c>
      <c r="F13" s="28" t="n">
        <v>3500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銷售數據清理</t>
        </is>
      </c>
      <c r="D14" s="16" t="n">
        <v>5</v>
      </c>
      <c r="E14" s="16" t="inlineStr">
        <is>
          <t>批</t>
        </is>
      </c>
      <c r="F14" s="28" t="n">
        <v>4200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互動式儀表板</t>
        </is>
      </c>
      <c r="D15" s="16" t="n">
        <v>2</v>
      </c>
      <c r="E15" s="16" t="inlineStr">
        <is>
          <t>頁</t>
        </is>
      </c>
      <c r="F15" s="28" t="n">
        <v>18000</v>
      </c>
      <c r="G15" s="49">
        <f>IF(AND(ISNUMBER(D13),ISNUMBER(F13)),D13*F13,"待填資料")</f>
        <v/>
      </c>
    </row>
    <row r="16" ht="32" customHeight="1">
      <c r="A16" t="inlineStr"/>
      <c r="C16" s="52" t="n"/>
      <c r="D16" s="52" t="n"/>
      <c r="E16" s="52" t="n"/>
      <c r="F16" s="53" t="n"/>
      <c r="G16" s="49" t="n"/>
    </row>
    <row r="17" ht="32" customHeight="1">
      <c r="F17" s="30" t="inlineStr">
        <is>
          <t>未稅合計</t>
        </is>
      </c>
      <c r="G17" s="50">
        <f>SUM(G13:G14)</f>
        <v/>
      </c>
    </row>
    <row r="18">
      <c r="F18" s="30" t="inlineStr">
        <is>
          <t>營業稅 5%</t>
        </is>
      </c>
      <c r="G18" s="50">
        <f>G15*5%</f>
        <v/>
      </c>
    </row>
    <row r="19">
      <c r="F19" s="31" t="inlineStr">
        <is>
          <t>含稅總計</t>
        </is>
      </c>
      <c r="G19" s="51">
        <f>G15+G16</f>
        <v/>
      </c>
    </row>
    <row r="22" ht="30" customHeight="1">
      <c r="B22" s="22" t="inlineStr">
        <is>
          <t>專案備註與付款條件</t>
        </is>
      </c>
      <c r="C22" s="1" t="n"/>
      <c r="D22" s="1" t="n"/>
      <c r="E22" s="1" t="n"/>
      <c r="F22" s="1" t="n"/>
      <c r="G22" s="1" t="n"/>
    </row>
    <row r="23">
      <c r="B23" s="45" t="inlineStr">
        <is>
          <t>資料來源由客戶提供；含兩次修改與一次成果說明會。</t>
        </is>
      </c>
      <c r="C23" s="1" t="n"/>
      <c r="D23" s="1" t="n"/>
      <c r="E23" s="1" t="n"/>
      <c r="F23" s="1" t="n"/>
      <c r="G23" s="1" t="n"/>
    </row>
    <row r="24">
      <c r="B24" s="1" t="n"/>
      <c r="G24" s="1" t="n"/>
    </row>
    <row r="25" ht="26" customHeight="1">
      <c r="B25" s="1" t="n"/>
      <c r="C25" s="1" t="n"/>
      <c r="D25" s="1" t="n"/>
      <c r="E25" s="1" t="n"/>
      <c r="F25" s="1" t="n"/>
      <c r="G25" s="1" t="n"/>
    </row>
    <row r="28">
      <c r="B28" s="15" t="inlineStr">
        <is>
          <t>報價有效期限：2026/11/10</t>
        </is>
      </c>
      <c r="C28" s="1" t="n"/>
      <c r="D28" s="1" t="n"/>
      <c r="E28" s="1" t="n"/>
      <c r="F28" s="1" t="n"/>
      <c r="G28" s="1" t="n"/>
    </row>
    <row r="30">
      <c r="B30" s="47" t="n"/>
    </row>
  </sheetData>
  <mergeCells count="14">
    <mergeCell ref="B6:C6"/>
    <mergeCell ref="B2:G3"/>
    <mergeCell ref="D9:G9"/>
    <mergeCell ref="B28:G28"/>
    <mergeCell ref="B7:C7"/>
    <mergeCell ref="B22:G22"/>
    <mergeCell ref="D8:G8"/>
    <mergeCell ref="D6:G6"/>
    <mergeCell ref="B5:C5"/>
    <mergeCell ref="D7:G7"/>
    <mergeCell ref="B23:G25"/>
    <mergeCell ref="B9:C9"/>
    <mergeCell ref="D5:G5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2026-10-21T05:51:47Z</dcterms:modified>
</cp:coreProperties>
</file>