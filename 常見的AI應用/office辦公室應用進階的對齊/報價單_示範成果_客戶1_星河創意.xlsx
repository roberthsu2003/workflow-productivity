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heet0" sheetId="1" state="visible" r:id="rId1"/>
  </sheets>
  <definedNames/>
</workbook>
</file>

<file path=xl/styles.xml><?xml version="1.0" encoding="utf-8"?>
<styleSheet xmlns="http://schemas.openxmlformats.org/spreadsheetml/2006/main">
  <numFmts count="0"/>
  <fonts count="6">
    <font>
      <name val="Carlito"/>
      <sz val="11"/>
    </font>
    <font>
      <name val="Carlito"/>
      <b val="1"/>
      <color rgb="FFFFFFFF"/>
      <sz val="18"/>
    </font>
    <font>
      <name val="Carlito"/>
      <b val="1"/>
      <sz val="11"/>
    </font>
    <font>
      <name val="Carlito"/>
      <color rgb="FF995A00"/>
      <sz val="11"/>
    </font>
    <font>
      <name val="Carlito"/>
      <b val="1"/>
      <color rgb="FFFFFFFF"/>
      <sz val="11"/>
    </font>
    <font>
      <name val="Carlito"/>
      <color rgb="FF667085"/>
      <sz val="11"/>
    </font>
  </fonts>
  <fills count="7">
    <fill>
      <patternFill/>
    </fill>
    <fill>
      <patternFill patternType="gray125"/>
    </fill>
    <fill>
      <patternFill patternType="solid">
        <fgColor rgb="FF183153"/>
      </patternFill>
    </fill>
    <fill>
      <patternFill patternType="solid">
        <fgColor rgb="FFE9F1F5"/>
      </patternFill>
    </fill>
    <fill>
      <patternFill patternType="solid">
        <fgColor rgb="FFFFF4D6"/>
      </patternFill>
    </fill>
    <fill>
      <patternFill patternType="solid">
        <fgColor rgb="FF087F8C"/>
      </patternFill>
    </fill>
    <fill>
      <patternFill patternType="solid">
        <fgColor rgb="FFF0F5F8"/>
      </patternFill>
    </fill>
  </fills>
  <borders count="2">
    <border/>
    <border/>
  </borders>
  <cellStyleXfs count="1">
    <xf numFmtId="0" fontId="0" fillId="0" borderId="1"/>
  </cellStyleXfs>
  <cellXfs count="54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3" borderId="0" pivotButton="0" quotePrefix="0" xfId="0"/>
    <xf numFmtId="0" fontId="0" fillId="3" borderId="1" pivotButton="0" quotePrefix="0" xfId="0"/>
    <xf numFmtId="0" fontId="2" fillId="3" borderId="0" pivotButton="0" quotePrefix="0" xfId="0"/>
    <xf numFmtId="0" fontId="2" fillId="3" borderId="1" pivotButton="0" quotePrefix="0" xfId="0"/>
    <xf numFmtId="0" fontId="0" fillId="4" borderId="0" pivotButton="0" quotePrefix="0" xfId="0"/>
    <xf numFmtId="0" fontId="0" fillId="4" borderId="1" pivotButton="0" quotePrefix="0" xfId="0"/>
    <xf numFmtId="0" fontId="3" fillId="4" borderId="0" pivotButton="0" quotePrefix="0" xfId="0"/>
    <xf numFmtId="0" fontId="3" fillId="4" borderId="1" pivotButton="0" quotePrefix="0" xfId="0"/>
    <xf numFmtId="0" fontId="0" fillId="5" borderId="0" pivotButton="0" quotePrefix="0" xfId="0"/>
    <xf numFmtId="0" fontId="4" fillId="5" borderId="0" pivotButton="0" quotePrefix="0" xfId="0"/>
    <xf numFmtId="0" fontId="4" fillId="5" borderId="0" applyAlignment="1" pivotButton="0" quotePrefix="0" xfId="0">
      <alignment horizontal="center"/>
    </xf>
    <xf numFmtId="0" fontId="0" fillId="5" borderId="1" pivotButton="0" quotePrefix="0" xfId="0"/>
    <xf numFmtId="0" fontId="4" fillId="5" borderId="1" pivotButton="0" quotePrefix="0" xfId="0"/>
    <xf numFmtId="0" fontId="4" fillId="5" borderId="1" applyAlignment="1" pivotButton="0" quotePrefix="0" xfId="0">
      <alignment horizontal="center"/>
    </xf>
    <xf numFmtId="0" fontId="0" fillId="6" borderId="0" pivotButton="0" quotePrefix="0" xfId="0"/>
    <xf numFmtId="0" fontId="0" fillId="6" borderId="1" pivotButton="0" quotePrefix="0" xfId="0"/>
    <xf numFmtId="0" fontId="4" fillId="2" borderId="0" pivotButton="0" quotePrefix="0" xfId="0"/>
    <xf numFmtId="0" fontId="4" fillId="2" borderId="1" pivotButton="0" quotePrefix="0" xfId="0"/>
    <xf numFmtId="0" fontId="3" fillId="4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0" fillId="3" borderId="0" applyAlignment="1" pivotButton="0" quotePrefix="0" xfId="0">
      <alignment horizontal="right"/>
    </xf>
    <xf numFmtId="0" fontId="4" fillId="2" borderId="0" applyAlignment="1" pivotButton="0" quotePrefix="0" xfId="0">
      <alignment horizontal="right"/>
    </xf>
    <xf numFmtId="0" fontId="3" fillId="4" borderId="1" applyAlignment="1" pivotButton="0" quotePrefix="0" xfId="0">
      <alignment horizontal="right"/>
    </xf>
    <xf numFmtId="0" fontId="0" fillId="0" borderId="1" applyAlignment="1" pivotButton="0" quotePrefix="0" xfId="0">
      <alignment horizontal="right"/>
    </xf>
    <xf numFmtId="0" fontId="0" fillId="3" borderId="1" applyAlignment="1" pivotButton="0" quotePrefix="0" xfId="0">
      <alignment horizontal="right"/>
    </xf>
    <xf numFmtId="0" fontId="4" fillId="2" borderId="1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3" fontId="0" fillId="3" borderId="0" applyAlignment="1" pivotButton="0" quotePrefix="0" xfId="0">
      <alignment horizontal="right"/>
    </xf>
    <xf numFmtId="3" fontId="4" fillId="2" borderId="0" applyAlignment="1" pivotButton="0" quotePrefix="0" xfId="0">
      <alignment horizontal="right"/>
    </xf>
    <xf numFmtId="3" fontId="0" fillId="0" borderId="1" applyAlignment="1" pivotButton="0" quotePrefix="0" xfId="0">
      <alignment horizontal="right"/>
    </xf>
    <xf numFmtId="3" fontId="0" fillId="3" borderId="1" applyAlignment="1" pivotButton="0" quotePrefix="0" xfId="0">
      <alignment horizontal="right"/>
    </xf>
    <xf numFmtId="3" fontId="4" fillId="2" borderId="1" applyAlignment="1" pivotButton="0" quotePrefix="0" xfId="0">
      <alignment horizontal="right"/>
    </xf>
    <xf numFmtId="0" fontId="3" fillId="4" borderId="0" applyAlignment="1" pivotButton="0" quotePrefix="0" xfId="0">
      <alignment wrapText="1"/>
    </xf>
    <xf numFmtId="0" fontId="3" fillId="4" borderId="0" applyAlignment="1" pivotButton="0" quotePrefix="0" xfId="0">
      <alignment vertical="center" wrapText="1"/>
    </xf>
    <xf numFmtId="0" fontId="3" fillId="4" borderId="1" applyAlignment="1" pivotButton="0" quotePrefix="0" xfId="0">
      <alignment wrapText="1"/>
    </xf>
    <xf numFmtId="0" fontId="3" fillId="4" borderId="1" applyAlignment="1" pivotButton="0" quotePrefix="0" xfId="0">
      <alignment vertical="center" wrapText="1"/>
    </xf>
    <xf numFmtId="0" fontId="5" fillId="0" borderId="0" pivotButton="0" quotePrefix="0" xfId="0"/>
    <xf numFmtId="0" fontId="5" fillId="0" borderId="1" pivotButton="0" quotePrefix="0" xfId="0"/>
    <xf numFmtId="0" fontId="0" fillId="0" borderId="0" applyAlignment="1" pivotButton="0" quotePrefix="0" xfId="0">
      <alignment wrapText="1"/>
    </xf>
    <xf numFmtId="3" fontId="0" fillId="0" borderId="0" applyAlignment="1" pivotButton="0" quotePrefix="0" xfId="0">
      <alignment horizontal="right"/>
    </xf>
    <xf numFmtId="3" fontId="0" fillId="3" borderId="0" applyAlignment="1" pivotButton="0" quotePrefix="0" xfId="0">
      <alignment horizontal="right"/>
    </xf>
    <xf numFmtId="3" fontId="4" fillId="2" borderId="0" applyAlignment="1" pivotButton="0" quotePrefix="0" xfId="0">
      <alignment horizontal="right"/>
    </xf>
    <xf numFmtId="0" fontId="3" fillId="0" borderId="0" pivotButton="0" quotePrefix="0" xfId="0"/>
    <xf numFmtId="0" fontId="3" fillId="0" borderId="0" applyAlignment="1" pivotButton="0" quotePrefix="0" xfId="0">
      <alignment horizontal="right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G30"/>
  <sheetViews>
    <sheetView workbookViewId="0">
      <pane ySplit="3" topLeftCell="A4" activePane="bottomLeft" state="frozen"/>
      <selection activeCell="A1" sqref="A1"/>
    </sheetView>
  </sheetViews>
  <sheetFormatPr baseColWidth="8" defaultRowHeight="15"/>
  <cols>
    <col width="5" customWidth="1" min="1" max="1"/>
    <col width="19" customWidth="1" min="2" max="2"/>
    <col width="19" customWidth="1" min="3" max="3"/>
    <col width="15" customWidth="1" min="4" max="4"/>
    <col width="13" customWidth="1" min="5" max="5"/>
    <col width="14" customWidth="1" min="6" max="6"/>
    <col width="15" customWidth="1" min="7" max="7"/>
  </cols>
  <sheetData>
    <row r="2" ht="30" customHeight="1">
      <c r="B2" s="9" t="inlineStr">
        <is>
          <t>晨光數位科技｜專業服務報價單</t>
        </is>
      </c>
      <c r="C2" s="1" t="n"/>
      <c r="D2" s="1" t="n"/>
      <c r="E2" s="1" t="n"/>
      <c r="F2" s="1" t="n"/>
      <c r="G2" s="1" t="n"/>
    </row>
    <row r="3" ht="30" customHeight="1">
      <c r="B3" s="1" t="n"/>
      <c r="C3" s="1" t="n"/>
      <c r="D3" s="1" t="n"/>
      <c r="E3" s="1" t="n"/>
      <c r="F3" s="1" t="n"/>
      <c r="G3" s="1" t="n"/>
    </row>
    <row r="5" ht="27" customHeight="1">
      <c r="B5" s="13" t="inlineStr">
        <is>
          <t>客戶名稱</t>
        </is>
      </c>
      <c r="C5" s="1" t="n"/>
      <c r="D5" s="17" t="inlineStr">
        <is>
          <t>星河創意有限公司</t>
        </is>
      </c>
      <c r="E5" s="1" t="n"/>
      <c r="F5" s="1" t="n"/>
      <c r="G5" s="1" t="n"/>
    </row>
    <row r="6" ht="27" customHeight="1">
      <c r="B6" s="13" t="inlineStr">
        <is>
          <t>聯絡窗口</t>
        </is>
      </c>
      <c r="C6" s="1" t="n"/>
      <c r="D6" s="17" t="inlineStr">
        <is>
          <t>林怡君</t>
        </is>
      </c>
      <c r="E6" s="1" t="n"/>
      <c r="F6" s="1" t="n"/>
      <c r="G6" s="1" t="n"/>
    </row>
    <row r="7" ht="27" customHeight="1">
      <c r="B7" s="13" t="inlineStr">
        <is>
          <t>報價單號</t>
        </is>
      </c>
      <c r="C7" s="1" t="n"/>
      <c r="D7" s="17" t="inlineStr">
        <is>
          <t>Q20261021-001</t>
        </is>
      </c>
      <c r="E7" s="1" t="n"/>
      <c r="F7" s="1" t="n"/>
      <c r="G7" s="1" t="n"/>
    </row>
    <row r="8" ht="27" customHeight="1">
      <c r="B8" s="13" t="inlineStr">
        <is>
          <t>報價日期</t>
        </is>
      </c>
      <c r="C8" s="1" t="n"/>
      <c r="D8" s="17" t="inlineStr">
        <is>
          <t>2026/10/21</t>
        </is>
      </c>
      <c r="E8" s="1" t="n"/>
      <c r="F8" s="1" t="n"/>
      <c r="G8" s="1" t="n"/>
    </row>
    <row r="9" ht="27" customHeight="1">
      <c r="B9" s="13" t="inlineStr">
        <is>
          <t>專案名稱</t>
        </is>
      </c>
      <c r="C9" s="1" t="n"/>
      <c r="D9" s="17" t="inlineStr">
        <is>
          <t>企業形象網站建置專案</t>
        </is>
      </c>
      <c r="E9" s="1" t="n"/>
      <c r="F9" s="1" t="n"/>
      <c r="G9" s="1" t="n"/>
    </row>
    <row r="12" ht="30" customHeight="1">
      <c r="B12" s="20" t="inlineStr">
        <is>
          <t>項次</t>
        </is>
      </c>
      <c r="C12" s="20" t="inlineStr">
        <is>
          <t>服務項目</t>
        </is>
      </c>
      <c r="D12" s="20" t="inlineStr">
        <is>
          <t>數量</t>
        </is>
      </c>
      <c r="E12" s="20" t="inlineStr">
        <is>
          <t>單位</t>
        </is>
      </c>
      <c r="F12" s="20" t="inlineStr">
        <is>
          <t>單價（元）</t>
        </is>
      </c>
      <c r="G12" s="20" t="inlineStr">
        <is>
          <t>小計（元）</t>
        </is>
      </c>
    </row>
    <row r="13" ht="32" customHeight="1">
      <c r="A13" t="inlineStr"/>
      <c r="B13" s="24" t="n">
        <v>1</v>
      </c>
      <c r="C13" s="16" t="inlineStr">
        <is>
          <t>網站視覺設計</t>
        </is>
      </c>
      <c r="D13" s="16" t="n">
        <v>1</v>
      </c>
      <c r="E13" s="16" t="inlineStr">
        <is>
          <t>式</t>
        </is>
      </c>
      <c r="F13" s="28" t="n">
        <v>28000</v>
      </c>
      <c r="G13" s="49">
        <f>IF(AND(ISNUMBER(D13),ISNUMBER(F13)),D13*F13,"待填資料")</f>
        <v/>
      </c>
    </row>
    <row r="14" ht="32" customHeight="1">
      <c r="A14" t="inlineStr"/>
      <c r="B14" s="24" t="n">
        <v>2</v>
      </c>
      <c r="C14" s="16" t="inlineStr">
        <is>
          <t>響應式網站開發</t>
        </is>
      </c>
      <c r="D14" s="16" t="n">
        <v>1</v>
      </c>
      <c r="E14" s="16" t="inlineStr">
        <is>
          <t>式</t>
        </is>
      </c>
      <c r="F14" s="28" t="n">
        <v>48000</v>
      </c>
      <c r="G14" s="49">
        <f>IF(AND(ISNUMBER(D13),ISNUMBER(F13)),D13*F13,"待填資料")</f>
        <v/>
      </c>
    </row>
    <row r="15" ht="32" customHeight="1">
      <c r="A15" t="inlineStr"/>
      <c r="B15" s="24" t="n">
        <v>3</v>
      </c>
      <c r="C15" s="16" t="inlineStr">
        <is>
          <t>網站維護服務</t>
        </is>
      </c>
      <c r="D15" s="16" t="n">
        <v>6</v>
      </c>
      <c r="E15" s="16" t="inlineStr">
        <is>
          <t>月</t>
        </is>
      </c>
      <c r="F15" s="28" t="n">
        <v>2500</v>
      </c>
      <c r="G15" s="49">
        <f>IF(AND(ISNUMBER(D13),ISNUMBER(F13)),D13*F13,"待填資料")</f>
        <v/>
      </c>
    </row>
    <row r="16" ht="32" customHeight="1">
      <c r="A16" t="inlineStr"/>
      <c r="C16" s="52" t="n"/>
      <c r="D16" s="52" t="n"/>
      <c r="E16" s="52" t="n"/>
      <c r="F16" s="53" t="n"/>
      <c r="G16" s="49" t="n"/>
    </row>
    <row r="17" ht="32" customHeight="1">
      <c r="F17" s="30" t="inlineStr">
        <is>
          <t>未稅合計</t>
        </is>
      </c>
      <c r="G17" s="50">
        <f>SUM(G13:G14)</f>
        <v/>
      </c>
    </row>
    <row r="18">
      <c r="F18" s="30" t="inlineStr">
        <is>
          <t>營業稅 5%</t>
        </is>
      </c>
      <c r="G18" s="50">
        <f>G15*5%</f>
        <v/>
      </c>
    </row>
    <row r="19">
      <c r="F19" s="31" t="inlineStr">
        <is>
          <t>含稅總計</t>
        </is>
      </c>
      <c r="G19" s="51">
        <f>G15+G16</f>
        <v/>
      </c>
    </row>
    <row r="22" ht="30" customHeight="1">
      <c r="B22" s="22" t="inlineStr">
        <is>
          <t>專案備註與付款條件</t>
        </is>
      </c>
      <c r="C22" s="1" t="n"/>
      <c r="D22" s="1" t="n"/>
      <c r="E22" s="1" t="n"/>
      <c r="F22" s="1" t="n"/>
      <c r="G22" s="1" t="n"/>
    </row>
    <row r="23">
      <c r="B23" s="45" t="inlineStr">
        <is>
          <t>簽約後支付總價 50%，網站驗收後支付尾款 50%；包含一次操作教學。</t>
        </is>
      </c>
      <c r="C23" s="1" t="n"/>
      <c r="D23" s="1" t="n"/>
      <c r="E23" s="1" t="n"/>
      <c r="F23" s="1" t="n"/>
      <c r="G23" s="1" t="n"/>
    </row>
    <row r="24">
      <c r="B24" s="1" t="n"/>
      <c r="G24" s="1" t="n"/>
    </row>
    <row r="25" ht="26" customHeight="1">
      <c r="B25" s="1" t="n"/>
      <c r="C25" s="1" t="n"/>
      <c r="D25" s="1" t="n"/>
      <c r="E25" s="1" t="n"/>
      <c r="F25" s="1" t="n"/>
      <c r="G25" s="1" t="n"/>
    </row>
    <row r="28">
      <c r="B28" s="15" t="inlineStr">
        <is>
          <t>報價有效期限：2026/11/20</t>
        </is>
      </c>
      <c r="C28" s="1" t="n"/>
      <c r="D28" s="1" t="n"/>
      <c r="E28" s="1" t="n"/>
      <c r="F28" s="1" t="n"/>
      <c r="G28" s="1" t="n"/>
    </row>
    <row r="30">
      <c r="B30" s="47" t="n"/>
    </row>
  </sheetData>
  <mergeCells count="14">
    <mergeCell ref="B6:C6"/>
    <mergeCell ref="B2:G3"/>
    <mergeCell ref="D9:G9"/>
    <mergeCell ref="B28:G28"/>
    <mergeCell ref="B7:C7"/>
    <mergeCell ref="B22:G22"/>
    <mergeCell ref="D8:G8"/>
    <mergeCell ref="D6:G6"/>
    <mergeCell ref="B5:C5"/>
    <mergeCell ref="D7:G7"/>
    <mergeCell ref="B23:G25"/>
    <mergeCell ref="B9:C9"/>
    <mergeCell ref="D5:G5"/>
    <mergeCell ref="B8:C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2026-10-21T01:09:43Z</dcterms:created>
  <dcterms:modified xmlns:dcterms="http://purl.org/dc/terms/" xmlns:xsi="http://www.w3.org/2001/XMLSchema-instance" xsi:type="dcterms:W3CDTF">2026-10-21T06:21:38Z</dcterms:modified>
</cp:coreProperties>
</file>