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品成本主檔" sheetId="1" state="visible" r:id="rId1"/>
    <sheet name="全通路銷售明細" sheetId="2" state="visible" r:id="rId2"/>
    <sheet name="多維度營運統計匯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2F5597"/>
      <sz val="14"/>
    </font>
    <font>
      <name val="Microsoft JhengHei"/>
      <b val="1"/>
      <color rgb="00203764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2" customWidth="1" min="1" max="1"/>
    <col width="22.4" customWidth="1" min="2" max="2"/>
    <col width="14" customWidth="1" min="3" max="3"/>
    <col width="16.8" customWidth="1" min="4" max="4"/>
    <col width="16.8" customWidth="1" min="5" max="5"/>
    <col width="14" customWidth="1" min="6" max="6"/>
  </cols>
  <sheetData>
    <row r="1">
      <c r="A1" s="1" t="inlineStr">
        <is>
          <t>【主檔】2026 產品規格定價與單位成本對照表</t>
        </is>
      </c>
    </row>
    <row r="2"/>
    <row r="3">
      <c r="A3" s="2" t="inlineStr">
        <is>
          <t>產品編號</t>
        </is>
      </c>
      <c r="B3" s="2" t="inlineStr">
        <is>
          <t>產品名稱</t>
        </is>
      </c>
      <c r="C3" s="2" t="inlineStr">
        <is>
          <t>產品類別</t>
        </is>
      </c>
      <c r="D3" s="2" t="inlineStr">
        <is>
          <t>標準建議售價 (NTD)</t>
        </is>
      </c>
      <c r="E3" s="2" t="inlineStr">
        <is>
          <t>單位進貨成本 (NTD)</t>
        </is>
      </c>
      <c r="F3" s="2" t="inlineStr">
        <is>
          <t>目標毛利率</t>
        </is>
      </c>
    </row>
    <row r="4">
      <c r="A4" s="3" t="inlineStr">
        <is>
          <t>PROD-001</t>
        </is>
      </c>
      <c r="B4" s="4" t="inlineStr">
        <is>
          <t>人體工學升降辦公桌</t>
        </is>
      </c>
      <c r="C4" s="3" t="inlineStr">
        <is>
          <t>辦公家具</t>
        </is>
      </c>
      <c r="D4" s="5" t="n">
        <v>12800</v>
      </c>
      <c r="E4" s="5" t="n">
        <v>7200</v>
      </c>
      <c r="F4" s="6" t="n">
        <v>0.4375</v>
      </c>
    </row>
    <row r="5">
      <c r="A5" s="3" t="inlineStr">
        <is>
          <t>PROD-002</t>
        </is>
      </c>
      <c r="B5" s="4" t="inlineStr">
        <is>
          <t>高透氣護腰網布主管椅</t>
        </is>
      </c>
      <c r="C5" s="3" t="inlineStr">
        <is>
          <t>辦公家具</t>
        </is>
      </c>
      <c r="D5" s="5" t="n">
        <v>6500</v>
      </c>
      <c r="E5" s="5" t="n">
        <v>3600</v>
      </c>
      <c r="F5" s="6" t="n">
        <v>0.4462</v>
      </c>
    </row>
    <row r="6">
      <c r="A6" s="3" t="inlineStr">
        <is>
          <t>PROD-003</t>
        </is>
      </c>
      <c r="B6" s="4" t="inlineStr">
        <is>
          <t>4K 高畫質降噪視訊會議鏡頭</t>
        </is>
      </c>
      <c r="C6" s="3" t="inlineStr">
        <is>
          <t>數位周邊</t>
        </is>
      </c>
      <c r="D6" s="5" t="n">
        <v>3800</v>
      </c>
      <c r="E6" s="5" t="n">
        <v>2100</v>
      </c>
      <c r="F6" s="6" t="n">
        <v>0.4474</v>
      </c>
    </row>
    <row r="7">
      <c r="A7" s="3" t="inlineStr">
        <is>
          <t>PROD-004</t>
        </is>
      </c>
      <c r="B7" s="4" t="inlineStr">
        <is>
          <t>商務型多功能雙模無線滑鼠</t>
        </is>
      </c>
      <c r="C7" s="3" t="inlineStr">
        <is>
          <t>數位周邊</t>
        </is>
      </c>
      <c r="D7" s="5" t="n">
        <v>890</v>
      </c>
      <c r="E7" s="5" t="n">
        <v>450</v>
      </c>
      <c r="F7" s="6" t="n">
        <v>0.4944</v>
      </c>
    </row>
    <row r="8">
      <c r="A8" s="3" t="inlineStr">
        <is>
          <t>PROD-005</t>
        </is>
      </c>
      <c r="B8" s="4" t="inlineStr">
        <is>
          <t>USB-C 九合一鋁合金擴充基座</t>
        </is>
      </c>
      <c r="C8" s="3" t="inlineStr">
        <is>
          <t>數位周邊</t>
        </is>
      </c>
      <c r="D8" s="5" t="n">
        <v>2490</v>
      </c>
      <c r="E8" s="5" t="n">
        <v>1350</v>
      </c>
      <c r="F8" s="6" t="n">
        <v>0.4578</v>
      </c>
    </row>
    <row r="9">
      <c r="A9" s="3" t="inlineStr">
        <is>
          <t>PROD-006</t>
        </is>
      </c>
      <c r="B9" s="4" t="inlineStr">
        <is>
          <t>鋁合金折疊便攜筆電支架</t>
        </is>
      </c>
      <c r="C9" s="3" t="inlineStr">
        <is>
          <t>辦公配件</t>
        </is>
      </c>
      <c r="D9" s="5" t="n">
        <v>1290</v>
      </c>
      <c r="E9" s="5" t="n">
        <v>680</v>
      </c>
      <c r="F9" s="6" t="n">
        <v>0.4729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3.2" customWidth="1" min="1" max="1"/>
    <col width="14" customWidth="1" min="2" max="2"/>
    <col width="14" customWidth="1" min="3" max="3"/>
    <col width="14" customWidth="1" min="4" max="4"/>
    <col width="62.99999999999999" customWidth="1" min="5" max="5"/>
    <col width="14" customWidth="1" min="6" max="6"/>
    <col width="14" customWidth="1" min="7" max="7"/>
    <col width="14" customWidth="1" min="8" max="8"/>
    <col width="56" customWidth="1" min="9" max="9"/>
    <col width="14" customWidth="1" min="10" max="10"/>
    <col width="14" customWidth="1" min="11" max="11"/>
  </cols>
  <sheetData>
    <row r="1">
      <c r="A1" s="7" t="inlineStr">
        <is>
          <t>【交易明細】2026 第一季全通路銷售明細（跨表 XLOOKUP 動態串接）</t>
        </is>
      </c>
    </row>
    <row r="2"/>
    <row r="3">
      <c r="A3" s="8" t="inlineStr">
        <is>
          <t>訂單編號</t>
        </is>
      </c>
      <c r="B3" s="8" t="inlineStr">
        <is>
          <t>銷售日期</t>
        </is>
      </c>
      <c r="C3" s="8" t="inlineStr">
        <is>
          <t>銷售通路</t>
        </is>
      </c>
      <c r="D3" s="8" t="inlineStr">
        <is>
          <t>產品編號</t>
        </is>
      </c>
      <c r="E3" s="8" t="inlineStr">
        <is>
          <t>產品名稱 (XLOOKUP)</t>
        </is>
      </c>
      <c r="F3" s="8" t="inlineStr">
        <is>
          <t>銷售數量</t>
        </is>
      </c>
      <c r="G3" s="8" t="inlineStr">
        <is>
          <t>實銷單價(NTD)</t>
        </is>
      </c>
      <c r="H3" s="8" t="inlineStr">
        <is>
          <t>訂單總營收(NTD)</t>
        </is>
      </c>
      <c r="I3" s="8" t="inlineStr">
        <is>
          <t>單位成本(XLOOKUP)</t>
        </is>
      </c>
      <c r="J3" s="8" t="inlineStr">
        <is>
          <t>訂單總成本(NTD)</t>
        </is>
      </c>
      <c r="K3" s="8" t="inlineStr">
        <is>
          <t>訂單毛利(NTD)</t>
        </is>
      </c>
    </row>
    <row r="4">
      <c r="A4" s="3" t="inlineStr">
        <is>
          <t>ORD-2026-0101</t>
        </is>
      </c>
      <c r="B4" s="3" t="inlineStr">
        <is>
          <t>2026-01-05</t>
        </is>
      </c>
      <c r="C4" s="3" t="inlineStr">
        <is>
          <t>品牌官網</t>
        </is>
      </c>
      <c r="D4" s="3" t="inlineStr">
        <is>
          <t>PROD-001</t>
        </is>
      </c>
      <c r="E4" s="4">
        <f>XLOOKUP(D4, 產品成本主檔!A:A, 產品成本主檔!B:B, "未知品項")</f>
        <v/>
      </c>
      <c r="F4" s="5" t="n">
        <v>3</v>
      </c>
      <c r="G4" s="5" t="n">
        <v>12800</v>
      </c>
      <c r="H4" s="5">
        <f>F4*G4</f>
        <v/>
      </c>
      <c r="I4" s="5">
        <f>XLOOKUP(D4, 產品成本主檔!A:A, 產品成本主檔!E:E, 0)</f>
        <v/>
      </c>
      <c r="J4" s="5">
        <f>F4*I4</f>
        <v/>
      </c>
      <c r="K4" s="5">
        <f>H4-J4</f>
        <v/>
      </c>
    </row>
    <row r="5">
      <c r="A5" s="3" t="inlineStr">
        <is>
          <t>ORD-2026-0102</t>
        </is>
      </c>
      <c r="B5" s="3" t="inlineStr">
        <is>
          <t>2026-01-08</t>
        </is>
      </c>
      <c r="C5" s="3" t="inlineStr">
        <is>
          <t>電商平台</t>
        </is>
      </c>
      <c r="D5" s="3" t="inlineStr">
        <is>
          <t>PROD-002</t>
        </is>
      </c>
      <c r="E5" s="4">
        <f>XLOOKUP(D5, 產品成本主檔!A:A, 產品成本主檔!B:B, "未知品項")</f>
        <v/>
      </c>
      <c r="F5" s="5" t="n">
        <v>8</v>
      </c>
      <c r="G5" s="5" t="n">
        <v>6200</v>
      </c>
      <c r="H5" s="5">
        <f>F5*G5</f>
        <v/>
      </c>
      <c r="I5" s="5">
        <f>XLOOKUP(D5, 產品成本主檔!A:A, 產品成本主檔!E:E, 0)</f>
        <v/>
      </c>
      <c r="J5" s="5">
        <f>F5*I5</f>
        <v/>
      </c>
      <c r="K5" s="5">
        <f>H5-J5</f>
        <v/>
      </c>
    </row>
    <row r="6">
      <c r="A6" s="3" t="inlineStr">
        <is>
          <t>ORD-2026-0103</t>
        </is>
      </c>
      <c r="B6" s="3" t="inlineStr">
        <is>
          <t>2026-01-12</t>
        </is>
      </c>
      <c r="C6" s="3" t="inlineStr">
        <is>
          <t>實體門市</t>
        </is>
      </c>
      <c r="D6" s="3" t="inlineStr">
        <is>
          <t>PROD-004</t>
        </is>
      </c>
      <c r="E6" s="4">
        <f>XLOOKUP(D6, 產品成本主檔!A:A, 產品成本主檔!B:B, "未知品項")</f>
        <v/>
      </c>
      <c r="F6" s="5" t="n">
        <v>25</v>
      </c>
      <c r="G6" s="5" t="n">
        <v>890</v>
      </c>
      <c r="H6" s="5">
        <f>F6*G6</f>
        <v/>
      </c>
      <c r="I6" s="5">
        <f>XLOOKUP(D6, 產品成本主檔!A:A, 產品成本主檔!E:E, 0)</f>
        <v/>
      </c>
      <c r="J6" s="5">
        <f>F6*I6</f>
        <v/>
      </c>
      <c r="K6" s="5">
        <f>H6-J6</f>
        <v/>
      </c>
    </row>
    <row r="7">
      <c r="A7" s="3" t="inlineStr">
        <is>
          <t>ORD-2026-0104</t>
        </is>
      </c>
      <c r="B7" s="3" t="inlineStr">
        <is>
          <t>2026-01-18</t>
        </is>
      </c>
      <c r="C7" s="3" t="inlineStr">
        <is>
          <t>企業採購</t>
        </is>
      </c>
      <c r="D7" s="3" t="inlineStr">
        <is>
          <t>PROD-001</t>
        </is>
      </c>
      <c r="E7" s="4">
        <f>XLOOKUP(D7, 產品成本主檔!A:A, 產品成本主檔!B:B, "未知品項")</f>
        <v/>
      </c>
      <c r="F7" s="5" t="n">
        <v>10</v>
      </c>
      <c r="G7" s="5" t="n">
        <v>11500</v>
      </c>
      <c r="H7" s="5">
        <f>F7*G7</f>
        <v/>
      </c>
      <c r="I7" s="5">
        <f>XLOOKUP(D7, 產品成本主檔!A:A, 產品成本主檔!E:E, 0)</f>
        <v/>
      </c>
      <c r="J7" s="5">
        <f>F7*I7</f>
        <v/>
      </c>
      <c r="K7" s="5">
        <f>H7-J7</f>
        <v/>
      </c>
    </row>
    <row r="8">
      <c r="A8" s="3" t="inlineStr">
        <is>
          <t>ORD-2026-0201</t>
        </is>
      </c>
      <c r="B8" s="3" t="inlineStr">
        <is>
          <t>2026-02-03</t>
        </is>
      </c>
      <c r="C8" s="3" t="inlineStr">
        <is>
          <t>品牌官網</t>
        </is>
      </c>
      <c r="D8" s="3" t="inlineStr">
        <is>
          <t>PROD-003</t>
        </is>
      </c>
      <c r="E8" s="4">
        <f>XLOOKUP(D8, 產品成本主檔!A:A, 產品成本主檔!B:B, "未知品項")</f>
        <v/>
      </c>
      <c r="F8" s="5" t="n">
        <v>6</v>
      </c>
      <c r="G8" s="5" t="n">
        <v>3800</v>
      </c>
      <c r="H8" s="5">
        <f>F8*G8</f>
        <v/>
      </c>
      <c r="I8" s="5">
        <f>XLOOKUP(D8, 產品成本主檔!A:A, 產品成本主檔!E:E, 0)</f>
        <v/>
      </c>
      <c r="J8" s="5">
        <f>F8*I8</f>
        <v/>
      </c>
      <c r="K8" s="5">
        <f>H8-J8</f>
        <v/>
      </c>
    </row>
    <row r="9">
      <c r="A9" s="3" t="inlineStr">
        <is>
          <t>ORD-2026-0202</t>
        </is>
      </c>
      <c r="B9" s="3" t="inlineStr">
        <is>
          <t>2026-02-10</t>
        </is>
      </c>
      <c r="C9" s="3" t="inlineStr">
        <is>
          <t>電商平台</t>
        </is>
      </c>
      <c r="D9" s="3" t="inlineStr">
        <is>
          <t>PROD-005</t>
        </is>
      </c>
      <c r="E9" s="4">
        <f>XLOOKUP(D9, 產品成本主檔!A:A, 產品成本主檔!B:B, "未知品項")</f>
        <v/>
      </c>
      <c r="F9" s="5" t="n">
        <v>15</v>
      </c>
      <c r="G9" s="5" t="n">
        <v>2390</v>
      </c>
      <c r="H9" s="5">
        <f>F9*G9</f>
        <v/>
      </c>
      <c r="I9" s="5">
        <f>XLOOKUP(D9, 產品成本主檔!A:A, 產品成本主檔!E:E, 0)</f>
        <v/>
      </c>
      <c r="J9" s="5">
        <f>F9*I9</f>
        <v/>
      </c>
      <c r="K9" s="5">
        <f>H9-J9</f>
        <v/>
      </c>
    </row>
    <row r="10">
      <c r="A10" s="3" t="inlineStr">
        <is>
          <t>ORD-2026-0203</t>
        </is>
      </c>
      <c r="B10" s="3" t="inlineStr">
        <is>
          <t>2026-02-17</t>
        </is>
      </c>
      <c r="C10" s="3" t="inlineStr">
        <is>
          <t>實體門市</t>
        </is>
      </c>
      <c r="D10" s="3" t="inlineStr">
        <is>
          <t>PROD-002</t>
        </is>
      </c>
      <c r="E10" s="4">
        <f>XLOOKUP(D10, 產品成本主檔!A:A, 產品成本主檔!B:B, "未知品項")</f>
        <v/>
      </c>
      <c r="F10" s="5" t="n">
        <v>4</v>
      </c>
      <c r="G10" s="5" t="n">
        <v>6500</v>
      </c>
      <c r="H10" s="5">
        <f>F10*G10</f>
        <v/>
      </c>
      <c r="I10" s="5">
        <f>XLOOKUP(D10, 產品成本主檔!A:A, 產品成本主檔!E:E, 0)</f>
        <v/>
      </c>
      <c r="J10" s="5">
        <f>F10*I10</f>
        <v/>
      </c>
      <c r="K10" s="5">
        <f>H10-J10</f>
        <v/>
      </c>
    </row>
    <row r="11">
      <c r="A11" s="3" t="inlineStr">
        <is>
          <t>ORD-2026-0204</t>
        </is>
      </c>
      <c r="B11" s="3" t="inlineStr">
        <is>
          <t>2026-02-25</t>
        </is>
      </c>
      <c r="C11" s="3" t="inlineStr">
        <is>
          <t>企業採購</t>
        </is>
      </c>
      <c r="D11" s="3" t="inlineStr">
        <is>
          <t>PROD-004</t>
        </is>
      </c>
      <c r="E11" s="4">
        <f>XLOOKUP(D11, 產品成本主檔!A:A, 產品成本主檔!B:B, "未知品項")</f>
        <v/>
      </c>
      <c r="F11" s="5" t="n">
        <v>50</v>
      </c>
      <c r="G11" s="5" t="n">
        <v>780</v>
      </c>
      <c r="H11" s="5">
        <f>F11*G11</f>
        <v/>
      </c>
      <c r="I11" s="5">
        <f>XLOOKUP(D11, 產品成本主檔!A:A, 產品成本主檔!E:E, 0)</f>
        <v/>
      </c>
      <c r="J11" s="5">
        <f>F11*I11</f>
        <v/>
      </c>
      <c r="K11" s="5">
        <f>H11-J11</f>
        <v/>
      </c>
    </row>
    <row r="12">
      <c r="A12" s="3" t="inlineStr">
        <is>
          <t>ORD-2026-0301</t>
        </is>
      </c>
      <c r="B12" s="3" t="inlineStr">
        <is>
          <t>2026-03-05</t>
        </is>
      </c>
      <c r="C12" s="3" t="inlineStr">
        <is>
          <t>品牌官網</t>
        </is>
      </c>
      <c r="D12" s="3" t="inlineStr">
        <is>
          <t>PROD-006</t>
        </is>
      </c>
      <c r="E12" s="4">
        <f>XLOOKUP(D12, 產品成本主檔!A:A, 產品成本主檔!B:B, "未知品項")</f>
        <v/>
      </c>
      <c r="F12" s="5" t="n">
        <v>20</v>
      </c>
      <c r="G12" s="5" t="n">
        <v>1290</v>
      </c>
      <c r="H12" s="5">
        <f>F12*G12</f>
        <v/>
      </c>
      <c r="I12" s="5">
        <f>XLOOKUP(D12, 產品成本主檔!A:A, 產品成本主檔!E:E, 0)</f>
        <v/>
      </c>
      <c r="J12" s="5">
        <f>F12*I12</f>
        <v/>
      </c>
      <c r="K12" s="5">
        <f>H12-J12</f>
        <v/>
      </c>
    </row>
    <row r="13">
      <c r="A13" s="3" t="inlineStr">
        <is>
          <t>ORD-2026-0302</t>
        </is>
      </c>
      <c r="B13" s="3" t="inlineStr">
        <is>
          <t>2026-03-12</t>
        </is>
      </c>
      <c r="C13" s="3" t="inlineStr">
        <is>
          <t>電商平台</t>
        </is>
      </c>
      <c r="D13" s="3" t="inlineStr">
        <is>
          <t>PROD-001</t>
        </is>
      </c>
      <c r="E13" s="4">
        <f>XLOOKUP(D13, 產品成本主檔!A:A, 產品成本主檔!B:B, "未知品項")</f>
        <v/>
      </c>
      <c r="F13" s="5" t="n">
        <v>5</v>
      </c>
      <c r="G13" s="5" t="n">
        <v>12800</v>
      </c>
      <c r="H13" s="5">
        <f>F13*G13</f>
        <v/>
      </c>
      <c r="I13" s="5">
        <f>XLOOKUP(D13, 產品成本主檔!A:A, 產品成本主檔!E:E, 0)</f>
        <v/>
      </c>
      <c r="J13" s="5">
        <f>F13*I13</f>
        <v/>
      </c>
      <c r="K13" s="5">
        <f>H13-J13</f>
        <v/>
      </c>
    </row>
    <row r="14">
      <c r="A14" s="3" t="inlineStr">
        <is>
          <t>ORD-2026-0303</t>
        </is>
      </c>
      <c r="B14" s="3" t="inlineStr">
        <is>
          <t>2026-03-20</t>
        </is>
      </c>
      <c r="C14" s="3" t="inlineStr">
        <is>
          <t>實體門市</t>
        </is>
      </c>
      <c r="D14" s="3" t="inlineStr">
        <is>
          <t>PROD-003</t>
        </is>
      </c>
      <c r="E14" s="4">
        <f>XLOOKUP(D14, 產品成本主檔!A:A, 產品成本主檔!B:B, "未知品項")</f>
        <v/>
      </c>
      <c r="F14" s="5" t="n">
        <v>8</v>
      </c>
      <c r="G14" s="5" t="n">
        <v>3800</v>
      </c>
      <c r="H14" s="5">
        <f>F14*G14</f>
        <v/>
      </c>
      <c r="I14" s="5">
        <f>XLOOKUP(D14, 產品成本主檔!A:A, 產品成本主檔!E:E, 0)</f>
        <v/>
      </c>
      <c r="J14" s="5">
        <f>F14*I14</f>
        <v/>
      </c>
      <c r="K14" s="5">
        <f>H14-J14</f>
        <v/>
      </c>
    </row>
    <row r="15">
      <c r="A15" s="3" t="inlineStr">
        <is>
          <t>ORD-2026-0304</t>
        </is>
      </c>
      <c r="B15" s="3" t="inlineStr">
        <is>
          <t>2026-03-28</t>
        </is>
      </c>
      <c r="C15" s="3" t="inlineStr">
        <is>
          <t>企業採購</t>
        </is>
      </c>
      <c r="D15" s="3" t="inlineStr">
        <is>
          <t>PROD-002</t>
        </is>
      </c>
      <c r="E15" s="4">
        <f>XLOOKUP(D15, 產品成本主檔!A:A, 產品成本主檔!B:B, "未知品項")</f>
        <v/>
      </c>
      <c r="F15" s="5" t="n">
        <v>12</v>
      </c>
      <c r="G15" s="5" t="n">
        <v>6000</v>
      </c>
      <c r="H15" s="5">
        <f>F15*G15</f>
        <v/>
      </c>
      <c r="I15" s="5">
        <f>XLOOKUP(D15, 產品成本主檔!A:A, 產品成本主檔!E:E, 0)</f>
        <v/>
      </c>
      <c r="J15" s="5">
        <f>F15*I15</f>
        <v/>
      </c>
      <c r="K15" s="5">
        <f>H15-J15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6.2" customWidth="1" min="1" max="1"/>
    <col width="35" customWidth="1" min="2" max="2"/>
    <col width="50.4" customWidth="1" min="3" max="3"/>
    <col width="50.4" customWidth="1" min="4" max="4"/>
    <col width="50.4" customWidth="1" min="5" max="5"/>
    <col width="50.4" customWidth="1" min="6" max="6"/>
    <col width="14" customWidth="1" min="7" max="7"/>
  </cols>
  <sheetData>
    <row r="1">
      <c r="A1" s="9" t="inlineStr">
        <is>
          <t>【統計匯總】各通路營收與毛利多維度分析（SUMIFS 多條件統計）</t>
        </is>
      </c>
    </row>
    <row r="2"/>
    <row r="3">
      <c r="A3" s="10" t="inlineStr">
        <is>
          <t>銷售通路</t>
        </is>
      </c>
      <c r="B3" s="10" t="inlineStr">
        <is>
          <t>訂單筆數 (COUNTIF)</t>
        </is>
      </c>
      <c r="C3" s="10" t="inlineStr">
        <is>
          <t>銷售總數量 (SUMIF)</t>
        </is>
      </c>
      <c r="D3" s="10" t="inlineStr">
        <is>
          <t>總營收 (SUMIF)</t>
        </is>
      </c>
      <c r="E3" s="10" t="inlineStr">
        <is>
          <t>總成本 (SUMIF)</t>
        </is>
      </c>
      <c r="F3" s="10" t="inlineStr">
        <is>
          <t>總毛利 (SUMIF)</t>
        </is>
      </c>
      <c r="G3" s="10" t="inlineStr">
        <is>
          <t>平均毛利率</t>
        </is>
      </c>
    </row>
    <row r="4">
      <c r="A4" s="3" t="inlineStr">
        <is>
          <t>品牌官網</t>
        </is>
      </c>
      <c r="B4" s="5">
        <f>COUNTIF(全通路銷售明細!C:C, A4)</f>
        <v/>
      </c>
      <c r="C4" s="5">
        <f>SUMIF(全通路銷售明細!C:C, A4, 全通路銷售明細!F:F)</f>
        <v/>
      </c>
      <c r="D4" s="5">
        <f>SUMIF(全通路銷售明細!C:C, A4, 全通路銷售明細!H:H)</f>
        <v/>
      </c>
      <c r="E4" s="5">
        <f>SUMIF(全通路銷售明細!C:C, A4, 全通路銷售明細!J:J)</f>
        <v/>
      </c>
      <c r="F4" s="5">
        <f>SUMIF(全通路銷售明細!C:C, A4, 全通路銷售明細!K:K)</f>
        <v/>
      </c>
      <c r="G4" s="6">
        <f>F4/D4</f>
        <v/>
      </c>
    </row>
    <row r="5">
      <c r="A5" s="3" t="inlineStr">
        <is>
          <t>電商平台</t>
        </is>
      </c>
      <c r="B5" s="5">
        <f>COUNTIF(全通路銷售明細!C:C, A5)</f>
        <v/>
      </c>
      <c r="C5" s="5">
        <f>SUMIF(全通路銷售明細!C:C, A5, 全通路銷售明細!F:F)</f>
        <v/>
      </c>
      <c r="D5" s="5">
        <f>SUMIF(全通路銷售明細!C:C, A5, 全通路銷售明細!H:H)</f>
        <v/>
      </c>
      <c r="E5" s="5">
        <f>SUMIF(全通路銷售明細!C:C, A5, 全通路銷售明細!J:J)</f>
        <v/>
      </c>
      <c r="F5" s="5">
        <f>SUMIF(全通路銷售明細!C:C, A5, 全通路銷售明細!K:K)</f>
        <v/>
      </c>
      <c r="G5" s="6">
        <f>F5/D5</f>
        <v/>
      </c>
    </row>
    <row r="6">
      <c r="A6" s="3" t="inlineStr">
        <is>
          <t>實體門市</t>
        </is>
      </c>
      <c r="B6" s="5">
        <f>COUNTIF(全通路銷售明細!C:C, A6)</f>
        <v/>
      </c>
      <c r="C6" s="5">
        <f>SUMIF(全通路銷售明細!C:C, A6, 全通路銷售明細!F:F)</f>
        <v/>
      </c>
      <c r="D6" s="5">
        <f>SUMIF(全通路銷售明細!C:C, A6, 全通路銷售明細!H:H)</f>
        <v/>
      </c>
      <c r="E6" s="5">
        <f>SUMIF(全通路銷售明細!C:C, A6, 全通路銷售明細!J:J)</f>
        <v/>
      </c>
      <c r="F6" s="5">
        <f>SUMIF(全通路銷售明細!C:C, A6, 全通路銷售明細!K:K)</f>
        <v/>
      </c>
      <c r="G6" s="6">
        <f>F6/D6</f>
        <v/>
      </c>
    </row>
    <row r="7">
      <c r="A7" s="3" t="inlineStr">
        <is>
          <t>企業採購</t>
        </is>
      </c>
      <c r="B7" s="5">
        <f>COUNTIF(全通路銷售明細!C:C, A7)</f>
        <v/>
      </c>
      <c r="C7" s="5">
        <f>SUMIF(全通路銷售明細!C:C, A7, 全通路銷售明細!F:F)</f>
        <v/>
      </c>
      <c r="D7" s="5">
        <f>SUMIF(全通路銷售明細!C:C, A7, 全通路銷售明細!H:H)</f>
        <v/>
      </c>
      <c r="E7" s="5">
        <f>SUMIF(全通路銷售明細!C:C, A7, 全通路銷售明細!J:J)</f>
        <v/>
      </c>
      <c r="F7" s="5">
        <f>SUMIF(全通路銷售明細!C:C, A7, 全通路銷售明細!K:K)</f>
        <v/>
      </c>
      <c r="G7" s="6">
        <f>F7/D7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2026-10-06T13:21:25Z</dcterms:created>
  <dcterms:modified xsi:type="dcterms:W3CDTF">2026-10-06T13:21:25Z</dcterms:modified>
</cp:coreProperties>
</file>