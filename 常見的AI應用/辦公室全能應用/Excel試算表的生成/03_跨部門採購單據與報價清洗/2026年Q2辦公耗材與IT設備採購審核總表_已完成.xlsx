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採購審核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8" customWidth="1" min="4" max="4"/>
    <col width="22" customWidth="1" min="5" max="5"/>
    <col width="14" customWidth="1" min="6" max="6"/>
    <col width="16" customWidth="1" min="7" max="7"/>
    <col width="22" customWidth="1" min="8" max="8"/>
    <col width="28" customWidth="1" min="9" max="9"/>
    <col width="14" customWidth="1" min="10" max="10"/>
    <col width="14" customWidth="1" min="11" max="11"/>
  </cols>
  <sheetData>
    <row r="1">
      <c r="A1" s="1" t="inlineStr">
        <is>
          <t>項次</t>
        </is>
      </c>
      <c r="B1" s="1" t="inlineStr">
        <is>
          <t>申請部門</t>
        </is>
      </c>
      <c r="C1" s="1" t="inlineStr">
        <is>
          <t>申請人員</t>
        </is>
      </c>
      <c r="D1" s="1" t="inlineStr">
        <is>
          <t>採購項目與規格</t>
        </is>
      </c>
      <c r="E1" s="1" t="inlineStr">
        <is>
          <t>數量</t>
        </is>
      </c>
      <c r="F1" s="1" t="inlineStr">
        <is>
          <t>單位</t>
        </is>
      </c>
      <c r="G1" s="1" t="inlineStr">
        <is>
          <t>單價 (NTD)</t>
        </is>
      </c>
      <c r="H1" s="1" t="inlineStr">
        <is>
          <t>總額 (NTD)</t>
        </is>
      </c>
      <c r="I1" s="1" t="inlineStr">
        <is>
          <t>原幣單價與幣別</t>
        </is>
      </c>
      <c r="J1" s="1" t="inlineStr">
        <is>
          <t>審核狀態</t>
        </is>
      </c>
      <c r="K1" s="1" t="inlineStr">
        <is>
          <t>預算科目</t>
        </is>
      </c>
    </row>
    <row r="2">
      <c r="A2" s="2" t="n">
        <v>1</v>
      </c>
      <c r="B2" s="2" t="inlineStr">
        <is>
          <t>資訊技術部</t>
        </is>
      </c>
      <c r="C2" s="2" t="inlineStr">
        <is>
          <t>林經理</t>
        </is>
      </c>
      <c r="D2" s="3" t="inlineStr">
        <is>
          <t>人體工學高透氣辦公椅</t>
        </is>
      </c>
      <c r="E2" s="4" t="n">
        <v>5</v>
      </c>
      <c r="F2" s="2" t="inlineStr">
        <is>
          <t>張</t>
        </is>
      </c>
      <c r="G2" s="5" t="n">
        <v>6500</v>
      </c>
      <c r="H2" s="5">
        <f>E2*G2</f>
        <v/>
      </c>
      <c r="I2" s="2" t="inlineStr">
        <is>
          <t>NT$ 6,500</t>
        </is>
      </c>
      <c r="J2" s="2" t="inlineStr">
        <is>
          <t>核准</t>
        </is>
      </c>
      <c r="K2" s="2" t="inlineStr">
        <is>
          <t>資本支出</t>
        </is>
      </c>
    </row>
    <row r="3">
      <c r="A3" s="2" t="n">
        <v>2</v>
      </c>
      <c r="B3" s="2" t="inlineStr">
        <is>
          <t>資訊技術部</t>
        </is>
      </c>
      <c r="C3" s="2" t="inlineStr">
        <is>
          <t>林經理</t>
        </is>
      </c>
      <c r="D3" s="3" t="inlineStr">
        <is>
          <t>Dell 27吋 4K 專業雙螢幕支架</t>
        </is>
      </c>
      <c r="E3" s="4" t="n">
        <v>3</v>
      </c>
      <c r="F3" s="2" t="inlineStr">
        <is>
          <t>組</t>
        </is>
      </c>
      <c r="G3" s="5" t="n">
        <v>3200</v>
      </c>
      <c r="H3" s="5">
        <f>E3*G3</f>
        <v/>
      </c>
      <c r="I3" s="2" t="inlineStr">
        <is>
          <t>NT$ 3,200</t>
        </is>
      </c>
      <c r="J3" s="2" t="inlineStr">
        <is>
          <t>核准</t>
        </is>
      </c>
      <c r="K3" s="2" t="inlineStr">
        <is>
          <t>辦公設備</t>
        </is>
      </c>
    </row>
    <row r="4">
      <c r="A4" s="2" t="n">
        <v>3</v>
      </c>
      <c r="B4" s="2" t="inlineStr">
        <is>
          <t>資訊技術部</t>
        </is>
      </c>
      <c r="C4" s="2" t="inlineStr">
        <is>
          <t>張工程師</t>
        </is>
      </c>
      <c r="D4" s="3" t="inlineStr">
        <is>
          <t>企業級伺服器備用硬碟 4TB</t>
        </is>
      </c>
      <c r="E4" s="4" t="n">
        <v>2</v>
      </c>
      <c r="F4" s="2" t="inlineStr">
        <is>
          <t>顆</t>
        </is>
      </c>
      <c r="G4" s="5" t="n">
        <v>6400</v>
      </c>
      <c r="H4" s="5">
        <f>E4*G4</f>
        <v/>
      </c>
      <c r="I4" s="2" t="inlineStr">
        <is>
          <t>USD 200 (匯率32)</t>
        </is>
      </c>
      <c r="J4" s="2" t="inlineStr">
        <is>
          <t>核准</t>
        </is>
      </c>
      <c r="K4" s="2" t="inlineStr">
        <is>
          <t>資訊耗材</t>
        </is>
      </c>
    </row>
    <row r="5">
      <c r="A5" s="2" t="n">
        <v>4</v>
      </c>
      <c r="B5" s="2" t="inlineStr">
        <is>
          <t>行政總務部</t>
        </is>
      </c>
      <c r="C5" s="2" t="inlineStr">
        <is>
          <t>王組長</t>
        </is>
      </c>
      <c r="D5" s="3" t="inlineStr">
        <is>
          <t>多功能彩色雷射複合機碳粉組</t>
        </is>
      </c>
      <c r="E5" s="4" t="n">
        <v>4</v>
      </c>
      <c r="F5" s="2" t="inlineStr">
        <is>
          <t>套</t>
        </is>
      </c>
      <c r="G5" s="5" t="n">
        <v>4800</v>
      </c>
      <c r="H5" s="5">
        <f>E5*G5</f>
        <v/>
      </c>
      <c r="I5" s="2" t="inlineStr">
        <is>
          <t>NT$ 4,800</t>
        </is>
      </c>
      <c r="J5" s="2" t="inlineStr">
        <is>
          <t>核准</t>
        </is>
      </c>
      <c r="K5" s="2" t="inlineStr">
        <is>
          <t>一般事務費</t>
        </is>
      </c>
    </row>
    <row r="6">
      <c r="A6" s="2" t="n">
        <v>5</v>
      </c>
      <c r="B6" s="2" t="inlineStr">
        <is>
          <t>行銷公關處</t>
        </is>
      </c>
      <c r="C6" s="2" t="inlineStr">
        <is>
          <t>陳總監</t>
        </is>
      </c>
      <c r="D6" s="3" t="inlineStr">
        <is>
          <t>發表會高流明無線投影簡報筆</t>
        </is>
      </c>
      <c r="E6" s="4" t="n">
        <v>2</v>
      </c>
      <c r="F6" s="2" t="inlineStr">
        <is>
          <t>支</t>
        </is>
      </c>
      <c r="G6" s="5" t="n">
        <v>1250</v>
      </c>
      <c r="H6" s="5">
        <f>E6*G6</f>
        <v/>
      </c>
      <c r="I6" s="2" t="inlineStr">
        <is>
          <t>NT$ 1,250</t>
        </is>
      </c>
      <c r="J6" s="2" t="inlineStr">
        <is>
          <t>核准</t>
        </is>
      </c>
      <c r="K6" s="2" t="inlineStr">
        <is>
          <t>活動耗材</t>
        </is>
      </c>
    </row>
    <row r="7">
      <c r="A7" s="2" t="n">
        <v>6</v>
      </c>
      <c r="B7" s="2" t="inlineStr">
        <is>
          <t>人力資源處</t>
        </is>
      </c>
      <c r="C7" s="2" t="inlineStr">
        <is>
          <t>趙專員</t>
        </is>
      </c>
      <c r="D7" s="3" t="inlineStr">
        <is>
          <t>新進同仁到職識別證卡套與織帶</t>
        </is>
      </c>
      <c r="E7" s="4" t="n">
        <v>100</v>
      </c>
      <c r="F7" s="2" t="inlineStr">
        <is>
          <t>份</t>
        </is>
      </c>
      <c r="G7" s="5" t="n">
        <v>65</v>
      </c>
      <c r="H7" s="5">
        <f>E7*G7</f>
        <v/>
      </c>
      <c r="I7" s="2" t="inlineStr">
        <is>
          <t>NT$ 65</t>
        </is>
      </c>
      <c r="J7" s="2" t="inlineStr">
        <is>
          <t>核准</t>
        </is>
      </c>
      <c r="K7" s="2" t="inlineStr">
        <is>
          <t>員工培育</t>
        </is>
      </c>
    </row>
    <row r="8">
      <c r="A8" s="2" t="n">
        <v>7</v>
      </c>
      <c r="B8" s="2" t="inlineStr">
        <is>
          <t>財務會計處</t>
        </is>
      </c>
      <c r="C8" s="2" t="inlineStr">
        <is>
          <t>周副理</t>
        </is>
      </c>
      <c r="D8" s="3" t="inlineStr">
        <is>
          <t>高容量碎紙機 (德國DIN-4安全級)</t>
        </is>
      </c>
      <c r="E8" s="4" t="n">
        <v>1</v>
      </c>
      <c r="F8" s="2" t="inlineStr">
        <is>
          <t>台</t>
        </is>
      </c>
      <c r="G8" s="5" t="n">
        <v>14500</v>
      </c>
      <c r="H8" s="5">
        <f>E8*G8</f>
        <v/>
      </c>
      <c r="I8" s="2" t="inlineStr">
        <is>
          <t>NT$ 14,500</t>
        </is>
      </c>
      <c r="J8" s="2" t="inlineStr">
        <is>
          <t>核准</t>
        </is>
      </c>
      <c r="K8" s="2" t="inlineStr">
        <is>
          <t>生財器具</t>
        </is>
      </c>
    </row>
    <row r="9">
      <c r="A9" s="2" t="n">
        <v>8</v>
      </c>
      <c r="B9" s="2" t="inlineStr">
        <is>
          <t>業務發展部</t>
        </is>
      </c>
      <c r="C9" s="2" t="inlineStr">
        <is>
          <t>孫協理</t>
        </is>
      </c>
      <c r="D9" s="3" t="inlineStr">
        <is>
          <t>外勤客戶展示用輕量無線鍵鼠組</t>
        </is>
      </c>
      <c r="E9" s="4" t="n">
        <v>6</v>
      </c>
      <c r="F9" s="2" t="inlineStr">
        <is>
          <t>套</t>
        </is>
      </c>
      <c r="G9" s="5" t="n">
        <v>1150</v>
      </c>
      <c r="H9" s="5">
        <f>E9*G9</f>
        <v/>
      </c>
      <c r="I9" s="2" t="inlineStr">
        <is>
          <t>NT$ 1,150</t>
        </is>
      </c>
      <c r="J9" s="2" t="inlineStr">
        <is>
          <t>核准</t>
        </is>
      </c>
      <c r="K9" s="2" t="inlineStr">
        <is>
          <t>業務拓展</t>
        </is>
      </c>
    </row>
    <row r="10">
      <c r="A10" s="6" t="inlineStr">
        <is>
          <t>合計</t>
        </is>
      </c>
      <c r="B10" s="6" t="inlineStr"/>
      <c r="C10" s="6" t="inlineStr"/>
      <c r="D10" s="7" t="inlineStr"/>
      <c r="E10" s="8">
        <f>SUM(E2:E9)</f>
        <v/>
      </c>
      <c r="F10" s="6" t="inlineStr"/>
      <c r="G10" s="9" t="inlineStr"/>
      <c r="H10" s="9">
        <f>SUM(H2:H9)</f>
        <v/>
      </c>
      <c r="I10" s="6" t="inlineStr"/>
      <c r="J10" s="6" t="inlineStr"/>
      <c r="K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2026-10-06T12:20:49Z</dcterms:created>
  <dcterms:modified xsi:type="dcterms:W3CDTF">2026-10-06T12:20:49Z</dcterms:modified>
</cp:coreProperties>
</file>