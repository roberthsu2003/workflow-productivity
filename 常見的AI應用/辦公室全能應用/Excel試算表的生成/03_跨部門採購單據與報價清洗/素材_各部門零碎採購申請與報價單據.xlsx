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部門採購申請彙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9.6" customWidth="1" min="4" max="4"/>
    <col width="12" customWidth="1" min="5" max="5"/>
    <col width="16.2" customWidth="1" min="6" max="6"/>
    <col width="21.6" customWidth="1" min="7" max="7"/>
    <col width="18" customWidth="1" min="8" max="8"/>
    <col width="12" customWidth="1" min="9" max="9"/>
    <col width="23.4" customWidth="1" min="10" max="10"/>
  </cols>
  <sheetData>
    <row r="1">
      <c r="A1" s="1" t="inlineStr">
        <is>
          <t>提報日期</t>
        </is>
      </c>
      <c r="B1" s="1" t="inlineStr">
        <is>
          <t>申請部門</t>
        </is>
      </c>
      <c r="C1" s="1" t="inlineStr">
        <is>
          <t>申請人員</t>
        </is>
      </c>
      <c r="D1" s="1" t="inlineStr">
        <is>
          <t>採購品項與規格</t>
        </is>
      </c>
      <c r="E1" s="1" t="inlineStr">
        <is>
          <t>數量</t>
        </is>
      </c>
      <c r="F1" s="1" t="inlineStr">
        <is>
          <t>預估單價(NTD)</t>
        </is>
      </c>
      <c r="G1" s="1" t="inlineStr">
        <is>
          <t>預估小計(NTD)</t>
        </is>
      </c>
      <c r="H1" s="1" t="inlineStr">
        <is>
          <t>需求期限</t>
        </is>
      </c>
      <c r="I1" s="1" t="inlineStr">
        <is>
          <t>急迫等級</t>
        </is>
      </c>
      <c r="J1" s="1" t="inlineStr">
        <is>
          <t>預算代碼/備註</t>
        </is>
      </c>
    </row>
    <row r="2">
      <c r="A2" s="2" t="inlineStr">
        <is>
          <t>2026-04-02</t>
        </is>
      </c>
      <c r="B2" s="2" t="inlineStr">
        <is>
          <t>業務處</t>
        </is>
      </c>
      <c r="C2" s="2" t="inlineStr">
        <is>
          <t>陳健一</t>
        </is>
      </c>
      <c r="D2" s="2" t="inlineStr">
        <is>
          <t>羅技無線簡報雷射筆</t>
        </is>
      </c>
      <c r="E2" s="2" t="n">
        <v>3</v>
      </c>
      <c r="F2" s="2" t="n">
        <v>750</v>
      </c>
      <c r="G2" s="2">
        <f>E2*F2</f>
        <v/>
      </c>
      <c r="H2" s="2" t="inlineStr">
        <is>
          <t>2026-04-25</t>
        </is>
      </c>
      <c r="I2" s="2" t="inlineStr">
        <is>
          <t>高</t>
        </is>
      </c>
      <c r="J2" s="2" t="inlineStr">
        <is>
          <t>展覽推廣用</t>
        </is>
      </c>
    </row>
    <row r="3">
      <c r="A3" s="2" t="inlineStr">
        <is>
          <t>2026-04-02</t>
        </is>
      </c>
      <c r="B3" s="2" t="inlineStr">
        <is>
          <t>業務處</t>
        </is>
      </c>
      <c r="C3" s="2" t="inlineStr">
        <is>
          <t>陳健一</t>
        </is>
      </c>
      <c r="D3" s="2" t="inlineStr">
        <is>
          <t>展場手提展示立架</t>
        </is>
      </c>
      <c r="E3" s="2" t="n">
        <v>2</v>
      </c>
      <c r="F3" s="2" t="n">
        <v>1200</v>
      </c>
      <c r="G3" s="2">
        <f>E3*F3</f>
        <v/>
      </c>
      <c r="H3" s="2" t="inlineStr">
        <is>
          <t>2026-04-25</t>
        </is>
      </c>
      <c r="I3" s="2" t="inlineStr">
        <is>
          <t>高</t>
        </is>
      </c>
      <c r="J3" s="2" t="inlineStr">
        <is>
          <t>展覽推廣用</t>
        </is>
      </c>
    </row>
    <row r="4">
      <c r="A4" s="2" t="inlineStr">
        <is>
          <t>2026-04-03</t>
        </is>
      </c>
      <c r="B4" s="2" t="inlineStr">
        <is>
          <t>研發處</t>
        </is>
      </c>
      <c r="C4" s="2" t="inlineStr">
        <is>
          <t>張副理</t>
        </is>
      </c>
      <c r="D4" s="2" t="inlineStr">
        <is>
          <t>金士頓 32GB DDR5 記憶體</t>
        </is>
      </c>
      <c r="E4" s="2" t="n">
        <v>2</v>
      </c>
      <c r="F4" s="2" t="n">
        <v>2850</v>
      </c>
      <c r="G4" s="2">
        <f>E4*F4</f>
        <v/>
      </c>
      <c r="H4" s="2" t="inlineStr">
        <is>
          <t>2026-04-15</t>
        </is>
      </c>
      <c r="I4" s="2" t="inlineStr">
        <is>
          <t>緊急</t>
        </is>
      </c>
      <c r="J4" s="2" t="inlineStr">
        <is>
          <t>RD-2026-B 測試機</t>
        </is>
      </c>
    </row>
    <row r="5">
      <c r="A5" s="2" t="inlineStr">
        <is>
          <t>2026-04-03</t>
        </is>
      </c>
      <c r="B5" s="2" t="inlineStr">
        <is>
          <t>研發處</t>
        </is>
      </c>
      <c r="C5" s="2" t="inlineStr">
        <is>
          <t>張副理</t>
        </is>
      </c>
      <c r="D5" s="2" t="inlineStr">
        <is>
          <t>美光 Micron 2TB NVMe SSD</t>
        </is>
      </c>
      <c r="E5" s="2" t="n">
        <v>1</v>
      </c>
      <c r="F5" s="2" t="n">
        <v>3600</v>
      </c>
      <c r="G5" s="2">
        <f>E5*F5</f>
        <v/>
      </c>
      <c r="H5" s="2" t="inlineStr">
        <is>
          <t>2026-04-15</t>
        </is>
      </c>
      <c r="I5" s="2" t="inlineStr">
        <is>
          <t>緊急</t>
        </is>
      </c>
      <c r="J5" s="2" t="inlineStr">
        <is>
          <t>RD-2026-B 測試機</t>
        </is>
      </c>
    </row>
    <row r="6">
      <c r="A6" s="2" t="inlineStr">
        <is>
          <t>2026-04-05</t>
        </is>
      </c>
      <c r="B6" s="2" t="inlineStr">
        <is>
          <t>人資處</t>
        </is>
      </c>
      <c r="C6" s="2" t="inlineStr">
        <is>
          <t>許美惠</t>
        </is>
      </c>
      <c r="D6" s="2" t="inlineStr">
        <is>
          <t>新人培訓文具包(15套)</t>
        </is>
      </c>
      <c r="E6" s="2" t="n">
        <v>15</v>
      </c>
      <c r="F6" s="2" t="n">
        <v>180</v>
      </c>
      <c r="G6" s="2">
        <f>E6*F6</f>
        <v/>
      </c>
      <c r="H6" s="2" t="inlineStr">
        <is>
          <t>2026-04-20</t>
        </is>
      </c>
      <c r="I6" s="2" t="inlineStr">
        <is>
          <t>中</t>
        </is>
      </c>
      <c r="J6" s="2" t="inlineStr">
        <is>
          <t>4月下旬梯次</t>
        </is>
      </c>
    </row>
    <row r="7">
      <c r="A7" s="2" t="inlineStr">
        <is>
          <t>2026-04-05</t>
        </is>
      </c>
      <c r="B7" s="2" t="inlineStr">
        <is>
          <t>人資處</t>
        </is>
      </c>
      <c r="C7" s="2" t="inlineStr">
        <is>
          <t>許美惠</t>
        </is>
      </c>
      <c r="D7" s="2" t="inlineStr">
        <is>
          <t>曼特寧研磨咖啡豆(包)</t>
        </is>
      </c>
      <c r="E7" s="2" t="n">
        <v>6</v>
      </c>
      <c r="F7" s="2" t="n">
        <v>380</v>
      </c>
      <c r="G7" s="2">
        <f>E7*F7</f>
        <v/>
      </c>
      <c r="H7" s="2" t="inlineStr">
        <is>
          <t>2026-04-12</t>
        </is>
      </c>
      <c r="I7" s="2" t="inlineStr">
        <is>
          <t>高</t>
        </is>
      </c>
      <c r="J7" s="2" t="inlineStr">
        <is>
          <t>茶水間常備</t>
        </is>
      </c>
    </row>
    <row r="8">
      <c r="A8" s="2" t="inlineStr">
        <is>
          <t>2026-04-05</t>
        </is>
      </c>
      <c r="B8" s="2" t="inlineStr">
        <is>
          <t>人資處</t>
        </is>
      </c>
      <c r="C8" s="2" t="inlineStr">
        <is>
          <t>許美惠</t>
        </is>
      </c>
      <c r="D8" s="2" t="inlineStr">
        <is>
          <t>專用咖啡濾紙(盒)</t>
        </is>
      </c>
      <c r="E8" s="2" t="n">
        <v>4</v>
      </c>
      <c r="F8" s="2" t="n">
        <v>95</v>
      </c>
      <c r="G8" s="2">
        <f>E8*F8</f>
        <v/>
      </c>
      <c r="H8" s="2" t="inlineStr">
        <is>
          <t>2026-04-12</t>
        </is>
      </c>
      <c r="I8" s="2" t="inlineStr">
        <is>
          <t>高</t>
        </is>
      </c>
      <c r="J8" s="2" t="inlineStr">
        <is>
          <t>茶水間常備</t>
        </is>
      </c>
    </row>
    <row r="9">
      <c r="A9" s="2" t="inlineStr">
        <is>
          <t>2026-04-07</t>
        </is>
      </c>
      <c r="B9" s="2" t="inlineStr">
        <is>
          <t>企劃處</t>
        </is>
      </c>
      <c r="C9" s="2" t="inlineStr">
        <is>
          <t>郭總監</t>
        </is>
      </c>
      <c r="D9" s="2" t="inlineStr">
        <is>
          <t>會議室投影機高亮度燈泡</t>
        </is>
      </c>
      <c r="E9" s="2" t="n">
        <v>1</v>
      </c>
      <c r="F9" s="2" t="n">
        <v>4500</v>
      </c>
      <c r="G9" s="2">
        <f>E9*F9</f>
        <v/>
      </c>
      <c r="H9" s="2" t="inlineStr">
        <is>
          <t>2026-04-30</t>
        </is>
      </c>
      <c r="I9" s="2" t="inlineStr">
        <is>
          <t>中</t>
        </is>
      </c>
      <c r="J9" s="2" t="inlineStr">
        <is>
          <t>含安裝與稅</t>
        </is>
      </c>
    </row>
    <row r="10">
      <c r="A10" s="2" t="inlineStr">
        <is>
          <t>2026-04-08</t>
        </is>
      </c>
      <c r="B10" s="2" t="inlineStr">
        <is>
          <t>財務處</t>
        </is>
      </c>
      <c r="C10" s="2" t="inlineStr">
        <is>
          <t>李專員</t>
        </is>
      </c>
      <c r="D10" s="2" t="inlineStr">
        <is>
          <t>請購憑證專用紙(箱)</t>
        </is>
      </c>
      <c r="E10" s="2" t="n">
        <v>10</v>
      </c>
      <c r="F10" s="2" t="n">
        <v>520</v>
      </c>
      <c r="G10" s="2">
        <f>E10*F10</f>
        <v/>
      </c>
      <c r="H10" s="2" t="inlineStr">
        <is>
          <t>2026-04-30</t>
        </is>
      </c>
      <c r="I10" s="2" t="inlineStr">
        <is>
          <t>中</t>
        </is>
      </c>
      <c r="J10" s="2" t="inlineStr">
        <is>
          <t>月底結帳用</t>
        </is>
      </c>
    </row>
    <row r="11">
      <c r="A11" s="2" t="inlineStr">
        <is>
          <t>2026-04-08</t>
        </is>
      </c>
      <c r="B11" s="2" t="inlineStr">
        <is>
          <t>財務處</t>
        </is>
      </c>
      <c r="C11" s="2" t="inlineStr">
        <is>
          <t>李專員</t>
        </is>
      </c>
      <c r="D11" s="2" t="inlineStr">
        <is>
          <t>憑證打孔專用夾(盒)</t>
        </is>
      </c>
      <c r="E11" s="2" t="n">
        <v>20</v>
      </c>
      <c r="F11" s="2" t="n">
        <v>85</v>
      </c>
      <c r="G11" s="2">
        <f>E11*F11</f>
        <v/>
      </c>
      <c r="H11" s="2" t="inlineStr">
        <is>
          <t>2026-04-30</t>
        </is>
      </c>
      <c r="I11" s="2" t="inlineStr">
        <is>
          <t>中</t>
        </is>
      </c>
      <c r="J11" s="2" t="inlineStr">
        <is>
          <t>月底結帳用</t>
        </is>
      </c>
    </row>
    <row r="12">
      <c r="A12" s="2" t="inlineStr">
        <is>
          <t>2026-04-09</t>
        </is>
      </c>
      <c r="B12" s="2" t="inlineStr">
        <is>
          <t>客服處</t>
        </is>
      </c>
      <c r="C12" s="2" t="inlineStr">
        <is>
          <t>周主任</t>
        </is>
      </c>
      <c r="D12" s="2" t="inlineStr">
        <is>
          <t>Jabra 降噪耳機麥克風</t>
        </is>
      </c>
      <c r="E12" s="2" t="n">
        <v>4</v>
      </c>
      <c r="F12" s="2" t="n">
        <v>1650</v>
      </c>
      <c r="G12" s="2">
        <f>E12*F12</f>
        <v/>
      </c>
      <c r="H12" s="2" t="inlineStr">
        <is>
          <t>2026-04-15</t>
        </is>
      </c>
      <c r="I12" s="2" t="inlineStr">
        <is>
          <t>緊急</t>
        </is>
      </c>
      <c r="J12" s="2" t="inlineStr">
        <is>
          <t>值勤急需防客訴</t>
        </is>
      </c>
    </row>
    <row r="13">
      <c r="A13" s="2" t="inlineStr">
        <is>
          <t>總計金額</t>
        </is>
      </c>
      <c r="B13" s="2" t="inlineStr"/>
      <c r="C13" s="2" t="inlineStr"/>
      <c r="D13" s="2" t="inlineStr"/>
      <c r="E13" s="2" t="inlineStr"/>
      <c r="F13" s="2" t="inlineStr"/>
      <c r="G13" s="2">
        <f>SUM(G2:G12)</f>
        <v/>
      </c>
      <c r="H13" s="2" t="inlineStr"/>
      <c r="I13" s="2" t="inlineStr"/>
      <c r="J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2026-10-04T12:08:58Z</dcterms:created>
  <dcterms:modified xsi:type="dcterms:W3CDTF">2026-10-04T12:08:58Z</dcterms:modified>
</cp:coreProperties>
</file>