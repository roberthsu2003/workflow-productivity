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費用報銷明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i val="1"/>
      <color rgb="00595959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2F5597"/>
      </top>
      <bottom style="double">
        <color rgb="002F559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3" fontId="4" fillId="3" borderId="1" applyAlignment="1" pivotButton="0" quotePrefix="0" xfId="0">
      <alignment horizontal="right"/>
    </xf>
    <xf numFmtId="0" fontId="0" fillId="4" borderId="2" pivotButton="0" quotePrefix="0" xfId="0"/>
    <xf numFmtId="0" fontId="5" fillId="4" borderId="2" applyAlignment="1" pivotButton="0" quotePrefix="0" xfId="0">
      <alignment horizontal="right"/>
    </xf>
    <xf numFmtId="3" fontId="5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38" customWidth="1" min="6" max="6"/>
    <col width="12" customWidth="1" min="7" max="7"/>
    <col width="12" customWidth="1" min="8" max="8"/>
    <col width="18" customWidth="1" min="9" max="9"/>
    <col width="16" customWidth="1" min="10" max="10"/>
    <col width="12" customWidth="1" min="11" max="11"/>
  </cols>
  <sheetData>
    <row r="1">
      <c r="A1" s="1" t="inlineStr">
        <is>
          <t>2026 年度跨部門專案與差旅費用報銷核銷表</t>
        </is>
      </c>
    </row>
    <row r="2">
      <c r="A2" s="2" t="inlineStr">
        <is>
          <t>製表原則：資料庫標準結構（嚴禁合併資料儲存格）｜純數值千分位格式｜公式動態計算</t>
        </is>
      </c>
    </row>
    <row r="3"/>
    <row r="4">
      <c r="A4" s="3" t="inlineStr">
        <is>
          <t>報銷序號</t>
        </is>
      </c>
      <c r="B4" s="3" t="inlineStr">
        <is>
          <t>報銷日期</t>
        </is>
      </c>
      <c r="C4" s="3" t="inlineStr">
        <is>
          <t>申請部門</t>
        </is>
      </c>
      <c r="D4" s="3" t="inlineStr">
        <is>
          <t>申請人</t>
        </is>
      </c>
      <c r="E4" s="3" t="inlineStr">
        <is>
          <t>費用類別</t>
        </is>
      </c>
      <c r="F4" s="3" t="inlineStr">
        <is>
          <t>支出項目說明</t>
        </is>
      </c>
      <c r="G4" s="3" t="inlineStr">
        <is>
          <t>單價 (NTD)</t>
        </is>
      </c>
      <c r="H4" s="3" t="inlineStr">
        <is>
          <t>數量</t>
        </is>
      </c>
      <c r="I4" s="3" t="inlineStr">
        <is>
          <t>小計金額 (NTD)</t>
        </is>
      </c>
      <c r="J4" s="3" t="inlineStr">
        <is>
          <t>憑證發票號碼</t>
        </is>
      </c>
      <c r="K4" s="3" t="inlineStr">
        <is>
          <t>審核備註</t>
        </is>
      </c>
    </row>
    <row r="5">
      <c r="A5" s="4" t="inlineStr">
        <is>
          <t>EXP-2026-001</t>
        </is>
      </c>
      <c r="B5" s="4" t="inlineStr">
        <is>
          <t>2026-03-02</t>
        </is>
      </c>
      <c r="C5" s="4" t="inlineStr">
        <is>
          <t>研發部</t>
        </is>
      </c>
      <c r="D5" s="4" t="inlineStr">
        <is>
          <t>林志遠</t>
        </is>
      </c>
      <c r="E5" s="4" t="inlineStr">
        <is>
          <t>交通差旅</t>
        </is>
      </c>
      <c r="F5" s="5" t="inlineStr">
        <is>
          <t>高鐵來回車票（台北-新竹客戶端技術對接）</t>
        </is>
      </c>
      <c r="G5" s="6" t="n">
        <v>580</v>
      </c>
      <c r="H5" s="6" t="n">
        <v>2</v>
      </c>
      <c r="I5" s="6">
        <f>G5*H5</f>
        <v/>
      </c>
      <c r="J5" s="4" t="inlineStr">
        <is>
          <t>AB-10293847</t>
        </is>
      </c>
      <c r="K5" s="5" t="inlineStr">
        <is>
          <t>準時抵達</t>
        </is>
      </c>
    </row>
    <row r="6">
      <c r="A6" s="7" t="inlineStr">
        <is>
          <t>EXP-2026-002</t>
        </is>
      </c>
      <c r="B6" s="7" t="inlineStr">
        <is>
          <t>2026-03-03</t>
        </is>
      </c>
      <c r="C6" s="7" t="inlineStr">
        <is>
          <t>行銷部</t>
        </is>
      </c>
      <c r="D6" s="7" t="inlineStr">
        <is>
          <t>張雅晴</t>
        </is>
      </c>
      <c r="E6" s="7" t="inlineStr">
        <is>
          <t>業務推廣</t>
        </is>
      </c>
      <c r="F6" s="8" t="inlineStr">
        <is>
          <t>社群春季新品發布會場地租借費</t>
        </is>
      </c>
      <c r="G6" s="9" t="n">
        <v>12000</v>
      </c>
      <c r="H6" s="9" t="n">
        <v>1</v>
      </c>
      <c r="I6" s="9">
        <f>G6*H6</f>
        <v/>
      </c>
      <c r="J6" s="7" t="inlineStr">
        <is>
          <t>AC-99887766</t>
        </is>
      </c>
      <c r="K6" s="8" t="inlineStr">
        <is>
          <t>附合約憑證</t>
        </is>
      </c>
    </row>
    <row r="7">
      <c r="A7" s="4" t="inlineStr">
        <is>
          <t>EXP-2026-003</t>
        </is>
      </c>
      <c r="B7" s="4" t="inlineStr">
        <is>
          <t>2026-03-05</t>
        </is>
      </c>
      <c r="C7" s="4" t="inlineStr">
        <is>
          <t>維運部</t>
        </is>
      </c>
      <c r="D7" s="4" t="inlineStr">
        <is>
          <t>陳建宏</t>
        </is>
      </c>
      <c r="E7" s="4" t="inlineStr">
        <is>
          <t>硬體耗材</t>
        </is>
      </c>
      <c r="F7" s="5" t="inlineStr">
        <is>
          <t>伺服器機房專用高速網路線與轉接頭</t>
        </is>
      </c>
      <c r="G7" s="6" t="n">
        <v>450</v>
      </c>
      <c r="H7" s="6" t="n">
        <v>6</v>
      </c>
      <c r="I7" s="6">
        <f>G7*H7</f>
        <v/>
      </c>
      <c r="J7" s="4" t="inlineStr">
        <is>
          <t>AD-33445566</t>
        </is>
      </c>
      <c r="K7" s="5" t="inlineStr">
        <is>
          <t>已入庫檢驗</t>
        </is>
      </c>
    </row>
    <row r="8">
      <c r="A8" s="7" t="inlineStr">
        <is>
          <t>EXP-2026-004</t>
        </is>
      </c>
      <c r="B8" s="7" t="inlineStr">
        <is>
          <t>2026-03-08</t>
        </is>
      </c>
      <c r="C8" s="7" t="inlineStr">
        <is>
          <t>研發部</t>
        </is>
      </c>
      <c r="D8" s="7" t="inlineStr">
        <is>
          <t>王思婷</t>
        </is>
      </c>
      <c r="E8" s="7" t="inlineStr">
        <is>
          <t>軟體訂閱</t>
        </is>
      </c>
      <c r="F8" s="8" t="inlineStr">
        <is>
          <t>雲端協作開發平台團隊月租費</t>
        </is>
      </c>
      <c r="G8" s="9" t="n">
        <v>1800</v>
      </c>
      <c r="H8" s="9" t="n">
        <v>1</v>
      </c>
      <c r="I8" s="9">
        <f>G8*H8</f>
        <v/>
      </c>
      <c r="J8" s="7" t="inlineStr">
        <is>
          <t>AE-55667788</t>
        </is>
      </c>
      <c r="K8" s="8" t="inlineStr">
        <is>
          <t>美金扣繳換算</t>
        </is>
      </c>
    </row>
    <row r="9">
      <c r="A9" s="4" t="inlineStr">
        <is>
          <t>EXP-2026-005</t>
        </is>
      </c>
      <c r="B9" s="4" t="inlineStr">
        <is>
          <t>2026-03-10</t>
        </is>
      </c>
      <c r="C9" s="4" t="inlineStr">
        <is>
          <t>業務部</t>
        </is>
      </c>
      <c r="D9" s="4" t="inlineStr">
        <is>
          <t>黃俊傑</t>
        </is>
      </c>
      <c r="E9" s="4" t="inlineStr">
        <is>
          <t>交際應酬</t>
        </is>
      </c>
      <c r="F9" s="5" t="inlineStr">
        <is>
          <t>策略夥伴春酒商務餐敘</t>
        </is>
      </c>
      <c r="G9" s="6" t="n">
        <v>4800</v>
      </c>
      <c r="H9" s="6" t="n">
        <v>1</v>
      </c>
      <c r="I9" s="6">
        <f>G9*H9</f>
        <v/>
      </c>
      <c r="J9" s="4" t="inlineStr">
        <is>
          <t>AF-77889900</t>
        </is>
      </c>
      <c r="K9" s="5" t="inlineStr">
        <is>
          <t>有外部簽到單</t>
        </is>
      </c>
    </row>
    <row r="10">
      <c r="A10" s="7" t="inlineStr">
        <is>
          <t>EXP-2026-006</t>
        </is>
      </c>
      <c r="B10" s="7" t="inlineStr">
        <is>
          <t>2026-03-12</t>
        </is>
      </c>
      <c r="C10" s="7" t="inlineStr">
        <is>
          <t>管理部</t>
        </is>
      </c>
      <c r="D10" s="7" t="inlineStr">
        <is>
          <t>劉美琪</t>
        </is>
      </c>
      <c r="E10" s="7" t="inlineStr">
        <is>
          <t>辦公行政</t>
        </is>
      </c>
      <c r="F10" s="8" t="inlineStr">
        <is>
          <t>季度全體員工事務耗材與文具批發</t>
        </is>
      </c>
      <c r="G10" s="9" t="n">
        <v>350</v>
      </c>
      <c r="H10" s="9" t="n">
        <v>12</v>
      </c>
      <c r="I10" s="9">
        <f>G10*H10</f>
        <v/>
      </c>
      <c r="J10" s="7" t="inlineStr">
        <is>
          <t>AG-11223344</t>
        </is>
      </c>
      <c r="K10" s="8" t="inlineStr">
        <is>
          <t>總務處登記</t>
        </is>
      </c>
    </row>
    <row r="11">
      <c r="A11" s="4" t="inlineStr">
        <is>
          <t>EXP-2026-007</t>
        </is>
      </c>
      <c r="B11" s="4" t="inlineStr">
        <is>
          <t>2026-03-15</t>
        </is>
      </c>
      <c r="C11" s="4" t="inlineStr">
        <is>
          <t>行銷部</t>
        </is>
      </c>
      <c r="D11" s="4" t="inlineStr">
        <is>
          <t>張雅晴</t>
        </is>
      </c>
      <c r="E11" s="4" t="inlineStr">
        <is>
          <t>廣告投放</t>
        </is>
      </c>
      <c r="F11" s="5" t="inlineStr">
        <is>
          <t>數位影音廣告春季首波點擊預算</t>
        </is>
      </c>
      <c r="G11" s="6" t="n">
        <v>25000</v>
      </c>
      <c r="H11" s="6" t="n">
        <v>1</v>
      </c>
      <c r="I11" s="6">
        <f>G11*H11</f>
        <v/>
      </c>
      <c r="J11" s="4" t="inlineStr">
        <is>
          <t>AH-66778899</t>
        </is>
      </c>
      <c r="K11" s="5" t="inlineStr">
        <is>
          <t>附後台結案報告</t>
        </is>
      </c>
    </row>
    <row r="12">
      <c r="A12" s="7" t="inlineStr">
        <is>
          <t>EXP-2026-008</t>
        </is>
      </c>
      <c r="B12" s="7" t="inlineStr">
        <is>
          <t>2026-03-18</t>
        </is>
      </c>
      <c r="C12" s="7" t="inlineStr">
        <is>
          <t>研發部</t>
        </is>
      </c>
      <c r="D12" s="7" t="inlineStr">
        <is>
          <t>林志遠</t>
        </is>
      </c>
      <c r="E12" s="7" t="inlineStr">
        <is>
          <t>專業培訓</t>
        </is>
      </c>
      <c r="F12" s="8" t="inlineStr">
        <is>
          <t>全端雲原生架構線上證照考試認證費用</t>
        </is>
      </c>
      <c r="G12" s="9" t="n">
        <v>6500</v>
      </c>
      <c r="H12" s="9" t="n">
        <v>2</v>
      </c>
      <c r="I12" s="9">
        <f>G12*H12</f>
        <v/>
      </c>
      <c r="J12" s="7" t="inlineStr">
        <is>
          <t>AI-44332211</t>
        </is>
      </c>
      <c r="K12" s="8" t="inlineStr">
        <is>
          <t>已通過取得合格證</t>
        </is>
      </c>
    </row>
    <row r="13">
      <c r="A13" s="4" t="inlineStr">
        <is>
          <t>EXP-2026-009</t>
        </is>
      </c>
      <c r="B13" s="4" t="inlineStr">
        <is>
          <t>2026-03-22</t>
        </is>
      </c>
      <c r="C13" s="4" t="inlineStr">
        <is>
          <t>業務部</t>
        </is>
      </c>
      <c r="D13" s="4" t="inlineStr">
        <is>
          <t>黃俊傑</t>
        </is>
      </c>
      <c r="E13" s="4" t="inlineStr">
        <is>
          <t>交通差旅</t>
        </is>
      </c>
      <c r="F13" s="5" t="inlineStr">
        <is>
          <t>業務拜訪自駕出差油資與過路費實報實銷</t>
        </is>
      </c>
      <c r="G13" s="6" t="n">
        <v>1450</v>
      </c>
      <c r="H13" s="6" t="n">
        <v>1</v>
      </c>
      <c r="I13" s="6">
        <f>G13*H13</f>
        <v/>
      </c>
      <c r="J13" s="4" t="inlineStr">
        <is>
          <t>AJ-88990011</t>
        </is>
      </c>
      <c r="K13" s="5" t="inlineStr">
        <is>
          <t>附里程計費單</t>
        </is>
      </c>
    </row>
    <row r="14">
      <c r="A14" s="7" t="inlineStr">
        <is>
          <t>EXP-2026-010</t>
        </is>
      </c>
      <c r="B14" s="7" t="inlineStr">
        <is>
          <t>2026-03-25</t>
        </is>
      </c>
      <c r="C14" s="7" t="inlineStr">
        <is>
          <t>管理部</t>
        </is>
      </c>
      <c r="D14" s="7" t="inlineStr">
        <is>
          <t>劉美琪</t>
        </is>
      </c>
      <c r="E14" s="7" t="inlineStr">
        <is>
          <t>會議雜費</t>
        </is>
      </c>
      <c r="F14" s="8" t="inlineStr">
        <is>
          <t>跨國視訊季會外燴點心與茶水</t>
        </is>
      </c>
      <c r="G14" s="9" t="n">
        <v>280</v>
      </c>
      <c r="H14" s="9" t="n">
        <v>15</v>
      </c>
      <c r="I14" s="9">
        <f>G14*H14</f>
        <v/>
      </c>
      <c r="J14" s="7" t="inlineStr">
        <is>
          <t>AK-22334455</t>
        </is>
      </c>
      <c r="K14" s="8" t="inlineStr">
        <is>
          <t>全體出席參與</t>
        </is>
      </c>
    </row>
    <row r="15">
      <c r="A15" s="10" t="n"/>
      <c r="B15" s="10" t="n"/>
      <c r="C15" s="10" t="n"/>
      <c r="D15" s="10" t="n"/>
      <c r="E15" s="10" t="n"/>
      <c r="F15" s="11" t="inlineStr">
        <is>
          <t>【本期報銷總計金額】</t>
        </is>
      </c>
      <c r="G15" s="10" t="n"/>
      <c r="H15" s="10" t="n"/>
      <c r="I15" s="12">
        <f>SUM(I5:I14)</f>
        <v/>
      </c>
      <c r="J15" s="10" t="n"/>
      <c r="K1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2026-10-06T13:14:03Z</dcterms:created>
  <dcterms:modified xsi:type="dcterms:W3CDTF">2026-10-06T13:14:03Z</dcterms:modified>
</cp:coreProperties>
</file>