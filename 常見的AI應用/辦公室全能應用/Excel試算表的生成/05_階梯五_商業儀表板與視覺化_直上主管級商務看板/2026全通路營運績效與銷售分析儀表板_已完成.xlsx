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營運分析儀表板" sheetId="1" state="visible" r:id="rId1"/>
    <sheet name="產品規格主檔" sheetId="2" state="visible" r:id="rId2"/>
    <sheet name="銷售流水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b val="1"/>
      <color rgb="00FFFFFF"/>
      <sz val="11"/>
    </font>
    <font>
      <name val="微軟正黑體"/>
      <color rgb="00000000"/>
      <sz val="10"/>
    </font>
    <font>
      <name val="微軟正黑體"/>
      <b val="1"/>
      <color rgb="00C00000"/>
      <sz val="10"/>
    </font>
    <font>
      <name val="微軟正黑體"/>
      <b val="1"/>
      <color rgb="00000000"/>
      <sz val="11"/>
    </font>
    <font>
      <name val="微軟正黑體"/>
      <i val="1"/>
      <color rgb="00595959"/>
      <sz val="10"/>
    </font>
    <font>
      <name val="微軟正黑體"/>
      <b val="1"/>
      <color rgb="00595959"/>
      <sz val="10"/>
    </font>
    <font>
      <name val="微軟正黑體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EAEEF3"/>
        <bgColor rgb="00EAEEF3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6" borderId="3" applyAlignment="1" pivotButton="0" quotePrefix="0" xfId="0">
      <alignment horizontal="center" vertical="center"/>
    </xf>
    <xf numFmtId="0" fontId="0" fillId="6" borderId="3" pivotButton="0" quotePrefix="0" xfId="0"/>
    <xf numFmtId="3" fontId="1" fillId="6" borderId="3" applyAlignment="1" pivotButton="0" quotePrefix="0" xfId="0">
      <alignment horizontal="center" vertical="center"/>
    </xf>
    <xf numFmtId="164" fontId="1" fillId="6" borderId="3" applyAlignment="1" pivotButton="0" quotePrefix="0" xfId="0">
      <alignment horizontal="center" vertical="center"/>
    </xf>
    <xf numFmtId="0" fontId="8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pivotButton="0" quotePrefix="0" xfId="0"/>
    <xf numFmtId="3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3" customWidth="1" min="3" max="3"/>
    <col width="77" customWidth="1" min="4" max="4"/>
    <col width="77" customWidth="1" min="5" max="5"/>
    <col width="77" customWidth="1" min="6" max="6"/>
    <col width="89" customWidth="1" min="7" max="7"/>
    <col width="14" customWidth="1" min="8" max="8"/>
  </cols>
  <sheetData>
    <row r="1" ht="36" customHeight="1">
      <c r="A1" s="1" t="inlineStr">
        <is>
          <t>2026 年第一季全通路營運績效與決策儀表板 (Executive KPI Dashboard)</t>
        </is>
      </c>
    </row>
    <row r="2" ht="20" customHeight="1">
      <c r="A2" s="2" t="inlineStr">
        <is>
          <t>統計區間：2026/01/01 ~ 2026/03/31 ｜ 資料來源：銷售明細表與產品主檔 ｜ 幣別：NTD</t>
        </is>
      </c>
    </row>
    <row r="3"/>
    <row r="4" ht="20" customHeight="1">
      <c r="A4" s="3" t="inlineStr">
        <is>
          <t>全季總營業收入</t>
        </is>
      </c>
      <c r="B4" s="4" t="n"/>
      <c r="C4" s="3" t="inlineStr">
        <is>
          <t>全季商品總毛利</t>
        </is>
      </c>
      <c r="D4" s="4" t="n"/>
      <c r="E4" s="3" t="inlineStr">
        <is>
          <t>全通路平均毛利率</t>
        </is>
      </c>
      <c r="F4" s="4" t="n"/>
      <c r="G4" s="3" t="inlineStr">
        <is>
          <t>全通路退貨率</t>
        </is>
      </c>
      <c r="H4" s="4" t="n"/>
    </row>
    <row r="5" ht="30" customHeight="1">
      <c r="A5" s="5">
        <f>銷售流水明細!H23</f>
        <v/>
      </c>
      <c r="B5" s="4" t="n"/>
      <c r="C5" s="5">
        <f>銷售流水明細!K23</f>
        <v/>
      </c>
      <c r="D5" s="4" t="n"/>
      <c r="E5" s="6">
        <f>銷售流水明細!L23</f>
        <v/>
      </c>
      <c r="F5" s="4" t="n"/>
      <c r="G5" s="6">
        <f>COUNTIF(銷售流水明細!M3:M22,"已退貨")/COUNTA(銷售流水明細!A3:A22)</f>
        <v/>
      </c>
      <c r="H5" s="4" t="n"/>
    </row>
    <row r="6"/>
    <row r="7" ht="26" customHeight="1">
      <c r="A7" s="7" t="inlineStr">
        <is>
          <t>【各銷售通路營業績效與退貨損耗對比表】</t>
        </is>
      </c>
    </row>
    <row r="8" ht="24" customHeight="1">
      <c r="A8" s="8" t="inlineStr">
        <is>
          <t>通路排名</t>
        </is>
      </c>
      <c r="B8" s="8" t="inlineStr">
        <is>
          <t>銷售通路名稱</t>
        </is>
      </c>
      <c r="C8" s="8" t="inlineStr">
        <is>
          <t>訂單筆數</t>
        </is>
      </c>
      <c r="D8" s="8" t="inlineStr">
        <is>
          <t>銷售數量</t>
        </is>
      </c>
      <c r="E8" s="8" t="inlineStr">
        <is>
          <t>通路總營收(NT$)</t>
        </is>
      </c>
      <c r="F8" s="8" t="inlineStr">
        <is>
          <t>通路總毛利(NT$)</t>
        </is>
      </c>
      <c r="G8" s="8" t="inlineStr">
        <is>
          <t>退貨訂單數</t>
        </is>
      </c>
      <c r="H8" s="8" t="inlineStr">
        <is>
          <t>通路退貨率</t>
        </is>
      </c>
    </row>
    <row r="9" ht="22" customHeight="1">
      <c r="A9" s="9" t="inlineStr">
        <is>
          <t>第 1 名</t>
        </is>
      </c>
      <c r="B9" s="10" t="inlineStr">
        <is>
          <t>Momo購物網</t>
        </is>
      </c>
      <c r="C9" s="11">
        <f>COUNTIF(銷售流水明細!$C$3:$C$22, "Momo購物網")</f>
        <v/>
      </c>
      <c r="D9" s="11">
        <f>SUMIFS(銷售流水明細!$F$3:$F$22, 銷售流水明細!$C$3:$C$22, "Momo購物網")</f>
        <v/>
      </c>
      <c r="E9" s="11">
        <f>SUMIFS(銷售流水明細!$H$3:$H$22, 銷售流水明細!$C$3:$C$22, "Momo購物網")</f>
        <v/>
      </c>
      <c r="F9" s="11">
        <f>SUMIFS(銷售流水明細!$K$3:$K$22, 銷售流水明細!$C$3:$C$22, "Momo購物網")</f>
        <v/>
      </c>
      <c r="G9" s="11">
        <f>COUNTIFS(銷售流水明細!$C$3:$C$22, "Momo購物網", 銷售流水明細!$M$3:$M$22, "已退貨")</f>
        <v/>
      </c>
      <c r="H9" s="12">
        <f>G9/C9</f>
        <v/>
      </c>
    </row>
    <row r="10" ht="22" customHeight="1">
      <c r="A10" s="13" t="inlineStr">
        <is>
          <t>第 2 名</t>
        </is>
      </c>
      <c r="B10" s="13" t="inlineStr">
        <is>
          <t>官網商城</t>
        </is>
      </c>
      <c r="C10" s="14">
        <f>COUNTIF(銷售流水明細!$C$3:$C$22, "官網商城")</f>
        <v/>
      </c>
      <c r="D10" s="14">
        <f>SUMIFS(銷售流水明細!$F$3:$F$22, 銷售流水明細!$C$3:$C$22, "官網商城")</f>
        <v/>
      </c>
      <c r="E10" s="14">
        <f>SUMIFS(銷售流水明細!$H$3:$H$22, 銷售流水明細!$C$3:$C$22, "官網商城")</f>
        <v/>
      </c>
      <c r="F10" s="14">
        <f>SUMIFS(銷售流水明細!$K$3:$K$22, 銷售流水明細!$C$3:$C$22, "官網商城")</f>
        <v/>
      </c>
      <c r="G10" s="14">
        <f>COUNTIFS(銷售流水明細!$C$3:$C$22, "官網商城", 銷售流水明細!$M$3:$M$22, "已退貨")</f>
        <v/>
      </c>
      <c r="H10" s="15">
        <f>G10/C10</f>
        <v/>
      </c>
    </row>
    <row r="11" ht="22" customHeight="1">
      <c r="A11" s="10" t="inlineStr">
        <is>
          <t>第 3 名</t>
        </is>
      </c>
      <c r="B11" s="10" t="inlineStr">
        <is>
          <t>台北信義門市</t>
        </is>
      </c>
      <c r="C11" s="11">
        <f>COUNTIF(銷售流水明細!$C$3:$C$22, "台北信義門市")</f>
        <v/>
      </c>
      <c r="D11" s="11">
        <f>SUMIFS(銷售流水明細!$F$3:$F$22, 銷售流水明細!$C$3:$C$22, "台北信義門市")</f>
        <v/>
      </c>
      <c r="E11" s="11">
        <f>SUMIFS(銷售流水明細!$H$3:$H$22, 銷售流水明細!$C$3:$C$22, "台北信義門市")</f>
        <v/>
      </c>
      <c r="F11" s="11">
        <f>SUMIFS(銷售流水明細!$K$3:$K$22, 銷售流水明細!$C$3:$C$22, "台北信義門市")</f>
        <v/>
      </c>
      <c r="G11" s="11">
        <f>COUNTIFS(銷售流水明細!$C$3:$C$22, "台北信義門市", 銷售流水明細!$M$3:$M$22, "已退貨")</f>
        <v/>
      </c>
      <c r="H11" s="12">
        <f>G11/C11</f>
        <v/>
      </c>
    </row>
    <row r="12" ht="22" customHeight="1">
      <c r="A12" s="13" t="inlineStr">
        <is>
          <t>第 4 名</t>
        </is>
      </c>
      <c r="B12" s="13" t="inlineStr">
        <is>
          <t>台中旗艦門市</t>
        </is>
      </c>
      <c r="C12" s="14">
        <f>COUNTIF(銷售流水明細!$C$3:$C$22, "台中旗艦門市")</f>
        <v/>
      </c>
      <c r="D12" s="14">
        <f>SUMIFS(銷售流水明細!$F$3:$F$22, 銷售流水明細!$C$3:$C$22, "台中旗艦門市")</f>
        <v/>
      </c>
      <c r="E12" s="14">
        <f>SUMIFS(銷售流水明細!$H$3:$H$22, 銷售流水明細!$C$3:$C$22, "台中旗艦門市")</f>
        <v/>
      </c>
      <c r="F12" s="14">
        <f>SUMIFS(銷售流水明細!$K$3:$K$22, 銷售流水明細!$C$3:$C$22, "台中旗艦門市")</f>
        <v/>
      </c>
      <c r="G12" s="14">
        <f>COUNTIFS(銷售流水明細!$C$3:$C$22, "台中旗艦門市", 銷售流水明細!$M$3:$M$22, "已退貨")</f>
        <v/>
      </c>
      <c r="H12" s="15">
        <f>G12/C12</f>
        <v/>
      </c>
    </row>
    <row r="13" ht="22" customHeight="1">
      <c r="A13" s="10" t="inlineStr">
        <is>
          <t>第 5 名</t>
        </is>
      </c>
      <c r="B13" s="10" t="inlineStr">
        <is>
          <t>蝦皮商城</t>
        </is>
      </c>
      <c r="C13" s="11">
        <f>COUNTIF(銷售流水明細!$C$3:$C$22, "蝦皮商城")</f>
        <v/>
      </c>
      <c r="D13" s="11">
        <f>SUMIFS(銷售流水明細!$F$3:$F$22, 銷售流水明細!$C$3:$C$22, "蝦皮商城")</f>
        <v/>
      </c>
      <c r="E13" s="11">
        <f>SUMIFS(銷售流水明細!$H$3:$H$22, 銷售流水明細!$C$3:$C$22, "蝦皮商城")</f>
        <v/>
      </c>
      <c r="F13" s="11">
        <f>SUMIFS(銷售流水明細!$K$3:$K$22, 銷售流水明細!$C$3:$C$22, "蝦皮商城")</f>
        <v/>
      </c>
      <c r="G13" s="11">
        <f>COUNTIFS(銷售流水明細!$C$3:$C$22, "蝦皮商城", 銷售流水明細!$M$3:$M$22, "已退貨")</f>
        <v/>
      </c>
      <c r="H13" s="16">
        <f>G13/C13</f>
        <v/>
      </c>
    </row>
    <row r="14" ht="24" customHeight="1">
      <c r="A14" s="17" t="inlineStr">
        <is>
          <t>全通路合計</t>
        </is>
      </c>
      <c r="B14" s="18" t="n"/>
      <c r="C14" s="19">
        <f>SUM(C9:C13)</f>
        <v/>
      </c>
      <c r="D14" s="19">
        <f>SUM(D9:D13)</f>
        <v/>
      </c>
      <c r="E14" s="19">
        <f>SUM(E9:E13)</f>
        <v/>
      </c>
      <c r="F14" s="19">
        <f>SUM(F9:F13)</f>
        <v/>
      </c>
      <c r="G14" s="19">
        <f>SUM(G9:G13)</f>
        <v/>
      </c>
      <c r="H14" s="20">
        <f>G14/C14</f>
        <v/>
      </c>
    </row>
  </sheetData>
  <mergeCells count="12">
    <mergeCell ref="A4:B4"/>
    <mergeCell ref="G4:H4"/>
    <mergeCell ref="E4:F4"/>
    <mergeCell ref="A7:H7"/>
    <mergeCell ref="A2:H2"/>
    <mergeCell ref="C5:D5"/>
    <mergeCell ref="A5:B5"/>
    <mergeCell ref="G5:H5"/>
    <mergeCell ref="E5:F5"/>
    <mergeCell ref="A14:B14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企業產品規格與成本定價主檔 (Product Master)</t>
        </is>
      </c>
    </row>
    <row r="2" ht="24" customHeight="1">
      <c r="A2" s="8" t="inlineStr">
        <is>
          <t>產品編號</t>
        </is>
      </c>
      <c r="B2" s="8" t="inlineStr">
        <is>
          <t>產品品名</t>
        </is>
      </c>
      <c r="C2" s="8" t="inlineStr">
        <is>
          <t>商品類別</t>
        </is>
      </c>
      <c r="D2" s="8" t="inlineStr">
        <is>
          <t>建議售價(NT$)</t>
        </is>
      </c>
      <c r="E2" s="8" t="inlineStr">
        <is>
          <t>進貨單位成本(NT$)</t>
        </is>
      </c>
      <c r="F2" s="8" t="inlineStr">
        <is>
          <t>安全毛利率門檻</t>
        </is>
      </c>
    </row>
    <row r="3" ht="20" customHeight="1">
      <c r="A3" s="13" t="inlineStr">
        <is>
          <t>SKU-A101</t>
        </is>
      </c>
      <c r="B3" s="21" t="inlineStr">
        <is>
          <t>極簡人體工學滑鼠墊</t>
        </is>
      </c>
      <c r="C3" s="13" t="inlineStr">
        <is>
          <t>辦公周邊</t>
        </is>
      </c>
      <c r="D3" s="14" t="n">
        <v>1580</v>
      </c>
      <c r="E3" s="14" t="n">
        <v>620</v>
      </c>
      <c r="F3" s="15" t="n">
        <v>0.5</v>
      </c>
    </row>
    <row r="4" ht="20" customHeight="1">
      <c r="A4" s="10" t="inlineStr">
        <is>
          <t>SKU-A102</t>
        </is>
      </c>
      <c r="B4" s="22" t="inlineStr">
        <is>
          <t>無線雙模機械鍵盤</t>
        </is>
      </c>
      <c r="C4" s="10" t="inlineStr">
        <is>
          <t>辦公周邊</t>
        </is>
      </c>
      <c r="D4" s="11" t="n">
        <v>3880</v>
      </c>
      <c r="E4" s="11" t="n">
        <v>1850</v>
      </c>
      <c r="F4" s="12" t="n">
        <v>0.45</v>
      </c>
    </row>
    <row r="5" ht="20" customHeight="1">
      <c r="A5" s="13" t="inlineStr">
        <is>
          <t>SKU-B201</t>
        </is>
      </c>
      <c r="B5" s="21" t="inlineStr">
        <is>
          <t>主動降噪藍牙耳罩耳機</t>
        </is>
      </c>
      <c r="C5" s="13" t="inlineStr">
        <is>
          <t>影音設備</t>
        </is>
      </c>
      <c r="D5" s="14" t="n">
        <v>2280</v>
      </c>
      <c r="E5" s="14" t="n">
        <v>1100</v>
      </c>
      <c r="F5" s="15" t="n">
        <v>0.45</v>
      </c>
    </row>
    <row r="6" ht="20" customHeight="1">
      <c r="A6" s="10" t="inlineStr">
        <is>
          <t>SKU-B202</t>
        </is>
      </c>
      <c r="B6" s="22" t="inlineStr">
        <is>
          <t>4K超高清串流視訊鏡頭</t>
        </is>
      </c>
      <c r="C6" s="10" t="inlineStr">
        <is>
          <t>影音設備</t>
        </is>
      </c>
      <c r="D6" s="11" t="n">
        <v>4500</v>
      </c>
      <c r="E6" s="11" t="n">
        <v>2100</v>
      </c>
      <c r="F6" s="12" t="n">
        <v>0.5</v>
      </c>
    </row>
    <row r="7" ht="20" customHeight="1">
      <c r="A7" s="13" t="inlineStr">
        <is>
          <t>SKU-C301</t>
        </is>
      </c>
      <c r="B7" s="21" t="inlineStr">
        <is>
          <t>Type-C多功能擴充基座</t>
        </is>
      </c>
      <c r="C7" s="13" t="inlineStr">
        <is>
          <t>線材配件</t>
        </is>
      </c>
      <c r="D7" s="14" t="n">
        <v>890</v>
      </c>
      <c r="E7" s="14" t="n">
        <v>380</v>
      </c>
      <c r="F7" s="15" t="n">
        <v>0.5</v>
      </c>
    </row>
    <row r="8" ht="20" customHeight="1">
      <c r="A8" s="10" t="inlineStr">
        <is>
          <t>SKU-C302</t>
        </is>
      </c>
      <c r="B8" s="22" t="inlineStr">
        <is>
          <t>100W氮化鎵GaN快充頭</t>
        </is>
      </c>
      <c r="C8" s="10" t="inlineStr">
        <is>
          <t>線材配件</t>
        </is>
      </c>
      <c r="D8" s="11" t="n">
        <v>1250</v>
      </c>
      <c r="E8" s="11" t="n">
        <v>550</v>
      </c>
      <c r="F8" s="12" t="n">
        <v>0.5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3" customWidth="1" min="4" max="4"/>
    <col width="63" customWidth="1" min="5" max="5"/>
    <col width="16" customWidth="1" min="6" max="6"/>
    <col width="13" customWidth="1" min="7" max="7"/>
    <col width="16" customWidth="1" min="8" max="8"/>
    <col width="63" customWidth="1" min="9" max="9"/>
    <col width="16" customWidth="1" min="10" max="10"/>
    <col width="16" customWidth="1" min="11" max="11"/>
    <col width="13" customWidth="1" min="12" max="12"/>
    <col width="48" customWidth="1" min="13" max="13"/>
    <col width="16" customWidth="1" min="14" max="14"/>
  </cols>
  <sheetData>
    <row r="1" ht="32" customHeight="1">
      <c r="A1" s="1" t="inlineStr">
        <is>
          <t>2026 年第一季全通路銷售明細流水帳 (Sales Transactions)</t>
        </is>
      </c>
    </row>
    <row r="2" ht="24" customHeight="1">
      <c r="A2" s="8" t="inlineStr">
        <is>
          <t>訂單編號</t>
        </is>
      </c>
      <c r="B2" s="8" t="inlineStr">
        <is>
          <t>銷售日期</t>
        </is>
      </c>
      <c r="C2" s="8" t="inlineStr">
        <is>
          <t>銷售通路</t>
        </is>
      </c>
      <c r="D2" s="8" t="inlineStr">
        <is>
          <t>產品編號</t>
        </is>
      </c>
      <c r="E2" s="8" t="inlineStr">
        <is>
          <t>產品品名</t>
        </is>
      </c>
      <c r="F2" s="8" t="inlineStr">
        <is>
          <t>銷售數量</t>
        </is>
      </c>
      <c r="G2" s="8" t="inlineStr">
        <is>
          <t>實收單價</t>
        </is>
      </c>
      <c r="H2" s="8" t="inlineStr">
        <is>
          <t>訂單金額</t>
        </is>
      </c>
      <c r="I2" s="8" t="inlineStr">
        <is>
          <t>單位進貨成本</t>
        </is>
      </c>
      <c r="J2" s="8" t="inlineStr">
        <is>
          <t>總成本</t>
        </is>
      </c>
      <c r="K2" s="8" t="inlineStr">
        <is>
          <t>毛利金額</t>
        </is>
      </c>
      <c r="L2" s="8" t="inlineStr">
        <is>
          <t>毛利率</t>
        </is>
      </c>
      <c r="M2" s="8" t="inlineStr">
        <is>
          <t>交易狀態</t>
        </is>
      </c>
      <c r="N2" s="8" t="inlineStr">
        <is>
          <t>備註說明</t>
        </is>
      </c>
    </row>
    <row r="3" ht="20" customHeight="1">
      <c r="A3" s="10" t="inlineStr">
        <is>
          <t>ORD-2026-001</t>
        </is>
      </c>
      <c r="B3" s="10" t="inlineStr">
        <is>
          <t>2026-01-05</t>
        </is>
      </c>
      <c r="C3" s="10" t="inlineStr">
        <is>
          <t>官網商城</t>
        </is>
      </c>
      <c r="D3" s="10" t="inlineStr">
        <is>
          <t>SKU-A101</t>
        </is>
      </c>
      <c r="E3" s="22">
        <f>XLOOKUP(D3,產品規格主檔!$A$3:$A$8,產品規格主檔!$B$3:$B$8)</f>
        <v/>
      </c>
      <c r="F3" s="11" t="n">
        <v>3</v>
      </c>
      <c r="G3" s="11" t="n">
        <v>1580</v>
      </c>
      <c r="H3" s="11">
        <f>F3*G3</f>
        <v/>
      </c>
      <c r="I3" s="11">
        <f>XLOOKUP(D3,產品規格主檔!$A$3:$A$8,產品規格主檔!$E$3:$E$8)</f>
        <v/>
      </c>
      <c r="J3" s="11">
        <f>F3*I3</f>
        <v/>
      </c>
      <c r="K3" s="11">
        <f>H3-J3</f>
        <v/>
      </c>
      <c r="L3" s="12">
        <f>K3/H3</f>
        <v/>
      </c>
      <c r="M3" s="10" t="inlineStr">
        <is>
          <t>正常完成</t>
        </is>
      </c>
      <c r="N3" s="22" t="inlineStr">
        <is>
          <t>免運優惠</t>
        </is>
      </c>
    </row>
    <row r="4" ht="20" customHeight="1">
      <c r="A4" s="13" t="inlineStr">
        <is>
          <t>ORD-2026-002</t>
        </is>
      </c>
      <c r="B4" s="13" t="inlineStr">
        <is>
          <t>2026-01-07</t>
        </is>
      </c>
      <c r="C4" s="13" t="inlineStr">
        <is>
          <t>台北信義門市</t>
        </is>
      </c>
      <c r="D4" s="13" t="inlineStr">
        <is>
          <t>SKU-A102</t>
        </is>
      </c>
      <c r="E4" s="21">
        <f>XLOOKUP(D4,產品規格主檔!$A$3:$A$8,產品規格主檔!$B$3:$B$8)</f>
        <v/>
      </c>
      <c r="F4" s="14" t="n">
        <v>1</v>
      </c>
      <c r="G4" s="14" t="n">
        <v>3880</v>
      </c>
      <c r="H4" s="14">
        <f>F4*G4</f>
        <v/>
      </c>
      <c r="I4" s="14">
        <f>XLOOKUP(D4,產品規格主檔!$A$3:$A$8,產品規格主檔!$E$3:$E$8)</f>
        <v/>
      </c>
      <c r="J4" s="14">
        <f>F4*I4</f>
        <v/>
      </c>
      <c r="K4" s="14">
        <f>H4-J4</f>
        <v/>
      </c>
      <c r="L4" s="15">
        <f>K4/H4</f>
        <v/>
      </c>
      <c r="M4" s="13" t="inlineStr">
        <is>
          <t>正常完成</t>
        </is>
      </c>
      <c r="N4" s="21" t="inlineStr">
        <is>
          <t>現場刷卡</t>
        </is>
      </c>
    </row>
    <row r="5" ht="20" customHeight="1">
      <c r="A5" s="10" t="inlineStr">
        <is>
          <t>ORD-2026-003</t>
        </is>
      </c>
      <c r="B5" s="10" t="inlineStr">
        <is>
          <t>2026-01-10</t>
        </is>
      </c>
      <c r="C5" s="10" t="inlineStr">
        <is>
          <t>Momo購物網</t>
        </is>
      </c>
      <c r="D5" s="10" t="inlineStr">
        <is>
          <t>SKU-B201</t>
        </is>
      </c>
      <c r="E5" s="22">
        <f>XLOOKUP(D5,產品規格主檔!$A$3:$A$8,產品規格主檔!$B$3:$B$8)</f>
        <v/>
      </c>
      <c r="F5" s="11" t="n">
        <v>2</v>
      </c>
      <c r="G5" s="11" t="n">
        <v>2280</v>
      </c>
      <c r="H5" s="11">
        <f>F5*G5</f>
        <v/>
      </c>
      <c r="I5" s="11">
        <f>XLOOKUP(D5,產品規格主檔!$A$3:$A$8,產品規格主檔!$E$3:$E$8)</f>
        <v/>
      </c>
      <c r="J5" s="11">
        <f>F5*I5</f>
        <v/>
      </c>
      <c r="K5" s="11">
        <f>H5-J5</f>
        <v/>
      </c>
      <c r="L5" s="12">
        <f>K5/H5</f>
        <v/>
      </c>
      <c r="M5" s="10" t="inlineStr">
        <is>
          <t>正常完成</t>
        </is>
      </c>
      <c r="N5" s="22" t="inlineStr">
        <is>
          <t>年貨節活動</t>
        </is>
      </c>
    </row>
    <row r="6" ht="20" customHeight="1">
      <c r="A6" s="13" t="inlineStr">
        <is>
          <t>ORD-2026-004</t>
        </is>
      </c>
      <c r="B6" s="13" t="inlineStr">
        <is>
          <t>2026-01-14</t>
        </is>
      </c>
      <c r="C6" s="13" t="inlineStr">
        <is>
          <t>蝦皮商城</t>
        </is>
      </c>
      <c r="D6" s="13" t="inlineStr">
        <is>
          <t>SKU-C301</t>
        </is>
      </c>
      <c r="E6" s="21">
        <f>XLOOKUP(D6,產品規格主檔!$A$3:$A$8,產品規格主檔!$B$3:$B$8)</f>
        <v/>
      </c>
      <c r="F6" s="14" t="n">
        <v>5</v>
      </c>
      <c r="G6" s="14" t="n">
        <v>890</v>
      </c>
      <c r="H6" s="14">
        <f>F6*G6</f>
        <v/>
      </c>
      <c r="I6" s="14">
        <f>XLOOKUP(D6,產品規格主檔!$A$3:$A$8,產品規格主檔!$E$3:$E$8)</f>
        <v/>
      </c>
      <c r="J6" s="14">
        <f>F6*I6</f>
        <v/>
      </c>
      <c r="K6" s="14">
        <f>H6-J6</f>
        <v/>
      </c>
      <c r="L6" s="15">
        <f>K6/H6</f>
        <v/>
      </c>
      <c r="M6" s="13" t="inlineStr">
        <is>
          <t>正常完成</t>
        </is>
      </c>
      <c r="N6" s="21" t="inlineStr">
        <is>
          <t>折價券折抵</t>
        </is>
      </c>
    </row>
    <row r="7" ht="20" customHeight="1">
      <c r="A7" s="10" t="inlineStr">
        <is>
          <t>ORD-2026-005</t>
        </is>
      </c>
      <c r="B7" s="10" t="inlineStr">
        <is>
          <t>2026-01-18</t>
        </is>
      </c>
      <c r="C7" s="10" t="inlineStr">
        <is>
          <t>台中旗艦門市</t>
        </is>
      </c>
      <c r="D7" s="10" t="inlineStr">
        <is>
          <t>SKU-A102</t>
        </is>
      </c>
      <c r="E7" s="22">
        <f>XLOOKUP(D7,產品規格主檔!$A$3:$A$8,產品規格主檔!$B$3:$B$8)</f>
        <v/>
      </c>
      <c r="F7" s="11" t="n">
        <v>2</v>
      </c>
      <c r="G7" s="11" t="n">
        <v>3880</v>
      </c>
      <c r="H7" s="11">
        <f>F7*G7</f>
        <v/>
      </c>
      <c r="I7" s="11">
        <f>XLOOKUP(D7,產品規格主檔!$A$3:$A$8,產品規格主檔!$E$3:$E$8)</f>
        <v/>
      </c>
      <c r="J7" s="11">
        <f>F7*I7</f>
        <v/>
      </c>
      <c r="K7" s="11">
        <f>H7-J7</f>
        <v/>
      </c>
      <c r="L7" s="12">
        <f>K7/H7</f>
        <v/>
      </c>
      <c r="M7" s="10" t="inlineStr">
        <is>
          <t>正常完成</t>
        </is>
      </c>
      <c r="N7" s="22" t="inlineStr">
        <is>
          <t>VIP客戶</t>
        </is>
      </c>
    </row>
    <row r="8" ht="20" customHeight="1">
      <c r="A8" s="23" t="inlineStr">
        <is>
          <t>ORD-2026-006</t>
        </is>
      </c>
      <c r="B8" s="23" t="inlineStr">
        <is>
          <t>2026-01-22</t>
        </is>
      </c>
      <c r="C8" s="23" t="inlineStr">
        <is>
          <t>官網商城</t>
        </is>
      </c>
      <c r="D8" s="23" t="inlineStr">
        <is>
          <t>SKU-B202</t>
        </is>
      </c>
      <c r="E8" s="24">
        <f>XLOOKUP(D8,產品規格主檔!$A$3:$A$8,產品規格主檔!$B$3:$B$8)</f>
        <v/>
      </c>
      <c r="F8" s="25" t="n">
        <v>1</v>
      </c>
      <c r="G8" s="25" t="n">
        <v>4500</v>
      </c>
      <c r="H8" s="25">
        <f>F8*G8</f>
        <v/>
      </c>
      <c r="I8" s="25">
        <f>XLOOKUP(D8,產品規格主檔!$A$3:$A$8,產品規格主檔!$E$3:$E$8)</f>
        <v/>
      </c>
      <c r="J8" s="25">
        <f>F8*I8</f>
        <v/>
      </c>
      <c r="K8" s="25">
        <f>H8-J8</f>
        <v/>
      </c>
      <c r="L8" s="26">
        <f>K8/H8</f>
        <v/>
      </c>
      <c r="M8" s="27" t="inlineStr">
        <is>
          <t>已退貨</t>
        </is>
      </c>
      <c r="N8" s="24" t="inlineStr">
        <is>
          <t>尺寸不合退換</t>
        </is>
      </c>
    </row>
    <row r="9" ht="20" customHeight="1">
      <c r="A9" s="10" t="inlineStr">
        <is>
          <t>ORD-2026-007</t>
        </is>
      </c>
      <c r="B9" s="10" t="inlineStr">
        <is>
          <t>2026-01-28</t>
        </is>
      </c>
      <c r="C9" s="10" t="inlineStr">
        <is>
          <t>Momo購物網</t>
        </is>
      </c>
      <c r="D9" s="10" t="inlineStr">
        <is>
          <t>SKU-A101</t>
        </is>
      </c>
      <c r="E9" s="22">
        <f>XLOOKUP(D9,產品規格主檔!$A$3:$A$8,產品規格主檔!$B$3:$B$8)</f>
        <v/>
      </c>
      <c r="F9" s="11" t="n">
        <v>4</v>
      </c>
      <c r="G9" s="11" t="n">
        <v>1580</v>
      </c>
      <c r="H9" s="11">
        <f>F9*G9</f>
        <v/>
      </c>
      <c r="I9" s="11">
        <f>XLOOKUP(D9,產品規格主檔!$A$3:$A$8,產品規格主檔!$E$3:$E$8)</f>
        <v/>
      </c>
      <c r="J9" s="11">
        <f>F9*I9</f>
        <v/>
      </c>
      <c r="K9" s="11">
        <f>H9-J9</f>
        <v/>
      </c>
      <c r="L9" s="12">
        <f>K9/H9</f>
        <v/>
      </c>
      <c r="M9" s="10" t="inlineStr">
        <is>
          <t>正常完成</t>
        </is>
      </c>
      <c r="N9" s="22" t="inlineStr">
        <is>
          <t>整箱採購</t>
        </is>
      </c>
    </row>
    <row r="10" ht="20" customHeight="1">
      <c r="A10" s="13" t="inlineStr">
        <is>
          <t>ORD-2026-008</t>
        </is>
      </c>
      <c r="B10" s="13" t="inlineStr">
        <is>
          <t>2026-02-03</t>
        </is>
      </c>
      <c r="C10" s="13" t="inlineStr">
        <is>
          <t>台北信義門市</t>
        </is>
      </c>
      <c r="D10" s="13" t="inlineStr">
        <is>
          <t>SKU-B201</t>
        </is>
      </c>
      <c r="E10" s="21">
        <f>XLOOKUP(D10,產品規格主檔!$A$3:$A$8,產品規格主檔!$B$3:$B$8)</f>
        <v/>
      </c>
      <c r="F10" s="14" t="n">
        <v>3</v>
      </c>
      <c r="G10" s="14" t="n">
        <v>2280</v>
      </c>
      <c r="H10" s="14">
        <f>F10*G10</f>
        <v/>
      </c>
      <c r="I10" s="14">
        <f>XLOOKUP(D10,產品規格主檔!$A$3:$A$8,產品規格主檔!$E$3:$E$8)</f>
        <v/>
      </c>
      <c r="J10" s="14">
        <f>F10*I10</f>
        <v/>
      </c>
      <c r="K10" s="14">
        <f>H10-J10</f>
        <v/>
      </c>
      <c r="L10" s="15">
        <f>K10/H10</f>
        <v/>
      </c>
      <c r="M10" s="13" t="inlineStr">
        <is>
          <t>正常完成</t>
        </is>
      </c>
      <c r="N10" s="21" t="inlineStr">
        <is>
          <t>現場提貨</t>
        </is>
      </c>
    </row>
    <row r="11" ht="20" customHeight="1">
      <c r="A11" s="23" t="inlineStr">
        <is>
          <t>ORD-2026-009</t>
        </is>
      </c>
      <c r="B11" s="23" t="inlineStr">
        <is>
          <t>2026-02-09</t>
        </is>
      </c>
      <c r="C11" s="23" t="inlineStr">
        <is>
          <t>蝦皮商城</t>
        </is>
      </c>
      <c r="D11" s="23" t="inlineStr">
        <is>
          <t>SKU-C302</t>
        </is>
      </c>
      <c r="E11" s="24">
        <f>XLOOKUP(D11,產品規格主檔!$A$3:$A$8,產品規格主檔!$B$3:$B$8)</f>
        <v/>
      </c>
      <c r="F11" s="25" t="n">
        <v>2</v>
      </c>
      <c r="G11" s="25" t="n">
        <v>1250</v>
      </c>
      <c r="H11" s="25">
        <f>F11*G11</f>
        <v/>
      </c>
      <c r="I11" s="25">
        <f>XLOOKUP(D11,產品規格主檔!$A$3:$A$8,產品規格主檔!$E$3:$E$8)</f>
        <v/>
      </c>
      <c r="J11" s="25">
        <f>F11*I11</f>
        <v/>
      </c>
      <c r="K11" s="25">
        <f>H11-J11</f>
        <v/>
      </c>
      <c r="L11" s="26">
        <f>K11/H11</f>
        <v/>
      </c>
      <c r="M11" s="27" t="inlineStr">
        <is>
          <t>已退貨</t>
        </is>
      </c>
      <c r="N11" s="24" t="inlineStr">
        <is>
          <t>商品外箱破損</t>
        </is>
      </c>
    </row>
    <row r="12" ht="20" customHeight="1">
      <c r="A12" s="13" t="inlineStr">
        <is>
          <t>ORD-2026-010</t>
        </is>
      </c>
      <c r="B12" s="13" t="inlineStr">
        <is>
          <t>2026-02-14</t>
        </is>
      </c>
      <c r="C12" s="13" t="inlineStr">
        <is>
          <t>官網商城</t>
        </is>
      </c>
      <c r="D12" s="13" t="inlineStr">
        <is>
          <t>SKU-A102</t>
        </is>
      </c>
      <c r="E12" s="21">
        <f>XLOOKUP(D12,產品規格主檔!$A$3:$A$8,產品規格主檔!$B$3:$B$8)</f>
        <v/>
      </c>
      <c r="F12" s="14" t="n">
        <v>1</v>
      </c>
      <c r="G12" s="14" t="n">
        <v>3880</v>
      </c>
      <c r="H12" s="14">
        <f>F12*G12</f>
        <v/>
      </c>
      <c r="I12" s="14">
        <f>XLOOKUP(D12,產品規格主檔!$A$3:$A$8,產品規格主檔!$E$3:$E$8)</f>
        <v/>
      </c>
      <c r="J12" s="14">
        <f>F12*I12</f>
        <v/>
      </c>
      <c r="K12" s="14">
        <f>H12-J12</f>
        <v/>
      </c>
      <c r="L12" s="15">
        <f>K12/H12</f>
        <v/>
      </c>
      <c r="M12" s="13" t="inlineStr">
        <is>
          <t>正常完成</t>
        </is>
      </c>
      <c r="N12" s="21" t="inlineStr">
        <is>
          <t>情人節活動</t>
        </is>
      </c>
    </row>
    <row r="13" ht="20" customHeight="1">
      <c r="A13" s="10" t="inlineStr">
        <is>
          <t>ORD-2026-011</t>
        </is>
      </c>
      <c r="B13" s="10" t="inlineStr">
        <is>
          <t>2026-02-18</t>
        </is>
      </c>
      <c r="C13" s="10" t="inlineStr">
        <is>
          <t>台中旗艦門市</t>
        </is>
      </c>
      <c r="D13" s="10" t="inlineStr">
        <is>
          <t>SKU-B202</t>
        </is>
      </c>
      <c r="E13" s="22">
        <f>XLOOKUP(D13,產品規格主檔!$A$3:$A$8,產品規格主檔!$B$3:$B$8)</f>
        <v/>
      </c>
      <c r="F13" s="11" t="n">
        <v>2</v>
      </c>
      <c r="G13" s="11" t="n">
        <v>4500</v>
      </c>
      <c r="H13" s="11">
        <f>F13*G13</f>
        <v/>
      </c>
      <c r="I13" s="11">
        <f>XLOOKUP(D13,產品規格主檔!$A$3:$A$8,產品規格主檔!$E$3:$E$8)</f>
        <v/>
      </c>
      <c r="J13" s="11">
        <f>F13*I13</f>
        <v/>
      </c>
      <c r="K13" s="11">
        <f>H13-J13</f>
        <v/>
      </c>
      <c r="L13" s="12">
        <f>K13/H13</f>
        <v/>
      </c>
      <c r="M13" s="10" t="inlineStr">
        <is>
          <t>正常完成</t>
        </is>
      </c>
      <c r="N13" s="22" t="inlineStr">
        <is>
          <t>新品體驗</t>
        </is>
      </c>
    </row>
    <row r="14" ht="20" customHeight="1">
      <c r="A14" s="13" t="inlineStr">
        <is>
          <t>ORD-2026-012</t>
        </is>
      </c>
      <c r="B14" s="13" t="inlineStr">
        <is>
          <t>2026-02-23</t>
        </is>
      </c>
      <c r="C14" s="13" t="inlineStr">
        <is>
          <t>Momo購物網</t>
        </is>
      </c>
      <c r="D14" s="13" t="inlineStr">
        <is>
          <t>SKU-C301</t>
        </is>
      </c>
      <c r="E14" s="21">
        <f>XLOOKUP(D14,產品規格主檔!$A$3:$A$8,產品規格主檔!$B$3:$B$8)</f>
        <v/>
      </c>
      <c r="F14" s="14" t="n">
        <v>10</v>
      </c>
      <c r="G14" s="14" t="n">
        <v>890</v>
      </c>
      <c r="H14" s="14">
        <f>F14*G14</f>
        <v/>
      </c>
      <c r="I14" s="14">
        <f>XLOOKUP(D14,產品規格主檔!$A$3:$A$8,產品規格主檔!$E$3:$E$8)</f>
        <v/>
      </c>
      <c r="J14" s="14">
        <f>F14*I14</f>
        <v/>
      </c>
      <c r="K14" s="14">
        <f>H14-J14</f>
        <v/>
      </c>
      <c r="L14" s="15">
        <f>K14/H14</f>
        <v/>
      </c>
      <c r="M14" s="13" t="inlineStr">
        <is>
          <t>正常完成</t>
        </is>
      </c>
      <c r="N14" s="21" t="inlineStr">
        <is>
          <t>企業採購</t>
        </is>
      </c>
    </row>
    <row r="15" ht="20" customHeight="1">
      <c r="A15" s="10" t="inlineStr">
        <is>
          <t>ORD-2026-013</t>
        </is>
      </c>
      <c r="B15" s="10" t="inlineStr">
        <is>
          <t>2026-03-02</t>
        </is>
      </c>
      <c r="C15" s="10" t="inlineStr">
        <is>
          <t>官網商城</t>
        </is>
      </c>
      <c r="D15" s="10" t="inlineStr">
        <is>
          <t>SKU-A101</t>
        </is>
      </c>
      <c r="E15" s="22">
        <f>XLOOKUP(D15,產品規格主檔!$A$3:$A$8,產品規格主檔!$B$3:$B$8)</f>
        <v/>
      </c>
      <c r="F15" s="11" t="n">
        <v>2</v>
      </c>
      <c r="G15" s="11" t="n">
        <v>1580</v>
      </c>
      <c r="H15" s="11">
        <f>F15*G15</f>
        <v/>
      </c>
      <c r="I15" s="11">
        <f>XLOOKUP(D15,產品規格主檔!$A$3:$A$8,產品規格主檔!$E$3:$E$8)</f>
        <v/>
      </c>
      <c r="J15" s="11">
        <f>F15*I15</f>
        <v/>
      </c>
      <c r="K15" s="11">
        <f>H15-J15</f>
        <v/>
      </c>
      <c r="L15" s="12">
        <f>K15/H15</f>
        <v/>
      </c>
      <c r="M15" s="10" t="inlineStr">
        <is>
          <t>正常完成</t>
        </is>
      </c>
      <c r="N15" s="22" t="inlineStr">
        <is>
          <t>會員回購</t>
        </is>
      </c>
    </row>
    <row r="16" ht="20" customHeight="1">
      <c r="A16" s="13" t="inlineStr">
        <is>
          <t>ORD-2026-014</t>
        </is>
      </c>
      <c r="B16" s="13" t="inlineStr">
        <is>
          <t>2026-03-08</t>
        </is>
      </c>
      <c r="C16" s="13" t="inlineStr">
        <is>
          <t>台北信義門市</t>
        </is>
      </c>
      <c r="D16" s="13" t="inlineStr">
        <is>
          <t>SKU-C302</t>
        </is>
      </c>
      <c r="E16" s="21">
        <f>XLOOKUP(D16,產品規格主檔!$A$3:$A$8,產品規格主檔!$B$3:$B$8)</f>
        <v/>
      </c>
      <c r="F16" s="14" t="n">
        <v>4</v>
      </c>
      <c r="G16" s="14" t="n">
        <v>1250</v>
      </c>
      <c r="H16" s="14">
        <f>F16*G16</f>
        <v/>
      </c>
      <c r="I16" s="14">
        <f>XLOOKUP(D16,產品規格主檔!$A$3:$A$8,產品規格主檔!$E$3:$E$8)</f>
        <v/>
      </c>
      <c r="J16" s="14">
        <f>F16*I16</f>
        <v/>
      </c>
      <c r="K16" s="14">
        <f>H16-J16</f>
        <v/>
      </c>
      <c r="L16" s="15">
        <f>K16/H16</f>
        <v/>
      </c>
      <c r="M16" s="13" t="inlineStr">
        <is>
          <t>正常完成</t>
        </is>
      </c>
      <c r="N16" s="21" t="inlineStr">
        <is>
          <t>門市特惠</t>
        </is>
      </c>
    </row>
    <row r="17" ht="20" customHeight="1">
      <c r="A17" s="23" t="inlineStr">
        <is>
          <t>ORD-2026-015</t>
        </is>
      </c>
      <c r="B17" s="23" t="inlineStr">
        <is>
          <t>2026-03-12</t>
        </is>
      </c>
      <c r="C17" s="23" t="inlineStr">
        <is>
          <t>蝦皮商城</t>
        </is>
      </c>
      <c r="D17" s="23" t="inlineStr">
        <is>
          <t>SKU-B201</t>
        </is>
      </c>
      <c r="E17" s="24">
        <f>XLOOKUP(D17,產品規格主檔!$A$3:$A$8,產品規格主檔!$B$3:$B$8)</f>
        <v/>
      </c>
      <c r="F17" s="25" t="n">
        <v>1</v>
      </c>
      <c r="G17" s="25" t="n">
        <v>2280</v>
      </c>
      <c r="H17" s="25">
        <f>F17*G17</f>
        <v/>
      </c>
      <c r="I17" s="25">
        <f>XLOOKUP(D17,產品規格主檔!$A$3:$A$8,產品規格主檔!$E$3:$E$8)</f>
        <v/>
      </c>
      <c r="J17" s="25">
        <f>F17*I17</f>
        <v/>
      </c>
      <c r="K17" s="25">
        <f>H17-J17</f>
        <v/>
      </c>
      <c r="L17" s="26">
        <f>K17/H17</f>
        <v/>
      </c>
      <c r="M17" s="27" t="inlineStr">
        <is>
          <t>已退貨</t>
        </is>
      </c>
      <c r="N17" s="24" t="inlineStr">
        <is>
          <t>買錯型號</t>
        </is>
      </c>
    </row>
    <row r="18" ht="20" customHeight="1">
      <c r="A18" s="13" t="inlineStr">
        <is>
          <t>ORD-2026-016</t>
        </is>
      </c>
      <c r="B18" s="13" t="inlineStr">
        <is>
          <t>2026-03-18</t>
        </is>
      </c>
      <c r="C18" s="13" t="inlineStr">
        <is>
          <t>Momo購物網</t>
        </is>
      </c>
      <c r="D18" s="13" t="inlineStr">
        <is>
          <t>SKU-A102</t>
        </is>
      </c>
      <c r="E18" s="21">
        <f>XLOOKUP(D18,產品規格主檔!$A$3:$A$8,產品規格主檔!$B$3:$B$8)</f>
        <v/>
      </c>
      <c r="F18" s="14" t="n">
        <v>3</v>
      </c>
      <c r="G18" s="14" t="n">
        <v>3880</v>
      </c>
      <c r="H18" s="14">
        <f>F18*G18</f>
        <v/>
      </c>
      <c r="I18" s="14">
        <f>XLOOKUP(D18,產品規格主檔!$A$3:$A$8,產品規格主檔!$E$3:$E$8)</f>
        <v/>
      </c>
      <c r="J18" s="14">
        <f>F18*I18</f>
        <v/>
      </c>
      <c r="K18" s="14">
        <f>H18-J18</f>
        <v/>
      </c>
      <c r="L18" s="15">
        <f>K18/H18</f>
        <v/>
      </c>
      <c r="M18" s="13" t="inlineStr">
        <is>
          <t>正常完成</t>
        </is>
      </c>
      <c r="N18" s="21" t="inlineStr">
        <is>
          <t>限時促銷</t>
        </is>
      </c>
    </row>
    <row r="19" ht="20" customHeight="1">
      <c r="A19" s="10" t="inlineStr">
        <is>
          <t>ORD-2026-017</t>
        </is>
      </c>
      <c r="B19" s="10" t="inlineStr">
        <is>
          <t>2026-03-22</t>
        </is>
      </c>
      <c r="C19" s="10" t="inlineStr">
        <is>
          <t>台中旗艦門市</t>
        </is>
      </c>
      <c r="D19" s="10" t="inlineStr">
        <is>
          <t>SKU-C301</t>
        </is>
      </c>
      <c r="E19" s="22">
        <f>XLOOKUP(D19,產品規格主檔!$A$3:$A$8,產品規格主檔!$B$3:$B$8)</f>
        <v/>
      </c>
      <c r="F19" s="11" t="n">
        <v>6</v>
      </c>
      <c r="G19" s="11" t="n">
        <v>890</v>
      </c>
      <c r="H19" s="11">
        <f>F19*G19</f>
        <v/>
      </c>
      <c r="I19" s="11">
        <f>XLOOKUP(D19,產品規格主檔!$A$3:$A$8,產品規格主檔!$E$3:$E$8)</f>
        <v/>
      </c>
      <c r="J19" s="11">
        <f>F19*I19</f>
        <v/>
      </c>
      <c r="K19" s="11">
        <f>H19-J19</f>
        <v/>
      </c>
      <c r="L19" s="12">
        <f>K19/H19</f>
        <v/>
      </c>
      <c r="M19" s="10" t="inlineStr">
        <is>
          <t>正常完成</t>
        </is>
      </c>
      <c r="N19" s="22" t="inlineStr">
        <is>
          <t>現場選購</t>
        </is>
      </c>
    </row>
    <row r="20" ht="20" customHeight="1">
      <c r="A20" s="13" t="inlineStr">
        <is>
          <t>ORD-2026-018</t>
        </is>
      </c>
      <c r="B20" s="13" t="inlineStr">
        <is>
          <t>2026-03-25</t>
        </is>
      </c>
      <c r="C20" s="13" t="inlineStr">
        <is>
          <t>官網商城</t>
        </is>
      </c>
      <c r="D20" s="13" t="inlineStr">
        <is>
          <t>SKU-B202</t>
        </is>
      </c>
      <c r="E20" s="21">
        <f>XLOOKUP(D20,產品規格主檔!$A$3:$A$8,產品規格主檔!$B$3:$B$8)</f>
        <v/>
      </c>
      <c r="F20" s="14" t="n">
        <v>2</v>
      </c>
      <c r="G20" s="14" t="n">
        <v>4500</v>
      </c>
      <c r="H20" s="14">
        <f>F20*G20</f>
        <v/>
      </c>
      <c r="I20" s="14">
        <f>XLOOKUP(D20,產品規格主檔!$A$3:$A$8,產品規格主檔!$E$3:$E$8)</f>
        <v/>
      </c>
      <c r="J20" s="14">
        <f>F20*I20</f>
        <v/>
      </c>
      <c r="K20" s="14">
        <f>H20-J20</f>
        <v/>
      </c>
      <c r="L20" s="15">
        <f>K20/H20</f>
        <v/>
      </c>
      <c r="M20" s="13" t="inlineStr">
        <is>
          <t>正常完成</t>
        </is>
      </c>
      <c r="N20" s="21" t="inlineStr">
        <is>
          <t>春季特惠</t>
        </is>
      </c>
    </row>
    <row r="21" ht="20" customHeight="1">
      <c r="A21" s="10" t="inlineStr">
        <is>
          <t>ORD-2026-019</t>
        </is>
      </c>
      <c r="B21" s="10" t="inlineStr">
        <is>
          <t>2026-03-29</t>
        </is>
      </c>
      <c r="C21" s="10" t="inlineStr">
        <is>
          <t>台北信義門市</t>
        </is>
      </c>
      <c r="D21" s="10" t="inlineStr">
        <is>
          <t>SKU-A101</t>
        </is>
      </c>
      <c r="E21" s="22">
        <f>XLOOKUP(D21,產品規格主檔!$A$3:$A$8,產品規格主檔!$B$3:$B$8)</f>
        <v/>
      </c>
      <c r="F21" s="11" t="n">
        <v>5</v>
      </c>
      <c r="G21" s="11" t="n">
        <v>1580</v>
      </c>
      <c r="H21" s="11">
        <f>F21*G21</f>
        <v/>
      </c>
      <c r="I21" s="11">
        <f>XLOOKUP(D21,產品規格主檔!$A$3:$A$8,產品規格主檔!$E$3:$E$8)</f>
        <v/>
      </c>
      <c r="J21" s="11">
        <f>F21*I21</f>
        <v/>
      </c>
      <c r="K21" s="11">
        <f>H21-J21</f>
        <v/>
      </c>
      <c r="L21" s="12">
        <f>K21/H21</f>
        <v/>
      </c>
      <c r="M21" s="10" t="inlineStr">
        <is>
          <t>正常完成</t>
        </is>
      </c>
      <c r="N21" s="22" t="inlineStr">
        <is>
          <t>公司活動贈品</t>
        </is>
      </c>
    </row>
    <row r="22" ht="20" customHeight="1">
      <c r="A22" s="13" t="inlineStr">
        <is>
          <t>ORD-2026-020</t>
        </is>
      </c>
      <c r="B22" s="13" t="inlineStr">
        <is>
          <t>2026-03-31</t>
        </is>
      </c>
      <c r="C22" s="13" t="inlineStr">
        <is>
          <t>Momo購物網</t>
        </is>
      </c>
      <c r="D22" s="13" t="inlineStr">
        <is>
          <t>SKU-B201</t>
        </is>
      </c>
      <c r="E22" s="21">
        <f>XLOOKUP(D22,產品規格主檔!$A$3:$A$8,產品規格主檔!$B$3:$B$8)</f>
        <v/>
      </c>
      <c r="F22" s="14" t="n">
        <v>4</v>
      </c>
      <c r="G22" s="14" t="n">
        <v>2280</v>
      </c>
      <c r="H22" s="14">
        <f>F22*G22</f>
        <v/>
      </c>
      <c r="I22" s="14">
        <f>XLOOKUP(D22,產品規格主檔!$A$3:$A$8,產品規格主檔!$E$3:$E$8)</f>
        <v/>
      </c>
      <c r="J22" s="14">
        <f>F22*I22</f>
        <v/>
      </c>
      <c r="K22" s="14">
        <f>H22-J22</f>
        <v/>
      </c>
      <c r="L22" s="15">
        <f>K22/H22</f>
        <v/>
      </c>
      <c r="M22" s="13" t="inlineStr">
        <is>
          <t>正常完成</t>
        </is>
      </c>
      <c r="N22" s="21" t="inlineStr">
        <is>
          <t>季末大促</t>
        </is>
      </c>
    </row>
    <row r="23" ht="24" customHeight="1">
      <c r="A23" s="17" t="inlineStr">
        <is>
          <t>合計總算</t>
        </is>
      </c>
      <c r="B23" s="18" t="n"/>
      <c r="C23" s="18" t="n"/>
      <c r="D23" s="18" t="n"/>
      <c r="E23" s="18" t="n"/>
      <c r="F23" s="19">
        <f>SUM(F3:F22)</f>
        <v/>
      </c>
      <c r="G23" s="18" t="n"/>
      <c r="H23" s="19">
        <f>SUM(H3:H22)</f>
        <v/>
      </c>
      <c r="I23" s="18" t="n"/>
      <c r="J23" s="19">
        <f>SUM(J3:J22)</f>
        <v/>
      </c>
      <c r="K23" s="19">
        <f>SUM(K3:K22)</f>
        <v/>
      </c>
      <c r="L23" s="20">
        <f>K23/H23</f>
        <v/>
      </c>
      <c r="M23" s="17">
        <f>"退貨: " &amp; COUNTIF(M3:M22,"已退貨") &amp; " 筆"</f>
        <v/>
      </c>
      <c r="N23" s="18" t="n"/>
    </row>
  </sheetData>
  <mergeCells count="2">
    <mergeCell ref="A23:E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2026-10-06T13:02:12Z</dcterms:created>
  <dcterms:modified xsi:type="dcterms:W3CDTF">2026-10-06T13:02:12Z</dcterms:modified>
</cp:coreProperties>
</file>