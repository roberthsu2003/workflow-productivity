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專案時程與預算管控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微軟正黑體"/>
      <b val="1"/>
      <color rgb="001F4E79"/>
      <sz val="16"/>
    </font>
    <font>
      <name val="微軟正黑體"/>
      <i val="1"/>
      <color rgb="00595959"/>
      <sz val="10"/>
    </font>
    <font>
      <name val="微軟正黑體"/>
      <b val="1"/>
      <color rgb="00FFFFFF"/>
      <sz val="11"/>
    </font>
    <font>
      <name val="微軟正黑體"/>
      <color rgb="00000000"/>
      <sz val="10"/>
    </font>
    <font>
      <name val="微軟正黑體"/>
      <b val="1"/>
      <color rgb="00C00000"/>
      <sz val="10"/>
    </font>
    <font>
      <name val="微軟正黑體"/>
      <b val="1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2F7FA"/>
        <bgColor rgb="00F2F7FA"/>
      </patternFill>
    </fill>
    <fill>
      <patternFill patternType="solid">
        <fgColor rgb="00FCE4D6"/>
        <bgColor rgb="00FCE4D6"/>
      </patternFill>
    </fill>
    <fill>
      <patternFill patternType="solid">
        <fgColor rgb="00D9E1F2"/>
        <bgColor rgb="00D9E1F2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E79"/>
      </top>
      <bottom style="double">
        <color rgb="001F4E79"/>
      </bottom>
    </border>
    <border>
      <left/>
      <right/>
      <top style="thin">
        <color rgb="001F4E79"/>
      </top>
      <bottom/>
      <diagonal/>
    </border>
    <border>
      <left/>
      <right/>
      <top style="thin">
        <color rgb="001F4E79"/>
      </top>
      <bottom style="double">
        <color rgb="001F4E79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9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9" fontId="4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6" borderId="2" pivotButton="0" quotePrefix="0" xfId="0"/>
    <xf numFmtId="3" fontId="6" fillId="6" borderId="2" applyAlignment="1" pivotButton="0" quotePrefix="0" xfId="0">
      <alignment horizontal="right" vertical="center"/>
    </xf>
    <xf numFmtId="164" fontId="6" fillId="6" borderId="2" applyAlignment="1" pivotButton="0" quotePrefix="0" xfId="0">
      <alignment horizontal="right" vertical="center"/>
    </xf>
    <xf numFmtId="164" fontId="6" fillId="6" borderId="2" applyAlignment="1" pivotButton="0" quotePrefix="0" xfId="0">
      <alignment horizontal="center" vertical="center"/>
    </xf>
    <xf numFmtId="0" fontId="0" fillId="0" borderId="4" pivotButton="0" quotePrefix="0" xfId="0"/>
  </cellXfs>
  <cellStyles count="1">
    <cellStyle name="Normal" xfId="0" builtinId="0" hidden="0"/>
  </cellStyles>
  <dxfs count="3"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9C6500"/>
      </font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12" customWidth="1" min="4" max="4"/>
    <col width="14" customWidth="1" min="5" max="5"/>
    <col width="14" customWidth="1" min="6" max="6"/>
    <col width="17" customWidth="1" min="7" max="7"/>
    <col width="17" customWidth="1" min="8" max="8"/>
    <col width="17" customWidth="1" min="9" max="9"/>
    <col width="19" customWidth="1" min="10" max="10"/>
    <col width="14" customWidth="1" min="11" max="11"/>
    <col width="22" customWidth="1" min="12" max="12"/>
  </cols>
  <sheetData>
    <row r="1" ht="35" customHeight="1">
      <c r="A1" s="1" t="inlineStr">
        <is>
          <t>2026 數位轉型專案里程碑與預算進度管控表 (Project Horizon)</t>
        </is>
      </c>
    </row>
    <row r="2" ht="20" customHeight="1">
      <c r="A2" s="2" t="inlineStr">
        <is>
          <t>基準日期：2026-04-30 ｜ 管理層級：專案PM辦公室 (PMO) ｜ 單位：新台幣 (NTD)</t>
        </is>
      </c>
    </row>
    <row r="3" ht="26" customHeight="1">
      <c r="A3" s="3" t="inlineStr">
        <is>
          <t>任務編號</t>
        </is>
      </c>
      <c r="B3" s="3" t="inlineStr">
        <is>
          <t>所屬部門</t>
        </is>
      </c>
      <c r="C3" s="3" t="inlineStr">
        <is>
          <t>任務名稱</t>
        </is>
      </c>
      <c r="D3" s="3" t="inlineStr">
        <is>
          <t>負責人</t>
        </is>
      </c>
      <c r="E3" s="3" t="inlineStr">
        <is>
          <t>預計開始日</t>
        </is>
      </c>
      <c r="F3" s="3" t="inlineStr">
        <is>
          <t>預計完成日</t>
        </is>
      </c>
      <c r="G3" s="3" t="inlineStr">
        <is>
          <t>編列預算(NT$)</t>
        </is>
      </c>
      <c r="H3" s="3" t="inlineStr">
        <is>
          <t>實際支出(NT$)</t>
        </is>
      </c>
      <c r="I3" s="3" t="inlineStr">
        <is>
          <t>預算差異(NT$)</t>
        </is>
      </c>
      <c r="J3" s="3" t="inlineStr">
        <is>
          <t>進度(%)</t>
        </is>
      </c>
      <c r="K3" s="3" t="inlineStr">
        <is>
          <t>執行狀態</t>
        </is>
      </c>
      <c r="L3" s="3" t="inlineStr">
        <is>
          <t>風險備註</t>
        </is>
      </c>
    </row>
    <row r="4" ht="22" customHeight="1">
      <c r="A4" s="4" t="inlineStr">
        <is>
          <t>TSK-01</t>
        </is>
      </c>
      <c r="B4" s="4" t="inlineStr">
        <is>
          <t>IT處</t>
        </is>
      </c>
      <c r="C4" s="5" t="inlineStr">
        <is>
          <t>系統架構規劃</t>
        </is>
      </c>
      <c r="D4" s="4" t="inlineStr">
        <is>
          <t>王大明</t>
        </is>
      </c>
      <c r="E4" s="4" t="inlineStr">
        <is>
          <t>2026-04-01</t>
        </is>
      </c>
      <c r="F4" s="4" t="inlineStr">
        <is>
          <t>2026-04-15</t>
        </is>
      </c>
      <c r="G4" s="6" t="n">
        <v>120000</v>
      </c>
      <c r="H4" s="6" t="n">
        <v>115000</v>
      </c>
      <c r="I4" s="6">
        <f>G4-H4</f>
        <v/>
      </c>
      <c r="J4" s="7" t="n">
        <v>1</v>
      </c>
      <c r="K4" s="8" t="inlineStr">
        <is>
          <t>已完成</t>
        </is>
      </c>
      <c r="L4" s="5" t="inlineStr">
        <is>
          <t>驗收通過</t>
        </is>
      </c>
    </row>
    <row r="5" ht="22" customHeight="1">
      <c r="A5" s="9" t="inlineStr">
        <is>
          <t>TSK-02</t>
        </is>
      </c>
      <c r="B5" s="9" t="inlineStr">
        <is>
          <t>IT處</t>
        </is>
      </c>
      <c r="C5" s="10" t="inlineStr">
        <is>
          <t>核心資料庫遷移</t>
        </is>
      </c>
      <c r="D5" s="9" t="inlineStr">
        <is>
          <t>王大明</t>
        </is>
      </c>
      <c r="E5" s="9" t="inlineStr">
        <is>
          <t>2026-04-16</t>
        </is>
      </c>
      <c r="F5" s="9" t="inlineStr">
        <is>
          <t>2026-05-15</t>
        </is>
      </c>
      <c r="G5" s="11" t="n">
        <v>280000</v>
      </c>
      <c r="H5" s="11" t="n">
        <v>295000</v>
      </c>
      <c r="I5" s="12">
        <f>G5-H5</f>
        <v/>
      </c>
      <c r="J5" s="13" t="n">
        <v>0.75</v>
      </c>
      <c r="K5" s="14" t="inlineStr">
        <is>
          <t>卡關延遲</t>
        </is>
      </c>
      <c r="L5" s="10" t="inlineStr">
        <is>
          <t>需追加硬體授權預算</t>
        </is>
      </c>
    </row>
    <row r="6" ht="22" customHeight="1">
      <c r="A6" s="4" t="inlineStr">
        <is>
          <t>TSK-03</t>
        </is>
      </c>
      <c r="B6" s="4" t="inlineStr">
        <is>
          <t>產品處</t>
        </is>
      </c>
      <c r="C6" s="5" t="inlineStr">
        <is>
          <t>使用者體驗調研</t>
        </is>
      </c>
      <c r="D6" s="4" t="inlineStr">
        <is>
          <t>李小美</t>
        </is>
      </c>
      <c r="E6" s="4" t="inlineStr">
        <is>
          <t>2026-04-10</t>
        </is>
      </c>
      <c r="F6" s="4" t="inlineStr">
        <is>
          <t>2026-04-30</t>
        </is>
      </c>
      <c r="G6" s="6" t="n">
        <v>85000</v>
      </c>
      <c r="H6" s="6" t="n">
        <v>80000</v>
      </c>
      <c r="I6" s="6">
        <f>G6-H6</f>
        <v/>
      </c>
      <c r="J6" s="7" t="n">
        <v>0.9</v>
      </c>
      <c r="K6" s="4" t="inlineStr">
        <is>
          <t>進行中</t>
        </is>
      </c>
      <c r="L6" s="5" t="inlineStr">
        <is>
          <t>問卷回收順利</t>
        </is>
      </c>
    </row>
    <row r="7" ht="22" customHeight="1">
      <c r="A7" s="9" t="inlineStr">
        <is>
          <t>TSK-04</t>
        </is>
      </c>
      <c r="B7" s="9" t="inlineStr">
        <is>
          <t>產品處</t>
        </is>
      </c>
      <c r="C7" s="10" t="inlineStr">
        <is>
          <t>後台原型線框繪製</t>
        </is>
      </c>
      <c r="D7" s="9" t="inlineStr">
        <is>
          <t>李小美</t>
        </is>
      </c>
      <c r="E7" s="9" t="inlineStr">
        <is>
          <t>2026-05-01</t>
        </is>
      </c>
      <c r="F7" s="9" t="inlineStr">
        <is>
          <t>2026-05-20</t>
        </is>
      </c>
      <c r="G7" s="11" t="n">
        <v>150000</v>
      </c>
      <c r="H7" s="11" t="n">
        <v>60000</v>
      </c>
      <c r="I7" s="11">
        <f>G7-H7</f>
        <v/>
      </c>
      <c r="J7" s="13" t="n">
        <v>0.4</v>
      </c>
      <c r="K7" s="9" t="inlineStr">
        <is>
          <t>進行中</t>
        </is>
      </c>
      <c r="L7" s="10" t="inlineStr">
        <is>
          <t>依時程推進中</t>
        </is>
      </c>
    </row>
    <row r="8" ht="22" customHeight="1">
      <c r="A8" s="4" t="inlineStr">
        <is>
          <t>TSK-05</t>
        </is>
      </c>
      <c r="B8" s="4" t="inlineStr">
        <is>
          <t>行銷部</t>
        </is>
      </c>
      <c r="C8" s="5" t="inlineStr">
        <is>
          <t>全通路品牌更新</t>
        </is>
      </c>
      <c r="D8" s="4" t="inlineStr">
        <is>
          <t>陳思翰</t>
        </is>
      </c>
      <c r="E8" s="4" t="inlineStr">
        <is>
          <t>2026-05-10</t>
        </is>
      </c>
      <c r="F8" s="4" t="inlineStr">
        <is>
          <t>2026-06-10</t>
        </is>
      </c>
      <c r="G8" s="6" t="n">
        <v>200000</v>
      </c>
      <c r="H8" s="6" t="n">
        <v>50000</v>
      </c>
      <c r="I8" s="6">
        <f>G8-H8</f>
        <v/>
      </c>
      <c r="J8" s="7" t="n">
        <v>0.25</v>
      </c>
      <c r="K8" s="4" t="inlineStr">
        <is>
          <t>進行中</t>
        </is>
      </c>
      <c r="L8" s="5" t="inlineStr">
        <is>
          <t>主視覺草案初審</t>
        </is>
      </c>
    </row>
    <row r="9" ht="22" customHeight="1">
      <c r="A9" s="9" t="inlineStr">
        <is>
          <t>TSK-06</t>
        </is>
      </c>
      <c r="B9" s="9" t="inlineStr">
        <is>
          <t>人資處</t>
        </is>
      </c>
      <c r="C9" s="10" t="inlineStr">
        <is>
          <t>全員系統操作培訓</t>
        </is>
      </c>
      <c r="D9" s="9" t="inlineStr">
        <is>
          <t>張建國</t>
        </is>
      </c>
      <c r="E9" s="9" t="inlineStr">
        <is>
          <t>2026-06-01</t>
        </is>
      </c>
      <c r="F9" s="9" t="inlineStr">
        <is>
          <t>2026-06-25</t>
        </is>
      </c>
      <c r="G9" s="11" t="n">
        <v>95000</v>
      </c>
      <c r="H9" s="11" t="n">
        <v>0</v>
      </c>
      <c r="I9" s="11">
        <f>G9-H9</f>
        <v/>
      </c>
      <c r="J9" s="13" t="n">
        <v>0</v>
      </c>
      <c r="K9" s="9" t="inlineStr">
        <is>
          <t>未開始</t>
        </is>
      </c>
      <c r="L9" s="10" t="inlineStr">
        <is>
          <t>教材編寫中</t>
        </is>
      </c>
    </row>
    <row r="10" ht="25" customHeight="1">
      <c r="A10" s="15" t="inlineStr">
        <is>
          <t>合計 / 平均</t>
        </is>
      </c>
      <c r="B10" s="20" t="n"/>
      <c r="C10" s="20" t="n"/>
      <c r="D10" s="20" t="n"/>
      <c r="E10" s="20" t="n"/>
      <c r="F10" s="20" t="n"/>
      <c r="G10" s="17">
        <f>SUM(G4:G9)</f>
        <v/>
      </c>
      <c r="H10" s="17">
        <f>SUM(H4:H9)</f>
        <v/>
      </c>
      <c r="I10" s="17">
        <f>SUM(I4:I9)</f>
        <v/>
      </c>
      <c r="J10" s="18">
        <f>AVERAGE(J4:J9)</f>
        <v/>
      </c>
      <c r="K10" s="15" t="inlineStr">
        <is>
          <t>預算執行率</t>
        </is>
      </c>
      <c r="L10" s="19">
        <f>H10/G10</f>
        <v/>
      </c>
    </row>
  </sheetData>
  <mergeCells count="3">
    <mergeCell ref="A2:L2"/>
    <mergeCell ref="A10:F10"/>
    <mergeCell ref="A1:L1"/>
  </mergeCells>
  <conditionalFormatting sqref="I4:I15">
    <cfRule type="cellIs" priority="1" operator="lessThan" dxfId="0" stopIfTrue="1">
      <formula>0</formula>
    </cfRule>
  </conditionalFormatting>
  <conditionalFormatting sqref="K4:K15">
    <cfRule type="cellIs" priority="2" operator="equal" dxfId="1" stopIfTrue="1">
      <formula>"已完成"</formula>
    </cfRule>
    <cfRule type="cellIs" priority="3" operator="equal" dxfId="2" stopIfTrue="1">
      <formula>"卡關延遲"</formula>
    </cfRule>
  </conditionalFormatting>
  <dataValidations count="1">
    <dataValidation sqref="K4:K15" showDropDown="0" showInputMessage="0" showErrorMessage="0" allowBlank="1" errorTitle="輸入狀態無效" error="請從下拉選單中選擇合法的執行狀態！" promptTitle="狀態防呆選擇" prompt="請選擇執行狀態" type="list">
      <formula1>"未開始,進行中,已完成,卡關延遲"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2026-10-06T12:56:56Z</dcterms:created>
  <dcterms:modified xsi:type="dcterms:W3CDTF">2026-10-06T13:16:08Z</dcterms:modified>
</cp:coreProperties>
</file>