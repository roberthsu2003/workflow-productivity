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0\資材處\2026 資材處\01-2026 資材週會\2026-WK36\"/>
    </mc:Choice>
  </mc:AlternateContent>
  <xr:revisionPtr revIDLastSave="0" documentId="13_ncr:1_{7A243A1C-CEA1-4DBA-93C7-360D1FBAEF0C}" xr6:coauthVersionLast="47" xr6:coauthVersionMax="47" xr10:uidLastSave="{00000000-0000-0000-0000-000000000000}"/>
  <bookViews>
    <workbookView xWindow="-120" yWindow="-120" windowWidth="29040" windowHeight="15840" firstSheet="5" activeTab="6" xr2:uid="{00000000-000D-0000-FFFF-FFFF00000000}"/>
  </bookViews>
  <sheets>
    <sheet name="工作表4" sheetId="13" state="hidden" r:id="rId1"/>
    <sheet name="2025評核  (01-11月)" sheetId="11" state="hidden" r:id="rId2"/>
    <sheet name="2024評核 " sheetId="8" state="hidden" r:id="rId3"/>
    <sheet name="2023評核 (2)" sheetId="7" state="hidden" r:id="rId4"/>
    <sheet name="工作表1" sheetId="9" state="hidden" r:id="rId5"/>
    <sheet name="結案" sheetId="17" r:id="rId6"/>
    <sheet name="115年度" sheetId="10" r:id="rId7"/>
    <sheet name="訪廠 輔導" sheetId="14" r:id="rId8"/>
    <sheet name="待辦事項" sheetId="15" r:id="rId9"/>
    <sheet name="115年度 (2)" sheetId="16" r:id="rId10"/>
  </sheets>
  <definedNames>
    <definedName name="_xlnm._FilterDatabase" localSheetId="6" hidden="1">'115年度'!$A$3:$I$3</definedName>
    <definedName name="_xlnm._FilterDatabase" localSheetId="9" hidden="1">'115年度 (2)'!$A$3:$I$3</definedName>
    <definedName name="_xlnm._FilterDatabase" localSheetId="3" hidden="1">'2023評核 (2)'!$A$6:$G$6</definedName>
    <definedName name="_xlnm._FilterDatabase" localSheetId="2" hidden="1">'2024評核 '!$A$6:$G$105</definedName>
    <definedName name="_xlnm._FilterDatabase" localSheetId="1" hidden="1">'2025評核  (01-11月)'!$A$6:$G$96</definedName>
    <definedName name="_xlnm._FilterDatabase" localSheetId="0" hidden="1">工作表4!$B$2:$C$2</definedName>
    <definedName name="_xlnm.Print_Titles" localSheetId="6">'115年度'!$2:$3</definedName>
    <definedName name="_xlnm.Print_Titles" localSheetId="9">'115年度 (2)'!$2:$3</definedName>
    <definedName name="_xlnm.Print_Titles" localSheetId="3">'2023評核 (2)'!$1:$5</definedName>
    <definedName name="_xlnm.Print_Titles" localSheetId="2">'2024評核 '!$1:$5</definedName>
    <definedName name="_xlnm.Print_Titles" localSheetId="1">'2025評核  (01-11月)'!$1:$5</definedName>
  </definedNames>
  <calcPr calcId="191029"/>
</workbook>
</file>

<file path=xl/calcChain.xml><?xml version="1.0" encoding="utf-8"?>
<calcChain xmlns="http://schemas.openxmlformats.org/spreadsheetml/2006/main">
  <c r="E24" i="13" l="1"/>
  <c r="C24" i="13"/>
  <c r="E95" i="11" l="1"/>
  <c r="G95" i="11" s="1"/>
  <c r="F95" i="11"/>
  <c r="E120" i="11"/>
  <c r="F120" i="11"/>
  <c r="E121" i="11"/>
  <c r="G121" i="11" s="1"/>
  <c r="F121" i="11"/>
  <c r="E122" i="11"/>
  <c r="F122" i="11"/>
  <c r="F94" i="11"/>
  <c r="E94" i="11"/>
  <c r="F119" i="11"/>
  <c r="E119" i="11"/>
  <c r="F118" i="11"/>
  <c r="E118" i="11"/>
  <c r="F117" i="11"/>
  <c r="E117" i="11"/>
  <c r="F116" i="11"/>
  <c r="E116" i="11"/>
  <c r="F115" i="11"/>
  <c r="E115" i="11"/>
  <c r="F114" i="11"/>
  <c r="E114" i="11"/>
  <c r="F113" i="11"/>
  <c r="E113" i="11"/>
  <c r="F112" i="11"/>
  <c r="E112" i="11"/>
  <c r="F111" i="11"/>
  <c r="E111" i="11"/>
  <c r="F110" i="11"/>
  <c r="E110" i="11"/>
  <c r="F109" i="11"/>
  <c r="E109" i="11"/>
  <c r="F108" i="11"/>
  <c r="E108" i="11"/>
  <c r="F107" i="11"/>
  <c r="E107" i="11"/>
  <c r="F106" i="11"/>
  <c r="E106" i="11"/>
  <c r="F105" i="11"/>
  <c r="E105" i="11"/>
  <c r="B96" i="11"/>
  <c r="D96" i="11" s="1"/>
  <c r="F96" i="11" s="1"/>
  <c r="F93" i="11"/>
  <c r="E93" i="11"/>
  <c r="F92" i="11"/>
  <c r="E92" i="11"/>
  <c r="F91" i="11"/>
  <c r="E91" i="11"/>
  <c r="F90" i="11"/>
  <c r="E90" i="11"/>
  <c r="F89" i="11"/>
  <c r="E89" i="11"/>
  <c r="F88" i="11"/>
  <c r="E88" i="11"/>
  <c r="F87" i="11"/>
  <c r="E87" i="11"/>
  <c r="F86" i="11"/>
  <c r="E86" i="11"/>
  <c r="F85" i="11"/>
  <c r="E85" i="11"/>
  <c r="F84" i="11"/>
  <c r="E84" i="11"/>
  <c r="F83" i="11"/>
  <c r="E83" i="11"/>
  <c r="F82" i="11"/>
  <c r="E82" i="11"/>
  <c r="F81" i="11"/>
  <c r="E81" i="11"/>
  <c r="F80" i="11"/>
  <c r="E80" i="11"/>
  <c r="F79" i="11"/>
  <c r="E79" i="11"/>
  <c r="F78" i="11"/>
  <c r="E78" i="11"/>
  <c r="F77" i="11"/>
  <c r="E77" i="11"/>
  <c r="F76" i="11"/>
  <c r="E76" i="11"/>
  <c r="F75" i="11"/>
  <c r="E75" i="11"/>
  <c r="F74" i="11"/>
  <c r="E74" i="11"/>
  <c r="F73" i="11"/>
  <c r="E73" i="11"/>
  <c r="F72" i="11"/>
  <c r="E72" i="11"/>
  <c r="F71" i="11"/>
  <c r="E71" i="11"/>
  <c r="F70" i="11"/>
  <c r="E70" i="11"/>
  <c r="F69" i="11"/>
  <c r="E69" i="11"/>
  <c r="F68" i="11"/>
  <c r="E68" i="11"/>
  <c r="F67" i="11"/>
  <c r="E67" i="11"/>
  <c r="F66" i="11"/>
  <c r="E66" i="11"/>
  <c r="F65" i="11"/>
  <c r="E65" i="11"/>
  <c r="F64" i="11"/>
  <c r="E64" i="11"/>
  <c r="F63" i="11"/>
  <c r="E63" i="11"/>
  <c r="F62" i="11"/>
  <c r="E62" i="11"/>
  <c r="F61" i="11"/>
  <c r="E61" i="11"/>
  <c r="F60" i="11"/>
  <c r="E60" i="11"/>
  <c r="F59" i="11"/>
  <c r="E59" i="11"/>
  <c r="F58" i="11"/>
  <c r="E58" i="11"/>
  <c r="F57" i="11"/>
  <c r="E57" i="11"/>
  <c r="F56" i="11"/>
  <c r="E56" i="11"/>
  <c r="F55" i="11"/>
  <c r="E55" i="11"/>
  <c r="F54" i="11"/>
  <c r="E54" i="11"/>
  <c r="F53" i="11"/>
  <c r="E53" i="11"/>
  <c r="F52" i="11"/>
  <c r="E52" i="11"/>
  <c r="F51" i="11"/>
  <c r="E51" i="11"/>
  <c r="F50" i="11"/>
  <c r="E50" i="11"/>
  <c r="F49" i="11"/>
  <c r="E49" i="11"/>
  <c r="F48" i="11"/>
  <c r="E48" i="11"/>
  <c r="F47" i="11"/>
  <c r="E47" i="11"/>
  <c r="F46" i="11"/>
  <c r="E46" i="11"/>
  <c r="F45" i="11"/>
  <c r="E45" i="11"/>
  <c r="F44" i="11"/>
  <c r="E44" i="11"/>
  <c r="F43" i="11"/>
  <c r="E43" i="11"/>
  <c r="F42" i="11"/>
  <c r="E42" i="11"/>
  <c r="F41" i="11"/>
  <c r="E41" i="11"/>
  <c r="F40" i="11"/>
  <c r="E40" i="11"/>
  <c r="F39" i="11"/>
  <c r="E39" i="11"/>
  <c r="F38" i="11"/>
  <c r="E38" i="11"/>
  <c r="F37" i="11"/>
  <c r="E37" i="11"/>
  <c r="F36" i="11"/>
  <c r="E36" i="11"/>
  <c r="F35" i="11"/>
  <c r="E35" i="11"/>
  <c r="F34" i="11"/>
  <c r="E34" i="11"/>
  <c r="F33" i="11"/>
  <c r="E33" i="11"/>
  <c r="F32" i="11"/>
  <c r="E32" i="11"/>
  <c r="F31" i="11"/>
  <c r="E31" i="11"/>
  <c r="F30" i="11"/>
  <c r="E30" i="11"/>
  <c r="F29" i="11"/>
  <c r="E29" i="11"/>
  <c r="F28" i="11"/>
  <c r="E28" i="11"/>
  <c r="F27" i="11"/>
  <c r="E27" i="11"/>
  <c r="F26" i="11"/>
  <c r="E26" i="11"/>
  <c r="F25" i="11"/>
  <c r="E25" i="11"/>
  <c r="F24" i="11"/>
  <c r="E24" i="11"/>
  <c r="F23" i="11"/>
  <c r="E23" i="11"/>
  <c r="F22" i="11"/>
  <c r="E22" i="11"/>
  <c r="F21" i="11"/>
  <c r="E21" i="11"/>
  <c r="F20" i="11"/>
  <c r="E20" i="11"/>
  <c r="F19" i="11"/>
  <c r="E19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B105" i="8"/>
  <c r="E90" i="8"/>
  <c r="F90" i="8"/>
  <c r="E91" i="8"/>
  <c r="F91" i="8"/>
  <c r="E92" i="8"/>
  <c r="F92" i="8"/>
  <c r="E93" i="8"/>
  <c r="F93" i="8"/>
  <c r="E119" i="8"/>
  <c r="F119" i="8"/>
  <c r="E120" i="8"/>
  <c r="F120" i="8"/>
  <c r="E121" i="8"/>
  <c r="F121" i="8"/>
  <c r="E122" i="8"/>
  <c r="F122" i="8"/>
  <c r="E123" i="8"/>
  <c r="F123" i="8"/>
  <c r="E94" i="8"/>
  <c r="F94" i="8"/>
  <c r="E124" i="8"/>
  <c r="F124" i="8"/>
  <c r="E95" i="8"/>
  <c r="F95" i="8"/>
  <c r="E96" i="8"/>
  <c r="F96" i="8"/>
  <c r="G96" i="8" s="1"/>
  <c r="E125" i="8"/>
  <c r="F125" i="8"/>
  <c r="E126" i="8"/>
  <c r="F126" i="8"/>
  <c r="E127" i="8"/>
  <c r="F127" i="8"/>
  <c r="E128" i="8"/>
  <c r="F128" i="8"/>
  <c r="F15" i="8"/>
  <c r="F104" i="8"/>
  <c r="E104" i="8"/>
  <c r="F103" i="8"/>
  <c r="E103" i="8"/>
  <c r="F102" i="8"/>
  <c r="E102" i="8"/>
  <c r="F101" i="8"/>
  <c r="E101" i="8"/>
  <c r="F129" i="8"/>
  <c r="E129" i="8"/>
  <c r="F100" i="8"/>
  <c r="E100" i="8"/>
  <c r="F99" i="8"/>
  <c r="E99" i="8"/>
  <c r="F98" i="8"/>
  <c r="E98" i="8"/>
  <c r="F97" i="8"/>
  <c r="E97" i="8"/>
  <c r="F89" i="8"/>
  <c r="E89" i="8"/>
  <c r="F118" i="8"/>
  <c r="E118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117" i="8"/>
  <c r="E117" i="8"/>
  <c r="G117" i="8" s="1"/>
  <c r="F74" i="8"/>
  <c r="E74" i="8"/>
  <c r="F116" i="8"/>
  <c r="E116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115" i="8"/>
  <c r="E115" i="8"/>
  <c r="F25" i="8"/>
  <c r="E25" i="8"/>
  <c r="F114" i="8"/>
  <c r="E114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G122" i="11" l="1"/>
  <c r="G105" i="11"/>
  <c r="G108" i="11"/>
  <c r="G111" i="11"/>
  <c r="G114" i="11"/>
  <c r="G117" i="11"/>
  <c r="G106" i="11"/>
  <c r="G109" i="11"/>
  <c r="G112" i="11"/>
  <c r="G115" i="11"/>
  <c r="G118" i="11"/>
  <c r="G120" i="11"/>
  <c r="G94" i="11"/>
  <c r="G48" i="11"/>
  <c r="G107" i="11"/>
  <c r="G110" i="11"/>
  <c r="G113" i="11"/>
  <c r="G116" i="11"/>
  <c r="G119" i="11"/>
  <c r="G16" i="11"/>
  <c r="G19" i="11"/>
  <c r="G22" i="11"/>
  <c r="G28" i="11"/>
  <c r="G31" i="11"/>
  <c r="G34" i="11"/>
  <c r="G37" i="11"/>
  <c r="G40" i="11"/>
  <c r="G43" i="11"/>
  <c r="G46" i="11"/>
  <c r="G52" i="11"/>
  <c r="G8" i="11"/>
  <c r="G11" i="11"/>
  <c r="G14" i="11"/>
  <c r="G7" i="11"/>
  <c r="G10" i="11"/>
  <c r="G18" i="11"/>
  <c r="G30" i="11"/>
  <c r="G54" i="11"/>
  <c r="G57" i="11"/>
  <c r="G60" i="11"/>
  <c r="G63" i="11"/>
  <c r="G75" i="11"/>
  <c r="G78" i="11"/>
  <c r="G81" i="11"/>
  <c r="G84" i="11"/>
  <c r="G87" i="11"/>
  <c r="G38" i="11"/>
  <c r="G49" i="11"/>
  <c r="G76" i="11"/>
  <c r="G79" i="11"/>
  <c r="G85" i="11"/>
  <c r="G88" i="11"/>
  <c r="G50" i="11"/>
  <c r="G80" i="11"/>
  <c r="G89" i="11"/>
  <c r="G92" i="11"/>
  <c r="G12" i="11"/>
  <c r="G15" i="11"/>
  <c r="G21" i="11"/>
  <c r="G24" i="11"/>
  <c r="G27" i="11"/>
  <c r="G33" i="11"/>
  <c r="G36" i="11"/>
  <c r="G39" i="11"/>
  <c r="G42" i="11"/>
  <c r="G45" i="11"/>
  <c r="G56" i="11"/>
  <c r="G59" i="11"/>
  <c r="G62" i="11"/>
  <c r="G65" i="11"/>
  <c r="G68" i="11"/>
  <c r="G71" i="11"/>
  <c r="G74" i="11"/>
  <c r="G13" i="11"/>
  <c r="G86" i="11"/>
  <c r="G20" i="11"/>
  <c r="G23" i="11"/>
  <c r="G26" i="11"/>
  <c r="G29" i="11"/>
  <c r="G32" i="11"/>
  <c r="G35" i="11"/>
  <c r="G41" i="11"/>
  <c r="G44" i="11"/>
  <c r="G47" i="11"/>
  <c r="G55" i="11"/>
  <c r="G58" i="11"/>
  <c r="G64" i="11"/>
  <c r="G67" i="11"/>
  <c r="G70" i="11"/>
  <c r="G73" i="11"/>
  <c r="G90" i="11"/>
  <c r="G93" i="11"/>
  <c r="G91" i="11"/>
  <c r="G83" i="11"/>
  <c r="G82" i="11"/>
  <c r="G77" i="11"/>
  <c r="G72" i="11"/>
  <c r="G69" i="11"/>
  <c r="G66" i="11"/>
  <c r="G61" i="11"/>
  <c r="G53" i="11"/>
  <c r="G51" i="11"/>
  <c r="G25" i="11"/>
  <c r="G17" i="11"/>
  <c r="G9" i="11"/>
  <c r="C96" i="11"/>
  <c r="E96" i="11" s="1"/>
  <c r="G96" i="11" s="1"/>
  <c r="D105" i="8"/>
  <c r="C105" i="8"/>
  <c r="F105" i="8"/>
  <c r="G24" i="8"/>
  <c r="G46" i="8"/>
  <c r="G52" i="8"/>
  <c r="G64" i="8"/>
  <c r="G80" i="8"/>
  <c r="G22" i="8"/>
  <c r="G26" i="8"/>
  <c r="G32" i="8"/>
  <c r="G44" i="8"/>
  <c r="G50" i="8"/>
  <c r="G56" i="8"/>
  <c r="G62" i="8"/>
  <c r="G68" i="8"/>
  <c r="G116" i="8"/>
  <c r="G78" i="8"/>
  <c r="G89" i="8"/>
  <c r="G125" i="8"/>
  <c r="G122" i="8"/>
  <c r="G119" i="8"/>
  <c r="G127" i="8"/>
  <c r="G121" i="8"/>
  <c r="G90" i="8"/>
  <c r="G92" i="8"/>
  <c r="G128" i="8"/>
  <c r="G45" i="8"/>
  <c r="G69" i="8"/>
  <c r="G97" i="8"/>
  <c r="G124" i="8"/>
  <c r="G123" i="8"/>
  <c r="G10" i="8"/>
  <c r="G14" i="8"/>
  <c r="G95" i="8"/>
  <c r="G23" i="8"/>
  <c r="E105" i="8"/>
  <c r="G15" i="8"/>
  <c r="G28" i="8"/>
  <c r="G40" i="8"/>
  <c r="G25" i="8"/>
  <c r="G36" i="8"/>
  <c r="G42" i="8"/>
  <c r="G48" i="8"/>
  <c r="G126" i="8"/>
  <c r="G94" i="8"/>
  <c r="G120" i="8"/>
  <c r="G93" i="8"/>
  <c r="G91" i="8"/>
  <c r="G30" i="8"/>
  <c r="G54" i="8"/>
  <c r="G60" i="8"/>
  <c r="G66" i="8"/>
  <c r="G72" i="8"/>
  <c r="G76" i="8"/>
  <c r="G82" i="8"/>
  <c r="G88" i="8"/>
  <c r="G16" i="8"/>
  <c r="G84" i="8"/>
  <c r="G34" i="8"/>
  <c r="G70" i="8"/>
  <c r="G12" i="8"/>
  <c r="G18" i="8"/>
  <c r="G86" i="8"/>
  <c r="G102" i="8"/>
  <c r="G101" i="8"/>
  <c r="G98" i="8"/>
  <c r="G58" i="8"/>
  <c r="G57" i="8"/>
  <c r="G103" i="8"/>
  <c r="G100" i="8"/>
  <c r="G79" i="8"/>
  <c r="G38" i="8"/>
  <c r="G33" i="8"/>
  <c r="G20" i="8"/>
  <c r="G11" i="8"/>
  <c r="G8" i="8"/>
  <c r="G31" i="8"/>
  <c r="G67" i="8"/>
  <c r="G7" i="8"/>
  <c r="G19" i="8"/>
  <c r="G29" i="8"/>
  <c r="G41" i="8"/>
  <c r="G53" i="8"/>
  <c r="G65" i="8"/>
  <c r="G75" i="8"/>
  <c r="G87" i="8"/>
  <c r="G17" i="8"/>
  <c r="G27" i="8"/>
  <c r="G39" i="8"/>
  <c r="G51" i="8"/>
  <c r="G63" i="8"/>
  <c r="G74" i="8"/>
  <c r="G85" i="8"/>
  <c r="G115" i="8"/>
  <c r="G37" i="8"/>
  <c r="G49" i="8"/>
  <c r="G61" i="8"/>
  <c r="G73" i="8"/>
  <c r="G83" i="8"/>
  <c r="G129" i="8"/>
  <c r="G13" i="8"/>
  <c r="G114" i="8"/>
  <c r="G35" i="8"/>
  <c r="G47" i="8"/>
  <c r="G59" i="8"/>
  <c r="G71" i="8"/>
  <c r="G81" i="8"/>
  <c r="G99" i="8"/>
  <c r="G77" i="8"/>
  <c r="G21" i="8"/>
  <c r="G43" i="8"/>
  <c r="G55" i="8"/>
  <c r="G118" i="8"/>
  <c r="G104" i="8"/>
  <c r="G9" i="8"/>
  <c r="D104" i="7"/>
  <c r="F104" i="7" s="1"/>
  <c r="F98" i="7"/>
  <c r="E98" i="7"/>
  <c r="E99" i="7"/>
  <c r="F99" i="7"/>
  <c r="G99" i="7" s="1"/>
  <c r="E100" i="7"/>
  <c r="F100" i="7"/>
  <c r="E101" i="7"/>
  <c r="F101" i="7"/>
  <c r="G101" i="7" l="1"/>
  <c r="G98" i="7"/>
  <c r="G105" i="8"/>
  <c r="G100" i="7"/>
  <c r="F102" i="7"/>
  <c r="E102" i="7"/>
  <c r="F47" i="7"/>
  <c r="E47" i="7"/>
  <c r="F103" i="7"/>
  <c r="E103" i="7"/>
  <c r="G103" i="7" s="1"/>
  <c r="G47" i="7" l="1"/>
  <c r="G102" i="7"/>
  <c r="E93" i="7"/>
  <c r="F93" i="7"/>
  <c r="E94" i="7"/>
  <c r="F94" i="7"/>
  <c r="E95" i="7"/>
  <c r="F95" i="7"/>
  <c r="E96" i="7"/>
  <c r="F96" i="7"/>
  <c r="E97" i="7"/>
  <c r="F97" i="7"/>
  <c r="G95" i="7" l="1"/>
  <c r="G97" i="7"/>
  <c r="G96" i="7"/>
  <c r="G94" i="7"/>
  <c r="G93" i="7"/>
  <c r="C104" i="7" l="1"/>
  <c r="E104" i="7" s="1"/>
  <c r="F92" i="7"/>
  <c r="E92" i="7"/>
  <c r="F91" i="7"/>
  <c r="E91" i="7"/>
  <c r="F90" i="7"/>
  <c r="E90" i="7"/>
  <c r="F89" i="7"/>
  <c r="E89" i="7"/>
  <c r="F88" i="7"/>
  <c r="E88" i="7"/>
  <c r="F87" i="7"/>
  <c r="E87" i="7"/>
  <c r="F86" i="7"/>
  <c r="E86" i="7"/>
  <c r="F85" i="7"/>
  <c r="E85" i="7"/>
  <c r="F84" i="7"/>
  <c r="E84" i="7"/>
  <c r="F83" i="7"/>
  <c r="E83" i="7"/>
  <c r="F82" i="7"/>
  <c r="E82" i="7"/>
  <c r="F81" i="7"/>
  <c r="E81" i="7"/>
  <c r="F80" i="7"/>
  <c r="E80" i="7"/>
  <c r="F79" i="7"/>
  <c r="E79" i="7"/>
  <c r="F78" i="7"/>
  <c r="E78" i="7"/>
  <c r="F77" i="7"/>
  <c r="E77" i="7"/>
  <c r="F76" i="7"/>
  <c r="E76" i="7"/>
  <c r="F75" i="7"/>
  <c r="E75" i="7"/>
  <c r="F74" i="7"/>
  <c r="E74" i="7"/>
  <c r="F73" i="7"/>
  <c r="E72" i="7"/>
  <c r="F72" i="7"/>
  <c r="F71" i="7"/>
  <c r="E71" i="7"/>
  <c r="F70" i="7"/>
  <c r="E70" i="7"/>
  <c r="F69" i="7"/>
  <c r="E69" i="7"/>
  <c r="F68" i="7"/>
  <c r="E68" i="7"/>
  <c r="F67" i="7"/>
  <c r="E67" i="7"/>
  <c r="F66" i="7"/>
  <c r="E66" i="7"/>
  <c r="F65" i="7"/>
  <c r="E65" i="7"/>
  <c r="F64" i="7"/>
  <c r="E64" i="7"/>
  <c r="F63" i="7"/>
  <c r="E63" i="7"/>
  <c r="F62" i="7"/>
  <c r="E62" i="7"/>
  <c r="F61" i="7"/>
  <c r="E61" i="7"/>
  <c r="F60" i="7"/>
  <c r="E60" i="7"/>
  <c r="F59" i="7"/>
  <c r="E59" i="7"/>
  <c r="E58" i="7"/>
  <c r="F58" i="7"/>
  <c r="E57" i="7"/>
  <c r="F56" i="7"/>
  <c r="E56" i="7"/>
  <c r="F55" i="7"/>
  <c r="E55" i="7"/>
  <c r="F54" i="7"/>
  <c r="E54" i="7"/>
  <c r="F53" i="7"/>
  <c r="E53" i="7"/>
  <c r="F52" i="7"/>
  <c r="F51" i="7"/>
  <c r="E51" i="7"/>
  <c r="F50" i="7"/>
  <c r="E50" i="7"/>
  <c r="F49" i="7"/>
  <c r="E49" i="7"/>
  <c r="F48" i="7"/>
  <c r="E48" i="7"/>
  <c r="E46" i="7"/>
  <c r="F45" i="7"/>
  <c r="E45" i="7"/>
  <c r="F44" i="7"/>
  <c r="E44" i="7"/>
  <c r="F43" i="7"/>
  <c r="E43" i="7"/>
  <c r="F42" i="7"/>
  <c r="E42" i="7"/>
  <c r="F41" i="7"/>
  <c r="E41" i="7"/>
  <c r="F40" i="7"/>
  <c r="E40" i="7"/>
  <c r="F39" i="7"/>
  <c r="E39" i="7"/>
  <c r="F38" i="7"/>
  <c r="E38" i="7"/>
  <c r="F37" i="7"/>
  <c r="E37" i="7"/>
  <c r="F36" i="7"/>
  <c r="E36" i="7"/>
  <c r="F35" i="7"/>
  <c r="E35" i="7"/>
  <c r="F34" i="7"/>
  <c r="E34" i="7"/>
  <c r="F33" i="7"/>
  <c r="E33" i="7"/>
  <c r="F32" i="7"/>
  <c r="E32" i="7"/>
  <c r="F31" i="7"/>
  <c r="E31" i="7"/>
  <c r="F30" i="7"/>
  <c r="E30" i="7"/>
  <c r="F29" i="7"/>
  <c r="E29" i="7"/>
  <c r="F28" i="7"/>
  <c r="E28" i="7"/>
  <c r="F27" i="7"/>
  <c r="E27" i="7"/>
  <c r="F26" i="7"/>
  <c r="E26" i="7"/>
  <c r="F25" i="7"/>
  <c r="E25" i="7"/>
  <c r="F24" i="7"/>
  <c r="E24" i="7"/>
  <c r="F23" i="7"/>
  <c r="E23" i="7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G69" i="7" l="1"/>
  <c r="G64" i="7"/>
  <c r="G67" i="7"/>
  <c r="G26" i="7"/>
  <c r="G29" i="7"/>
  <c r="G78" i="7"/>
  <c r="G87" i="7"/>
  <c r="G89" i="7"/>
  <c r="G92" i="7"/>
  <c r="G32" i="7"/>
  <c r="G41" i="7"/>
  <c r="G44" i="7"/>
  <c r="G59" i="7"/>
  <c r="G63" i="7"/>
  <c r="G9" i="7"/>
  <c r="G21" i="7"/>
  <c r="G27" i="7"/>
  <c r="G30" i="7"/>
  <c r="G33" i="7"/>
  <c r="G39" i="7"/>
  <c r="G42" i="7"/>
  <c r="G75" i="7"/>
  <c r="G77" i="7"/>
  <c r="G80" i="7"/>
  <c r="G83" i="7"/>
  <c r="G86" i="7"/>
  <c r="G60" i="7"/>
  <c r="G22" i="7"/>
  <c r="G25" i="7"/>
  <c r="G34" i="7"/>
  <c r="G37" i="7"/>
  <c r="G74" i="7"/>
  <c r="G82" i="7"/>
  <c r="G85" i="7"/>
  <c r="G71" i="7"/>
  <c r="G51" i="7"/>
  <c r="G68" i="7"/>
  <c r="G88" i="7"/>
  <c r="G16" i="7"/>
  <c r="G10" i="7"/>
  <c r="G90" i="7"/>
  <c r="G79" i="7"/>
  <c r="G61" i="7"/>
  <c r="G65" i="7"/>
  <c r="G56" i="7"/>
  <c r="G43" i="7"/>
  <c r="G66" i="7"/>
  <c r="G45" i="7"/>
  <c r="G53" i="7"/>
  <c r="G19" i="7"/>
  <c r="G84" i="7"/>
  <c r="G70" i="7"/>
  <c r="G50" i="7"/>
  <c r="G48" i="7"/>
  <c r="G18" i="7"/>
  <c r="G14" i="7"/>
  <c r="G23" i="7"/>
  <c r="G15" i="7"/>
  <c r="G11" i="7"/>
  <c r="G40" i="7"/>
  <c r="G49" i="7"/>
  <c r="G62" i="7"/>
  <c r="G76" i="7"/>
  <c r="G81" i="7"/>
  <c r="G91" i="7"/>
  <c r="G8" i="7"/>
  <c r="G13" i="7"/>
  <c r="G20" i="7"/>
  <c r="G31" i="7"/>
  <c r="G36" i="7"/>
  <c r="G54" i="7"/>
  <c r="F46" i="7"/>
  <c r="G46" i="7" s="1"/>
  <c r="E52" i="7"/>
  <c r="G52" i="7" s="1"/>
  <c r="G55" i="7"/>
  <c r="E73" i="7"/>
  <c r="G73" i="7" s="1"/>
  <c r="F57" i="7"/>
  <c r="G57" i="7" s="1"/>
  <c r="G7" i="7"/>
  <c r="G12" i="7"/>
  <c r="G17" i="7"/>
  <c r="G24" i="7"/>
  <c r="G28" i="7"/>
  <c r="G35" i="7"/>
  <c r="G38" i="7"/>
  <c r="G72" i="7"/>
  <c r="G104" i="7"/>
  <c r="G58" i="7"/>
</calcChain>
</file>

<file path=xl/sharedStrings.xml><?xml version="1.0" encoding="utf-8"?>
<sst xmlns="http://schemas.openxmlformats.org/spreadsheetml/2006/main" count="1817" uniqueCount="777">
  <si>
    <t>雅信</t>
  </si>
  <si>
    <t>銓展</t>
  </si>
  <si>
    <t>融振</t>
  </si>
  <si>
    <t>太業</t>
  </si>
  <si>
    <t>天隸</t>
  </si>
  <si>
    <t>川榮</t>
  </si>
  <si>
    <t>朝嘉</t>
  </si>
  <si>
    <t>達明(旺)</t>
  </si>
  <si>
    <t>允泰</t>
  </si>
  <si>
    <t>龍冠</t>
  </si>
  <si>
    <t>承化</t>
  </si>
  <si>
    <t>芸華</t>
  </si>
  <si>
    <t>家暘</t>
  </si>
  <si>
    <t>五風</t>
  </si>
  <si>
    <t>王派</t>
  </si>
  <si>
    <t>仁鎂</t>
  </si>
  <si>
    <t>泛源股份有限公司
PANTECH INTERNATIONAL</t>
    <phoneticPr fontId="1" type="noConversion"/>
  </si>
  <si>
    <t>供應商評核表</t>
  </si>
  <si>
    <t xml:space="preserve">      評核
      項目
供應商</t>
    <phoneticPr fontId="1" type="noConversion"/>
  </si>
  <si>
    <t>資料項目</t>
  </si>
  <si>
    <t>分數項目</t>
  </si>
  <si>
    <t>交貨次數</t>
    <phoneticPr fontId="1" type="noConversion"/>
  </si>
  <si>
    <t>準時次數</t>
    <phoneticPr fontId="1" type="noConversion"/>
  </si>
  <si>
    <t>允收次數</t>
    <phoneticPr fontId="1" type="noConversion"/>
  </si>
  <si>
    <t>交期分數</t>
    <phoneticPr fontId="1" type="noConversion"/>
  </si>
  <si>
    <t>品質分數</t>
    <phoneticPr fontId="1" type="noConversion"/>
  </si>
  <si>
    <r>
      <t>總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標楷體"/>
        <family val="4"/>
        <charset val="136"/>
      </rPr>
      <t>分</t>
    </r>
  </si>
  <si>
    <t>力鑫</t>
  </si>
  <si>
    <t>天智</t>
  </si>
  <si>
    <t>日文科技</t>
  </si>
  <si>
    <t>永和順</t>
  </si>
  <si>
    <t>虹瑩(弘穎)</t>
  </si>
  <si>
    <t>巧研</t>
  </si>
  <si>
    <t>匡和</t>
  </si>
  <si>
    <t>伍全</t>
  </si>
  <si>
    <t>竹翔</t>
  </si>
  <si>
    <t>伸暐</t>
  </si>
  <si>
    <t>宗基</t>
  </si>
  <si>
    <t>鼎順(東賢)</t>
  </si>
  <si>
    <t>協衡</t>
  </si>
  <si>
    <t>亞比斯</t>
  </si>
  <si>
    <t>昌達</t>
  </si>
  <si>
    <t>金泰利</t>
  </si>
  <si>
    <t>柏泰</t>
  </si>
  <si>
    <t>昱捷</t>
  </si>
  <si>
    <t>威逞</t>
  </si>
  <si>
    <t>宥星</t>
  </si>
  <si>
    <t>基準</t>
  </si>
  <si>
    <t>常榮宜</t>
  </si>
  <si>
    <t>喬盟</t>
  </si>
  <si>
    <t>新巨</t>
  </si>
  <si>
    <t>琪泰</t>
  </si>
  <si>
    <t>博音</t>
  </si>
  <si>
    <t>伍得福</t>
  </si>
  <si>
    <t>勤盛</t>
  </si>
  <si>
    <t>輝遠</t>
  </si>
  <si>
    <t>應拿</t>
  </si>
  <si>
    <t>大佳</t>
  </si>
  <si>
    <t>千渼</t>
  </si>
  <si>
    <t>日興</t>
  </si>
  <si>
    <t>中日</t>
  </si>
  <si>
    <t>羽聯(羽威)</t>
  </si>
  <si>
    <t>昇輝</t>
  </si>
  <si>
    <t>金瑚</t>
  </si>
  <si>
    <t>協銘</t>
  </si>
  <si>
    <t>國泰</t>
  </si>
  <si>
    <t>華晟</t>
  </si>
  <si>
    <t>達陽</t>
  </si>
  <si>
    <t>嘉成</t>
  </si>
  <si>
    <t>翰泰</t>
  </si>
  <si>
    <t>鑫將</t>
  </si>
  <si>
    <t>FR-LP05 v.02</t>
    <phoneticPr fontId="1" type="noConversion"/>
  </si>
  <si>
    <t>潔樂</t>
  </si>
  <si>
    <t>嘉禾登</t>
  </si>
  <si>
    <t>康揚</t>
  </si>
  <si>
    <t>復興</t>
  </si>
  <si>
    <t>透明光</t>
  </si>
  <si>
    <t>彩亮</t>
  </si>
  <si>
    <t>益翬</t>
  </si>
  <si>
    <t>振盛</t>
  </si>
  <si>
    <t>奇鈺</t>
  </si>
  <si>
    <t>協誠</t>
  </si>
  <si>
    <t>尚揚</t>
  </si>
  <si>
    <t>艾比富</t>
  </si>
  <si>
    <t>正洲</t>
  </si>
  <si>
    <t>正美</t>
  </si>
  <si>
    <t>五連</t>
  </si>
  <si>
    <t>宏磊</t>
  </si>
  <si>
    <t>雙和</t>
  </si>
  <si>
    <t>聯東</t>
  </si>
  <si>
    <t>加耐力</t>
  </si>
  <si>
    <t>天工</t>
  </si>
  <si>
    <t>丁山企業</t>
  </si>
  <si>
    <t>立靜</t>
  </si>
  <si>
    <t>合計</t>
    <phoneticPr fontId="1" type="noConversion"/>
  </si>
  <si>
    <t>採購：</t>
    <phoneticPr fontId="1" type="noConversion"/>
  </si>
  <si>
    <t>VQE：</t>
    <phoneticPr fontId="1" type="noConversion"/>
  </si>
  <si>
    <t>核准：</t>
    <phoneticPr fontId="1" type="noConversion"/>
  </si>
  <si>
    <t>基準</t>
    <phoneticPr fontId="1" type="noConversion"/>
  </si>
  <si>
    <t>保得順</t>
    <phoneticPr fontId="1" type="noConversion"/>
  </si>
  <si>
    <t>丁山</t>
    <phoneticPr fontId="1" type="noConversion"/>
  </si>
  <si>
    <t>王派</t>
    <phoneticPr fontId="1" type="noConversion"/>
  </si>
  <si>
    <t>收帶搖臂</t>
    <phoneticPr fontId="1" type="noConversion"/>
  </si>
  <si>
    <t>融振</t>
    <phoneticPr fontId="1" type="noConversion"/>
  </si>
  <si>
    <t>大樁</t>
  </si>
  <si>
    <t>祥惠</t>
    <phoneticPr fontId="1" type="noConversion"/>
  </si>
  <si>
    <t>保得順</t>
    <phoneticPr fontId="1" type="noConversion"/>
  </si>
  <si>
    <t>同興</t>
    <phoneticPr fontId="1" type="noConversion"/>
  </si>
  <si>
    <t>欣美</t>
    <phoneticPr fontId="1" type="noConversion"/>
  </si>
  <si>
    <t>煜鴻</t>
    <phoneticPr fontId="1" type="noConversion"/>
  </si>
  <si>
    <t>彰祿</t>
    <phoneticPr fontId="1" type="noConversion"/>
  </si>
  <si>
    <t>熾優</t>
    <phoneticPr fontId="1" type="noConversion"/>
  </si>
  <si>
    <t>免驗</t>
    <phoneticPr fontId="1" type="noConversion"/>
  </si>
  <si>
    <t>喬廣</t>
    <phoneticPr fontId="1" type="noConversion"/>
  </si>
  <si>
    <t>見達</t>
    <phoneticPr fontId="1" type="noConversion"/>
  </si>
  <si>
    <t>呈錩</t>
    <phoneticPr fontId="1" type="noConversion"/>
  </si>
  <si>
    <t>金瑚(股)</t>
    <phoneticPr fontId="1" type="noConversion"/>
  </si>
  <si>
    <t>乘群</t>
    <phoneticPr fontId="1" type="noConversion"/>
  </si>
  <si>
    <t>龍德</t>
    <phoneticPr fontId="1" type="noConversion"/>
  </si>
  <si>
    <t>台灣鋼帶</t>
    <phoneticPr fontId="1" type="noConversion"/>
  </si>
  <si>
    <t>鈦鼎(芸華)</t>
    <phoneticPr fontId="1" type="noConversion"/>
  </si>
  <si>
    <t>潔樂斯特</t>
    <phoneticPr fontId="1" type="noConversion"/>
  </si>
  <si>
    <t>力興</t>
    <phoneticPr fontId="1" type="noConversion"/>
  </si>
  <si>
    <t>台特</t>
    <phoneticPr fontId="1" type="noConversion"/>
  </si>
  <si>
    <t>戊溢</t>
    <phoneticPr fontId="1" type="noConversion"/>
  </si>
  <si>
    <t>安鎂</t>
    <phoneticPr fontId="1" type="noConversion"/>
  </si>
  <si>
    <t>長瑞</t>
    <phoneticPr fontId="1" type="noConversion"/>
  </si>
  <si>
    <t>政茂</t>
    <phoneticPr fontId="1" type="noConversion"/>
  </si>
  <si>
    <t>玻沙維特</t>
    <phoneticPr fontId="1" type="noConversion"/>
  </si>
  <si>
    <t>晉凱</t>
    <phoneticPr fontId="1" type="noConversion"/>
  </si>
  <si>
    <t>台灣耐落</t>
    <phoneticPr fontId="1" type="noConversion"/>
  </si>
  <si>
    <t>特異</t>
    <phoneticPr fontId="1" type="noConversion"/>
  </si>
  <si>
    <t>旻成</t>
    <phoneticPr fontId="1" type="noConversion"/>
  </si>
  <si>
    <t>裕偉</t>
    <phoneticPr fontId="1" type="noConversion"/>
  </si>
  <si>
    <t>慶泓</t>
    <phoneticPr fontId="1" type="noConversion"/>
  </si>
  <si>
    <t>騰巨</t>
    <phoneticPr fontId="1" type="noConversion"/>
  </si>
  <si>
    <t>恩瑞</t>
    <phoneticPr fontId="1" type="noConversion"/>
  </si>
  <si>
    <t>祐權</t>
    <phoneticPr fontId="1" type="noConversion"/>
  </si>
  <si>
    <t>淵興</t>
    <phoneticPr fontId="1" type="noConversion"/>
  </si>
  <si>
    <t>凱士士</t>
    <phoneticPr fontId="1" type="noConversion"/>
  </si>
  <si>
    <t>凱緦鎂</t>
    <phoneticPr fontId="1" type="noConversion"/>
  </si>
  <si>
    <t>順德</t>
    <phoneticPr fontId="1" type="noConversion"/>
  </si>
  <si>
    <t>嘉敏</t>
    <phoneticPr fontId="1" type="noConversion"/>
  </si>
  <si>
    <t>駿勝</t>
    <phoneticPr fontId="1" type="noConversion"/>
  </si>
  <si>
    <t>鴻揚</t>
    <phoneticPr fontId="1" type="noConversion"/>
  </si>
  <si>
    <t>謹良</t>
    <phoneticPr fontId="1" type="noConversion"/>
  </si>
  <si>
    <t>寶瑩</t>
    <phoneticPr fontId="1" type="noConversion"/>
  </si>
  <si>
    <t>鑫采邑</t>
    <phoneticPr fontId="1" type="noConversion"/>
  </si>
  <si>
    <t>皇銘</t>
    <phoneticPr fontId="1" type="noConversion"/>
  </si>
  <si>
    <t>32系列晚交貨</t>
    <phoneticPr fontId="1" type="noConversion"/>
  </si>
  <si>
    <t>項目</t>
    <phoneticPr fontId="1" type="noConversion"/>
  </si>
  <si>
    <t>批數</t>
    <phoneticPr fontId="1" type="noConversion"/>
  </si>
  <si>
    <t>特採率/退貨率</t>
    <phoneticPr fontId="1" type="noConversion"/>
  </si>
  <si>
    <t>交貨批數</t>
    <phoneticPr fontId="1" type="noConversion"/>
  </si>
  <si>
    <t>特採批數</t>
    <phoneticPr fontId="1" type="noConversion"/>
  </si>
  <si>
    <t>退貨批數</t>
    <phoneticPr fontId="1" type="noConversion"/>
  </si>
  <si>
    <t>合計</t>
    <phoneticPr fontId="1" type="noConversion"/>
  </si>
  <si>
    <t>廠商</t>
    <phoneticPr fontId="1" type="noConversion"/>
  </si>
  <si>
    <t>雅信</t>
    <phoneticPr fontId="1" type="noConversion"/>
  </si>
  <si>
    <t>昌達</t>
    <phoneticPr fontId="1" type="noConversion"/>
  </si>
  <si>
    <t>鈦鼎</t>
    <phoneticPr fontId="1" type="noConversion"/>
  </si>
  <si>
    <t>威逞</t>
    <phoneticPr fontId="1" type="noConversion"/>
  </si>
  <si>
    <t>宥星</t>
    <phoneticPr fontId="1" type="noConversion"/>
  </si>
  <si>
    <t>2024年</t>
    <phoneticPr fontId="1" type="noConversion"/>
  </si>
  <si>
    <t>-</t>
    <phoneticPr fontId="1" type="noConversion"/>
  </si>
  <si>
    <t>料號</t>
    <phoneticPr fontId="1" type="noConversion"/>
  </si>
  <si>
    <t>品名</t>
    <phoneticPr fontId="1" type="noConversion"/>
  </si>
  <si>
    <t>93XXGF2</t>
    <phoneticPr fontId="1" type="noConversion"/>
  </si>
  <si>
    <t>92XXAX1</t>
    <phoneticPr fontId="1" type="noConversion"/>
  </si>
  <si>
    <t>置帶環</t>
    <phoneticPr fontId="1" type="noConversion"/>
  </si>
  <si>
    <t>允泰</t>
    <phoneticPr fontId="1" type="noConversion"/>
  </si>
  <si>
    <t>龍冠</t>
    <phoneticPr fontId="1" type="noConversion"/>
  </si>
  <si>
    <t>銓展</t>
    <phoneticPr fontId="1" type="noConversion"/>
  </si>
  <si>
    <t>協銘</t>
    <phoneticPr fontId="1" type="noConversion"/>
  </si>
  <si>
    <t>承化</t>
    <phoneticPr fontId="1" type="noConversion"/>
  </si>
  <si>
    <t>千渼(已歇業)</t>
    <phoneticPr fontId="1" type="noConversion"/>
  </si>
  <si>
    <t>嘉成</t>
    <phoneticPr fontId="1" type="noConversion"/>
  </si>
  <si>
    <t>輝遠</t>
    <phoneticPr fontId="1" type="noConversion"/>
  </si>
  <si>
    <t>翰泰</t>
    <phoneticPr fontId="1" type="noConversion"/>
  </si>
  <si>
    <t>中日</t>
    <phoneticPr fontId="1" type="noConversion"/>
  </si>
  <si>
    <t>家暘</t>
    <phoneticPr fontId="1" type="noConversion"/>
  </si>
  <si>
    <t>日興(已歇業)</t>
    <phoneticPr fontId="1" type="noConversion"/>
  </si>
  <si>
    <t>金瑚</t>
    <phoneticPr fontId="1" type="noConversion"/>
  </si>
  <si>
    <t>宗基</t>
    <phoneticPr fontId="1" type="noConversion"/>
  </si>
  <si>
    <t>五風</t>
    <phoneticPr fontId="1" type="noConversion"/>
  </si>
  <si>
    <t>聯東</t>
    <phoneticPr fontId="1" type="noConversion"/>
  </si>
  <si>
    <t>鑫將</t>
    <phoneticPr fontId="1" type="noConversion"/>
  </si>
  <si>
    <t>宏磊</t>
    <phoneticPr fontId="1" type="noConversion"/>
  </si>
  <si>
    <t>巧研</t>
    <phoneticPr fontId="1" type="noConversion"/>
  </si>
  <si>
    <t>昇輝</t>
    <phoneticPr fontId="1" type="noConversion"/>
  </si>
  <si>
    <t>國泰</t>
    <phoneticPr fontId="1" type="noConversion"/>
  </si>
  <si>
    <t>復興</t>
    <phoneticPr fontId="1" type="noConversion"/>
  </si>
  <si>
    <t>協衡</t>
    <phoneticPr fontId="1" type="noConversion"/>
  </si>
  <si>
    <t>伸暐</t>
    <phoneticPr fontId="1" type="noConversion"/>
  </si>
  <si>
    <t>彩亮</t>
    <phoneticPr fontId="1" type="noConversion"/>
  </si>
  <si>
    <t>大佳</t>
    <phoneticPr fontId="1" type="noConversion"/>
  </si>
  <si>
    <t>新巨</t>
    <phoneticPr fontId="1" type="noConversion"/>
  </si>
  <si>
    <t>虹瑩</t>
    <phoneticPr fontId="1" type="noConversion"/>
  </si>
  <si>
    <t>伍得福</t>
    <phoneticPr fontId="1" type="noConversion"/>
  </si>
  <si>
    <t>喬盟</t>
    <phoneticPr fontId="1" type="noConversion"/>
  </si>
  <si>
    <t>力鑫</t>
    <phoneticPr fontId="1" type="noConversion"/>
  </si>
  <si>
    <t>川榮</t>
    <phoneticPr fontId="1" type="noConversion"/>
  </si>
  <si>
    <t>尚揚</t>
    <phoneticPr fontId="1" type="noConversion"/>
  </si>
  <si>
    <t>昱捷</t>
    <phoneticPr fontId="1" type="noConversion"/>
  </si>
  <si>
    <t>金泰利</t>
    <phoneticPr fontId="1" type="noConversion"/>
  </si>
  <si>
    <t>達明(旺)</t>
    <phoneticPr fontId="1" type="noConversion"/>
  </si>
  <si>
    <t>鼎順</t>
    <phoneticPr fontId="1" type="noConversion"/>
  </si>
  <si>
    <t>琪泰</t>
    <phoneticPr fontId="1" type="noConversion"/>
  </si>
  <si>
    <t>日文</t>
    <phoneticPr fontId="1" type="noConversion"/>
  </si>
  <si>
    <t>羽聯</t>
    <phoneticPr fontId="1" type="noConversion"/>
  </si>
  <si>
    <t>柏泰</t>
    <phoneticPr fontId="1" type="noConversion"/>
  </si>
  <si>
    <t>透明光</t>
    <phoneticPr fontId="1" type="noConversion"/>
  </si>
  <si>
    <t>華晟</t>
    <phoneticPr fontId="1" type="noConversion"/>
  </si>
  <si>
    <t>永和順</t>
    <phoneticPr fontId="1" type="noConversion"/>
  </si>
  <si>
    <t>協誠</t>
    <phoneticPr fontId="1" type="noConversion"/>
  </si>
  <si>
    <t>立靜</t>
    <phoneticPr fontId="1" type="noConversion"/>
  </si>
  <si>
    <t>竹翔</t>
    <phoneticPr fontId="1" type="noConversion"/>
  </si>
  <si>
    <t>仁鎂</t>
    <phoneticPr fontId="1" type="noConversion"/>
  </si>
  <si>
    <t>匡和</t>
    <phoneticPr fontId="1" type="noConversion"/>
  </si>
  <si>
    <t>康揚</t>
    <phoneticPr fontId="1" type="noConversion"/>
  </si>
  <si>
    <t>五連</t>
    <phoneticPr fontId="1" type="noConversion"/>
  </si>
  <si>
    <t>勤盛</t>
    <phoneticPr fontId="1" type="noConversion"/>
  </si>
  <si>
    <t>應拿</t>
    <phoneticPr fontId="1" type="noConversion"/>
  </si>
  <si>
    <t>常榮宜</t>
    <phoneticPr fontId="1" type="noConversion"/>
  </si>
  <si>
    <t>艾比富</t>
    <phoneticPr fontId="1" type="noConversion"/>
  </si>
  <si>
    <t>亞比斯</t>
    <phoneticPr fontId="1" type="noConversion"/>
  </si>
  <si>
    <t>伍全</t>
    <phoneticPr fontId="1" type="noConversion"/>
  </si>
  <si>
    <t>華亮(新)</t>
    <phoneticPr fontId="1" type="noConversion"/>
  </si>
  <si>
    <t>雙和</t>
    <phoneticPr fontId="1" type="noConversion"/>
  </si>
  <si>
    <t>彣庭(新)</t>
    <phoneticPr fontId="1" type="noConversion"/>
  </si>
  <si>
    <t>加耐力</t>
    <phoneticPr fontId="1" type="noConversion"/>
  </si>
  <si>
    <t>太子</t>
    <phoneticPr fontId="1" type="noConversion"/>
  </si>
  <si>
    <t>聯盒</t>
    <phoneticPr fontId="1" type="noConversion"/>
  </si>
  <si>
    <t>良宜</t>
    <phoneticPr fontId="1" type="noConversion"/>
  </si>
  <si>
    <t>勳旺</t>
    <phoneticPr fontId="1" type="noConversion"/>
  </si>
  <si>
    <t>正洲</t>
    <phoneticPr fontId="1" type="noConversion"/>
  </si>
  <si>
    <t>大樁</t>
    <phoneticPr fontId="1" type="noConversion"/>
  </si>
  <si>
    <t>申普</t>
    <phoneticPr fontId="1" type="noConversion"/>
  </si>
  <si>
    <t>正美</t>
    <phoneticPr fontId="1" type="noConversion"/>
  </si>
  <si>
    <t>天工</t>
    <phoneticPr fontId="1" type="noConversion"/>
  </si>
  <si>
    <t>嘉禾登</t>
    <phoneticPr fontId="1" type="noConversion"/>
  </si>
  <si>
    <t>永臣(新)</t>
    <phoneticPr fontId="1" type="noConversion"/>
  </si>
  <si>
    <t>2025年</t>
    <phoneticPr fontId="1" type="noConversion"/>
  </si>
  <si>
    <t>華億(新)</t>
    <phoneticPr fontId="1" type="noConversion"/>
  </si>
  <si>
    <t>32XX075</t>
    <phoneticPr fontId="1" type="noConversion"/>
  </si>
  <si>
    <t>奇鈺</t>
    <phoneticPr fontId="1" type="noConversion"/>
  </si>
  <si>
    <t>寰裕</t>
    <phoneticPr fontId="1" type="noConversion"/>
  </si>
  <si>
    <t>泛源</t>
    <phoneticPr fontId="1" type="noConversion"/>
  </si>
  <si>
    <t>2025批退次數</t>
    <phoneticPr fontId="1" type="noConversion"/>
  </si>
  <si>
    <t>X</t>
    <phoneticPr fontId="1" type="noConversion"/>
  </si>
  <si>
    <t>2025年01~12月進料異常敘述</t>
    <phoneticPr fontId="1" type="noConversion"/>
  </si>
  <si>
    <t>月份</t>
    <phoneticPr fontId="1" type="noConversion"/>
  </si>
  <si>
    <t>No.</t>
    <phoneticPr fontId="1" type="noConversion"/>
  </si>
  <si>
    <t>Action</t>
    <phoneticPr fontId="1" type="noConversion"/>
  </si>
  <si>
    <r>
      <t>核准：                                                           品保處</t>
    </r>
    <r>
      <rPr>
        <b/>
        <sz val="12"/>
        <color theme="1"/>
        <rFont val="新細明體"/>
        <family val="1"/>
        <charset val="136"/>
      </rPr>
      <t xml:space="preserve">：                                                           </t>
    </r>
    <r>
      <rPr>
        <b/>
        <sz val="12"/>
        <color theme="1"/>
        <rFont val="微軟正黑體"/>
        <family val="2"/>
        <charset val="136"/>
      </rPr>
      <t>資材處：                                                           VQE：</t>
    </r>
    <phoneticPr fontId="1" type="noConversion"/>
  </si>
  <si>
    <t>93XXAB1</t>
    <phoneticPr fontId="1" type="noConversion"/>
  </si>
  <si>
    <t>馬達固定牆</t>
    <phoneticPr fontId="1" type="noConversion"/>
  </si>
  <si>
    <t>已通知王派到場處理--4/29日已修整完成</t>
    <phoneticPr fontId="1" type="noConversion"/>
  </si>
  <si>
    <t>93XXBK5</t>
    <phoneticPr fontId="1" type="noConversion"/>
  </si>
  <si>
    <t>收帶輪(滾齒)</t>
    <phoneticPr fontId="1" type="noConversion"/>
  </si>
  <si>
    <t>威逞回覆:機台主軸有問題，需要拆下送回德國維修，這個問題疑似是因主軸問題跳異常造成的，後續已經安排機台拆卸後送維修了.</t>
    <phoneticPr fontId="1" type="noConversion"/>
  </si>
  <si>
    <t>92XXBE1</t>
    <phoneticPr fontId="1" type="noConversion"/>
  </si>
  <si>
    <t>黏結座蓋板</t>
    <phoneticPr fontId="1" type="noConversion"/>
  </si>
  <si>
    <t xml:space="preserve">頂板(長) </t>
    <phoneticPr fontId="1" type="noConversion"/>
  </si>
  <si>
    <t>94XX018 
90XX403</t>
    <phoneticPr fontId="1" type="noConversion"/>
  </si>
  <si>
    <t>收帶輪心軸</t>
    <phoneticPr fontId="1" type="noConversion"/>
  </si>
  <si>
    <t xml:space="preserve">IQC進料檢驗時有發現齒尖不良的現象 不良比例:3%
</t>
    <phoneticPr fontId="1" type="noConversion"/>
  </si>
  <si>
    <t>右殼</t>
    <phoneticPr fontId="1" type="noConversion"/>
  </si>
  <si>
    <t>93XXBR1</t>
    <phoneticPr fontId="1" type="noConversion"/>
  </si>
  <si>
    <t>線上作業時有發現凹痕及異色點問題 8pcs</t>
    <phoneticPr fontId="1" type="noConversion"/>
  </si>
  <si>
    <t>切帶刀</t>
    <phoneticPr fontId="1" type="noConversion"/>
  </si>
  <si>
    <t>線上雷刻作業時有發現砂孔8pcs</t>
    <phoneticPr fontId="1" type="noConversion"/>
  </si>
  <si>
    <t>砂孔問題用基準提供的塑鋼土修補6pcs,有2pcs太嚴重退回供應商.</t>
    <phoneticPr fontId="1" type="noConversion"/>
  </si>
  <si>
    <t>因外觀研磨痕太深導致染黑製程有色差現象</t>
    <phoneticPr fontId="1" type="noConversion"/>
  </si>
  <si>
    <t>此批不影響功能,允收,已請供應商注意研磨問題.</t>
    <phoneticPr fontId="1" type="noConversion"/>
  </si>
  <si>
    <t>92XXDP5</t>
    <phoneticPr fontId="1" type="noConversion"/>
  </si>
  <si>
    <t>92XX010</t>
    <phoneticPr fontId="1" type="noConversion"/>
  </si>
  <si>
    <t>退帶軸</t>
    <phoneticPr fontId="1" type="noConversion"/>
  </si>
  <si>
    <t>IQC進料發現D-CUT處有毛邊 不良比例: 32/32pcs 100%</t>
    <phoneticPr fontId="1" type="noConversion"/>
  </si>
  <si>
    <t>達明</t>
    <phoneticPr fontId="1" type="noConversion"/>
  </si>
  <si>
    <t>93XXAJ1</t>
    <phoneticPr fontId="1" type="noConversion"/>
  </si>
  <si>
    <t>黏結齒板座固定軸</t>
    <phoneticPr fontId="1" type="noConversion"/>
  </si>
  <si>
    <t>I項尺寸NG 不良比例: 10/10pcs 100%</t>
    <phoneticPr fontId="1" type="noConversion"/>
  </si>
  <si>
    <t>93XXBL1</t>
    <phoneticPr fontId="1" type="noConversion"/>
  </si>
  <si>
    <t>左殼</t>
    <phoneticPr fontId="1" type="noConversion"/>
  </si>
  <si>
    <t>TPE包覆處正面有2黑點1pc,TPE包覆局部未黏合3pcs,不良品共4pcs. 進料總數:1056pcs,檢驗數:30pcs,不良數:4pcs.不良比例:13.33%</t>
    <phoneticPr fontId="1" type="noConversion"/>
  </si>
  <si>
    <t>宥星於4/21日全檢宥星廠內庫存,用換貨的方式交換泛源廠內的異常批.(已完成)</t>
    <phoneticPr fontId="1" type="noConversion"/>
  </si>
  <si>
    <t>93XXBB1</t>
  </si>
  <si>
    <t>皮帶輪(小)31T</t>
  </si>
  <si>
    <t>IQC進料檢驗時有發現以下幾個問題.  
1.外觀不良*1 pc                                                                                           
2.砂孔*10pcs  
3.孔位檢具NG*4pcs
進料總數量:40pcs  
不良比例:37.5%</t>
    <phoneticPr fontId="1" type="noConversion"/>
  </si>
  <si>
    <t>IQC進料檢驗時,發現車削面異常,異常比例:8/54pcs,不良比例:14.8%</t>
    <phoneticPr fontId="1" type="noConversion"/>
  </si>
  <si>
    <t>線上全檢1000pcs                                                                                                                                                                                                                                                                
1.砂孔*3pcs  (不良比例:0.3%)                                                                                                            
2.缺料*1pc (不良比例:0.1%)
3.段差*1pc (不良比例:0.1%)
4.孔位檢具NG*1pc (不良比例:0.1%)</t>
    <phoneticPr fontId="1" type="noConversion"/>
  </si>
  <si>
    <t>因砂孔與缺料比例低,雅信回覆可用換貨或者扣款方式進行,因個案問題,,故無需觀察.</t>
    <phoneticPr fontId="1" type="noConversion"/>
  </si>
  <si>
    <t>IQC已檢驗完成</t>
    <phoneticPr fontId="1" type="noConversion"/>
  </si>
  <si>
    <t>氧化的心軸,上線前倉庫會先除鏽並上油,後續進貨的部份,IQC會針對外觀加嚴檢驗,也通知供應商在防鏽方面要再加強.</t>
    <phoneticPr fontId="1" type="noConversion"/>
  </si>
  <si>
    <t>庫存放兩個月就有部分心軸嚴重氧化(不良比例:100%)</t>
    <phoneticPr fontId="1" type="noConversion"/>
  </si>
  <si>
    <t>週別</t>
    <phoneticPr fontId="1" type="noConversion"/>
  </si>
  <si>
    <t>供應商</t>
    <phoneticPr fontId="1" type="noConversion"/>
  </si>
  <si>
    <t>光勛</t>
    <phoneticPr fontId="1" type="noConversion"/>
  </si>
  <si>
    <t>簡述</t>
    <phoneticPr fontId="1" type="noConversion"/>
  </si>
  <si>
    <t>文仲/志凱</t>
    <phoneticPr fontId="1" type="noConversion"/>
  </si>
  <si>
    <t>協同</t>
    <phoneticPr fontId="1" type="noConversion"/>
  </si>
  <si>
    <t>華賢/文仲/志凱</t>
    <phoneticPr fontId="1" type="noConversion"/>
  </si>
  <si>
    <t>華賢/文仲</t>
    <phoneticPr fontId="1" type="noConversion"/>
  </si>
  <si>
    <t>華賢/文仲/老朱</t>
    <phoneticPr fontId="1" type="noConversion"/>
  </si>
  <si>
    <t>4項料件品質討論</t>
    <phoneticPr fontId="1" type="noConversion"/>
  </si>
  <si>
    <t>收帶搖臂加工</t>
    <phoneticPr fontId="1" type="noConversion"/>
  </si>
  <si>
    <t>置帶齒片開模/前檔片報價/交期與品質確認/場地租賃</t>
    <phoneticPr fontId="1" type="noConversion"/>
  </si>
  <si>
    <t>日期</t>
    <phoneticPr fontId="1" type="noConversion"/>
  </si>
  <si>
    <t>4/29</t>
    <phoneticPr fontId="1" type="noConversion"/>
  </si>
  <si>
    <t>5/6</t>
    <phoneticPr fontId="1" type="noConversion"/>
  </si>
  <si>
    <t>92XXBE0黏結蓋板-硬陽膜厚規格-訂單2880pcs</t>
    <phoneticPr fontId="1" type="noConversion"/>
  </si>
  <si>
    <t>32XXCD2左機體-毛胚狀況與加工問題-訂單372pcs</t>
    <phoneticPr fontId="1" type="noConversion"/>
  </si>
  <si>
    <t>93XXBR1右殼-包風痕跡-射出條件-後續品質判定</t>
    <phoneticPr fontId="1" type="noConversion"/>
  </si>
  <si>
    <t>IQC進料檢驗時有發現毛邊問題 不良比例:100%</t>
    <phoneticPr fontId="1" type="noConversion"/>
  </si>
  <si>
    <t>IQC</t>
    <phoneticPr fontId="1" type="noConversion"/>
  </si>
  <si>
    <t>V</t>
    <phoneticPr fontId="1" type="noConversion"/>
  </si>
  <si>
    <t>結案</t>
    <phoneticPr fontId="1" type="noConversion"/>
  </si>
  <si>
    <r>
      <t xml:space="preserve">IQC進料檢驗時有發現Pitch NG*1  </t>
    </r>
    <r>
      <rPr>
        <b/>
        <sz val="12"/>
        <color theme="0" tint="-0.249977111117893"/>
        <rFont val="新細明體"/>
        <family val="1"/>
        <charset val="136"/>
      </rPr>
      <t>Ø</t>
    </r>
    <r>
      <rPr>
        <b/>
        <sz val="12"/>
        <color theme="0" tint="-0.249977111117893"/>
        <rFont val="微軟正黑體"/>
        <family val="2"/>
        <charset val="136"/>
      </rPr>
      <t>17.00mm GO NG*1 共2pcs</t>
    </r>
    <phoneticPr fontId="1" type="noConversion"/>
  </si>
  <si>
    <r>
      <t>允泰回覆在處理滾齒毛邊製程過程中，使用1000番砂紙手工清除毛邊，會呈現正常品磨痕，
了解外觀不良廠內使用到250番砂清除毛邊，導致平面磨痕過粗。
改善方式：加工製程表單追加使用1000番砂紙清除毛邊</t>
    </r>
    <r>
      <rPr>
        <b/>
        <sz val="12"/>
        <color theme="0" tint="-0.249977111117893"/>
        <rFont val="新細明體"/>
        <family val="1"/>
        <charset val="136"/>
      </rPr>
      <t>。</t>
    </r>
    <r>
      <rPr>
        <b/>
        <sz val="12"/>
        <color theme="0" tint="-0.249977111117893"/>
        <rFont val="微軟正黑體"/>
        <family val="2"/>
        <charset val="136"/>
      </rPr>
      <t xml:space="preserve">
清除毛邊製程中，品管抽驗檢查比例增加     
泛源廠內處理方式:此批特採允收</t>
    </r>
    <phoneticPr fontId="1" type="noConversion"/>
  </si>
  <si>
    <t>14XX006</t>
    <phoneticPr fontId="1" type="noConversion"/>
  </si>
  <si>
    <t>上蓋</t>
    <phoneticPr fontId="1" type="noConversion"/>
  </si>
  <si>
    <t>上蓋內側縮水,經MRB會議決議同意廠商申請特採350pcs,單價以八折計,下批不再特採.</t>
    <phoneticPr fontId="1" type="noConversion"/>
  </si>
  <si>
    <t>上蓋內側縮水,不良比例:2/10pcs(20%).</t>
    <phoneticPr fontId="1" type="noConversion"/>
  </si>
  <si>
    <t>92XXBE0</t>
    <phoneticPr fontId="1" type="noConversion"/>
  </si>
  <si>
    <t>5/12</t>
    <phoneticPr fontId="1" type="noConversion"/>
  </si>
  <si>
    <t>5/14</t>
    <phoneticPr fontId="1" type="noConversion"/>
  </si>
  <si>
    <t>5/15</t>
    <phoneticPr fontId="1" type="noConversion"/>
  </si>
  <si>
    <t>5/18</t>
    <phoneticPr fontId="1" type="noConversion"/>
  </si>
  <si>
    <t>華賢/文仲</t>
  </si>
  <si>
    <t>5/21</t>
    <phoneticPr fontId="1" type="noConversion"/>
  </si>
  <si>
    <t>93XXBE1 機身側蓋-外觀NG,變形/93XXAA1 機體-拋修外觀問題</t>
    <phoneticPr fontId="1" type="noConversion"/>
  </si>
  <si>
    <t>92XXAX2 置帶環(加工)-齒尖毛邊/92XXBE1 黏結座蓋板-</t>
    <phoneticPr fontId="1" type="noConversion"/>
  </si>
  <si>
    <t>5/19</t>
    <phoneticPr fontId="1" type="noConversion"/>
  </si>
  <si>
    <t>93XXBR1 右殼 修模後確認</t>
    <phoneticPr fontId="1" type="noConversion"/>
  </si>
  <si>
    <t>5/26</t>
    <phoneticPr fontId="1" type="noConversion"/>
  </si>
  <si>
    <t>92XXAD1 黏結按鈕胚-包膠外觀確認/拿90pcs舊品請鴻揚包膠</t>
    <phoneticPr fontId="1" type="noConversion"/>
  </si>
  <si>
    <t>V</t>
  </si>
  <si>
    <t>P項9.1mm尺寸測量為9.47,於相同位置勾勒處底部有段差.進貨總數:1225pcs,不良比例:1/32pcs(3.13%)</t>
    <phoneticPr fontId="1" type="noConversion"/>
  </si>
  <si>
    <t>5/14日雅信派余經理來全檢1225pcs,並未抽到異常品(僅在進料檢驗時抽到1pc).</t>
    <phoneticPr fontId="1" type="noConversion"/>
  </si>
  <si>
    <t>92XXDP0</t>
  </si>
  <si>
    <t>齒損(齒尖有砂氣孔)1pc,線上領料數量50pcs,不良良比例:1/50pcs(2%)</t>
    <phoneticPr fontId="1" type="noConversion"/>
  </si>
  <si>
    <t>18XXYA0</t>
    <phoneticPr fontId="1" type="noConversion"/>
  </si>
  <si>
    <t>鋰電池包</t>
    <phoneticPr fontId="1" type="noConversion"/>
  </si>
  <si>
    <t>J項外觀發現有兩顆螺絲未鎖附,不良比例:1/300pcs(0.33%).</t>
    <phoneticPr fontId="1" type="noConversion"/>
  </si>
  <si>
    <t>供應商於5/15到廠全檢後確認只有1pc未鎖附,供應商已補螺絲鎖附已完成,品保複驗OK.</t>
    <phoneticPr fontId="1" type="noConversion"/>
  </si>
  <si>
    <t>不良品已退至K倉(不良品倉),品保主管複判OK,已入庫</t>
    <phoneticPr fontId="1" type="noConversion"/>
  </si>
  <si>
    <t>93XXBE2</t>
    <phoneticPr fontId="1" type="noConversion"/>
  </si>
  <si>
    <t>機身側蓋(噴砂+電著)</t>
    <phoneticPr fontId="1" type="noConversion"/>
  </si>
  <si>
    <t>進料檢驗外觀凹凸點,銘版凹槽內凸起,觸感粗糙等現象,進貨總數:1445pcs,不良比例:3/30pcs(10%).</t>
    <phoneticPr fontId="1" type="noConversion"/>
  </si>
  <si>
    <t>VQE全檢外觀,品保已複驗OK,良品:1160pcs入庫,不良品:285pcs退回供應商.</t>
    <phoneticPr fontId="1" type="noConversion"/>
  </si>
  <si>
    <t>92XXAX2</t>
    <phoneticPr fontId="1" type="noConversion"/>
  </si>
  <si>
    <t>置帶環(加工)</t>
    <phoneticPr fontId="1" type="noConversion"/>
  </si>
  <si>
    <t>進料檢驗發現毛邊,進料總數量:2001pcs,不良率:22/32pcs(68.7%)</t>
    <phoneticPr fontId="1" type="noConversion"/>
  </si>
  <si>
    <t>華賢/文仲/赫騰</t>
    <phoneticPr fontId="1" type="noConversion"/>
  </si>
  <si>
    <t>92XXAP3</t>
    <phoneticPr fontId="1" type="noConversion"/>
  </si>
  <si>
    <t>製程中發現1pc毛胚缺料,不良比例:1/500pcs(0.20%)</t>
    <phoneticPr fontId="1" type="noConversion"/>
  </si>
  <si>
    <t>92XX056</t>
    <phoneticPr fontId="1" type="noConversion"/>
  </si>
  <si>
    <t>置帶拉柄</t>
    <phoneticPr fontId="1" type="noConversion"/>
  </si>
  <si>
    <t>製程中發現8pcs外觀不良,不良比例:8/540pcs(1.48%)</t>
    <phoneticPr fontId="1" type="noConversion"/>
  </si>
  <si>
    <t>93XXYC0</t>
    <phoneticPr fontId="1" type="noConversion"/>
  </si>
  <si>
    <t>後續會更換為板料,故無需觀察.</t>
    <phoneticPr fontId="1" type="noConversion"/>
  </si>
  <si>
    <t>已退回龍冠進行重工,預計5/22日重工完成,5/25品保已驗收</t>
    <phoneticPr fontId="1" type="noConversion"/>
  </si>
  <si>
    <t>8pcs不良品會與供應商換良品,6/2到琪泰討論拉柄不良問題</t>
    <phoneticPr fontId="1" type="noConversion"/>
  </si>
  <si>
    <t>今年為止進料3000pcs,1pc不良,因個案問題,,故無需觀察,5/25已通知王派注意斷裂不良問題</t>
    <phoneticPr fontId="1" type="noConversion"/>
  </si>
  <si>
    <t>製程中發現1pc斷裂,不良比例:1/50pcs(2%)</t>
    <phoneticPr fontId="1" type="noConversion"/>
  </si>
  <si>
    <t>6/2</t>
    <phoneticPr fontId="1" type="noConversion"/>
  </si>
  <si>
    <t>92XX056 置帶拉柄-外觀不良及砂孔問題討論</t>
    <phoneticPr fontId="1" type="noConversion"/>
  </si>
  <si>
    <t>5/27</t>
    <phoneticPr fontId="1" type="noConversion"/>
  </si>
  <si>
    <t>華亮</t>
    <phoneticPr fontId="1" type="noConversion"/>
  </si>
  <si>
    <t>93XXAO3 黏結下齒板-送華亮鍍鉻-討論外觀問題解決方案</t>
    <phoneticPr fontId="1" type="noConversion"/>
  </si>
  <si>
    <t>善國</t>
    <phoneticPr fontId="1" type="noConversion"/>
  </si>
  <si>
    <t>5/29</t>
    <phoneticPr fontId="1" type="noConversion"/>
  </si>
  <si>
    <t>92XXAD1 黏結按鈕胚-包膠外觀確認</t>
    <phoneticPr fontId="1" type="noConversion"/>
  </si>
  <si>
    <t>無</t>
    <phoneticPr fontId="1" type="noConversion"/>
  </si>
  <si>
    <t>93XXBA0</t>
    <phoneticPr fontId="1" type="noConversion"/>
  </si>
  <si>
    <t>皮帶輪(大)</t>
    <phoneticPr fontId="1" type="noConversion"/>
  </si>
  <si>
    <t>不良品已退至K倉(不良品倉),後續會與供應商換貨</t>
    <phoneticPr fontId="1" type="noConversion"/>
  </si>
  <si>
    <t>201XBC1</t>
    <phoneticPr fontId="1" type="noConversion"/>
  </si>
  <si>
    <t>掛勾</t>
    <phoneticPr fontId="1" type="noConversion"/>
  </si>
  <si>
    <t>97XXAF0</t>
    <phoneticPr fontId="1" type="noConversion"/>
  </si>
  <si>
    <t>傘齒輪(大)</t>
    <phoneticPr fontId="1" type="noConversion"/>
  </si>
  <si>
    <t>製程中發現1pc疑似材料預留不足,導致加工後部分尺寸過小,不良比例:1/500pcs(0.2%)</t>
    <phoneticPr fontId="1" type="noConversion"/>
  </si>
  <si>
    <t>製程中發現2pcs掛勾環狀部位沒有閉鎖完全.,不良比例:2/200pcs(1.00%)</t>
    <phoneticPr fontId="1" type="noConversion"/>
  </si>
  <si>
    <t>製程中發現1pc組裝後使用束緊功能時產生異音,後續用齒比檢具量測,正常值是比0.03mm小,實測值0.04mm已超差,不良比例:1/50pcs(2.00%)</t>
    <phoneticPr fontId="1" type="noConversion"/>
  </si>
  <si>
    <t>6/1</t>
    <phoneticPr fontId="1" type="noConversion"/>
  </si>
  <si>
    <t>黏結下齒板(加工/毛胚)送噴砂</t>
    <phoneticPr fontId="1" type="noConversion"/>
  </si>
  <si>
    <t>華賢</t>
  </si>
  <si>
    <t>德紘</t>
    <phoneticPr fontId="1" type="noConversion"/>
  </si>
  <si>
    <t>黏結下齒板(毛胚)送熱處理</t>
    <phoneticPr fontId="1" type="noConversion"/>
  </si>
  <si>
    <t>黏結下齒板(加工/毛胚)送鍍硬鉻</t>
    <phoneticPr fontId="1" type="noConversion"/>
  </si>
  <si>
    <t>93XXBR1 右殼(毛胚包TPE)-二射試模TPE-射出條件-TPE毛邊改善</t>
    <phoneticPr fontId="1" type="noConversion"/>
  </si>
  <si>
    <t>6/3</t>
    <phoneticPr fontId="1" type="noConversion"/>
  </si>
  <si>
    <t>黏結下齒板(毛胚)拿熱處理毛胚</t>
    <phoneticPr fontId="1" type="noConversion"/>
  </si>
  <si>
    <t>不良品已退至K倉(不良品倉),VQE已修復,6/1品保週會總經理複判後可使用</t>
    <phoneticPr fontId="1" type="noConversion"/>
  </si>
  <si>
    <t>統計時間:2026年度6月</t>
    <phoneticPr fontId="1" type="noConversion"/>
  </si>
  <si>
    <t>2026年度6月資材週報-VQE</t>
    <phoneticPr fontId="1" type="noConversion"/>
  </si>
  <si>
    <t>機身側蓋不良品送回仁鎂全檢及載回</t>
    <phoneticPr fontId="1" type="noConversion"/>
  </si>
  <si>
    <t>文仲</t>
    <phoneticPr fontId="1" type="noConversion"/>
  </si>
  <si>
    <t>93XXAJ0</t>
    <phoneticPr fontId="1" type="noConversion"/>
  </si>
  <si>
    <t>製程中發現3pcs不導電無法加工,</t>
    <phoneticPr fontId="1" type="noConversion"/>
  </si>
  <si>
    <t>不良品退至K倉(不良品倉),後續會與供應商換貨</t>
    <phoneticPr fontId="1" type="noConversion"/>
  </si>
  <si>
    <t>文謙</t>
    <phoneticPr fontId="1" type="noConversion"/>
  </si>
  <si>
    <t>6/9</t>
    <phoneticPr fontId="1" type="noConversion"/>
  </si>
  <si>
    <t>進料269pcs檢驗發現側蓋表面可看出凹陷/凸點等瑕疵,觸感粗糙,不良比例:2/30pcs(6.66%)</t>
    <phoneticPr fontId="1" type="noConversion"/>
  </si>
  <si>
    <t>已送回仁鎂全檢後載回入庫複驗外觀有側蓋表面可看出凹陷/凸點等瑕疵,觸感粗糙,不良比例:2/30pcs(6.66%),VQE協助全檢,挑出不良品4pcs,品保挑出3pcs,共7pcs不良.全檢後不良比例:7/269pcs(2.6%)</t>
    <phoneticPr fontId="1" type="noConversion"/>
  </si>
  <si>
    <t>92XXBV3 馬達減速齒環(熱處理)-硬度NG(氮化層)-洛氏硬度機測試硬度換算HV過低</t>
    <phoneticPr fontId="1" type="noConversion"/>
  </si>
  <si>
    <t>品號</t>
    <phoneticPr fontId="1" type="noConversion"/>
  </si>
  <si>
    <t>追蹤事項</t>
    <phoneticPr fontId="1" type="noConversion"/>
  </si>
  <si>
    <t>電源端子(-)</t>
    <phoneticPr fontId="1" type="noConversion"/>
  </si>
  <si>
    <t>93XX105</t>
    <phoneticPr fontId="1" type="noConversion"/>
  </si>
  <si>
    <t>電源端子(+)</t>
    <phoneticPr fontId="1" type="noConversion"/>
  </si>
  <si>
    <t>93XX104</t>
    <phoneticPr fontId="1" type="noConversion"/>
  </si>
  <si>
    <t>黏結按鈕</t>
  </si>
  <si>
    <t>鴻暘</t>
    <phoneticPr fontId="1" type="noConversion"/>
  </si>
  <si>
    <t>預計時間</t>
    <phoneticPr fontId="1" type="noConversion"/>
  </si>
  <si>
    <t>完成時間</t>
    <phoneticPr fontId="1" type="noConversion"/>
  </si>
  <si>
    <t>201XAJ0</t>
    <phoneticPr fontId="1" type="noConversion"/>
  </si>
  <si>
    <t>右支板組</t>
    <phoneticPr fontId="1" type="noConversion"/>
  </si>
  <si>
    <t>製程中發現1pc M3孔滑牙,不良比例:1/50pcs(2%)</t>
    <phoneticPr fontId="1" type="noConversion"/>
  </si>
  <si>
    <t>201XAH0</t>
    <phoneticPr fontId="1" type="noConversion"/>
  </si>
  <si>
    <t>連桿D組</t>
    <phoneticPr fontId="1" type="noConversion"/>
  </si>
  <si>
    <t>製程中發現5pcs內孔尺寸Ø6.50+0.01/+0.03mm,實測值:6.44mm,不良比例:5/50pcs(10%)</t>
    <phoneticPr fontId="1" type="noConversion"/>
  </si>
  <si>
    <t>進料檢驗B項90ﾟNG,實測值為88.103ﾟ-88.380ﾟ,另目視其中一包(500pcs)內有1pc漏加工情況.</t>
    <phoneticPr fontId="1" type="noConversion"/>
  </si>
  <si>
    <t>B項90ﾟNG,需用整型模重工,1.整型模製作時間需兩週預計6/25星期四完成,2.丁山廠內同批庫存重工時間需一週.3.VQE需會同QC確認重工品90ﾟ及其他尺寸是否合格預計6/30星期二.</t>
  </si>
  <si>
    <t>B項90ﾟNG,需用整型模重工,1.整型模製作時間需兩週預計6/25星期四完成,2.丁山廠內同批庫存重工時間需一週.3.VQE需會同QC確認重工品90ﾟ及其他尺寸是否合格預計6/30星期二.</t>
    <phoneticPr fontId="1" type="noConversion"/>
  </si>
  <si>
    <r>
      <t>進料檢驗B項90</t>
    </r>
    <r>
      <rPr>
        <b/>
        <sz val="12"/>
        <color rgb="FFFF0000"/>
        <rFont val="新細明體"/>
        <family val="1"/>
        <charset val="136"/>
      </rPr>
      <t>ﾟ</t>
    </r>
    <r>
      <rPr>
        <b/>
        <sz val="13.2"/>
        <color rgb="FFFF0000"/>
        <rFont val="微軟正黑體"/>
        <family val="2"/>
        <charset val="136"/>
      </rPr>
      <t>NG,實測值為</t>
    </r>
    <r>
      <rPr>
        <b/>
        <sz val="12"/>
        <color rgb="FFFF0000"/>
        <rFont val="微軟正黑體"/>
        <family val="2"/>
        <charset val="136"/>
      </rPr>
      <t>87.855</t>
    </r>
    <r>
      <rPr>
        <b/>
        <sz val="12"/>
        <color rgb="FFFF0000"/>
        <rFont val="新細明體"/>
        <family val="1"/>
        <charset val="136"/>
      </rPr>
      <t>ﾟ</t>
    </r>
    <r>
      <rPr>
        <b/>
        <sz val="12"/>
        <color rgb="FFFF0000"/>
        <rFont val="微軟正黑體"/>
        <family val="2"/>
        <charset val="136"/>
      </rPr>
      <t>-88.403</t>
    </r>
    <r>
      <rPr>
        <b/>
        <sz val="14.5"/>
        <color rgb="FFFF0000"/>
        <rFont val="新細明體"/>
        <family val="1"/>
        <charset val="136"/>
      </rPr>
      <t>ﾟ</t>
    </r>
    <r>
      <rPr>
        <b/>
        <sz val="15.95"/>
        <color rgb="FFFF0000"/>
        <rFont val="微軟正黑體"/>
        <family val="2"/>
        <charset val="136"/>
      </rPr>
      <t>,</t>
    </r>
    <r>
      <rPr>
        <b/>
        <sz val="12"/>
        <color rgb="FFFF0000"/>
        <rFont val="微軟正黑體"/>
        <family val="2"/>
        <charset val="136"/>
      </rPr>
      <t>另目視其中一包(500pcs)內有1pc混料情況.</t>
    </r>
    <phoneticPr fontId="1" type="noConversion"/>
  </si>
  <si>
    <t>94XXAF1</t>
    <phoneticPr fontId="1" type="noConversion"/>
  </si>
  <si>
    <t>進料檢驗傘齒輪(大),數量:1500pcs傘齒有碰撞傷的問題,不良比例:1/10pcs(10%).</t>
    <phoneticPr fontId="1" type="noConversion"/>
  </si>
  <si>
    <t>6/16</t>
    <phoneticPr fontId="1" type="noConversion"/>
  </si>
  <si>
    <r>
      <rPr>
        <b/>
        <sz val="12"/>
        <color theme="1"/>
        <rFont val="微軟正黑體"/>
        <family val="2"/>
        <charset val="136"/>
      </rPr>
      <t>92XXAB5 黏結切帶壓板座</t>
    </r>
    <r>
      <rPr>
        <b/>
        <sz val="12"/>
        <color theme="1"/>
        <rFont val="新細明體"/>
        <family val="1"/>
        <charset val="136"/>
      </rPr>
      <t>Ø</t>
    </r>
    <r>
      <rPr>
        <b/>
        <sz val="12"/>
        <color theme="1"/>
        <rFont val="微軟正黑體"/>
        <family val="2"/>
        <charset val="136"/>
      </rPr>
      <t>17 GONG重工53pcs.</t>
    </r>
    <phoneticPr fontId="1" type="noConversion"/>
  </si>
  <si>
    <t>201XAJ0 右支板組更換1pc,201XAH0 連桿D組Ø6.50尺寸重工10pcs.</t>
    <phoneticPr fontId="1" type="noConversion"/>
  </si>
  <si>
    <t>不良品後續會退給供應商重工,泛源庫存668pcsVQE在2026/06/15協助全檢,挑出5pcs不良品(不良品集中在一袋中檢出5pcs),不良品共10pcs,6/16已重工完成品保已確認OK,已入庫.</t>
    <phoneticPr fontId="1" type="noConversion"/>
  </si>
  <si>
    <t>製程中發現5pcs內孔尺寸Ø6.50+0.01/+0.03mm,實測值:6.44mm,不良比例:5/50pcs(10%),不良品後續會退給供應商重工,泛源庫存668pcsVQE在2026/06/15協助全檢,挑出5pcs不良品(不良品集中在一袋中檢出5pcs),不良品共10pcs,6/16已重工完成品保已確認OK,已入庫.</t>
    <phoneticPr fontId="1" type="noConversion"/>
  </si>
  <si>
    <t>不良品退至K倉(不良品倉),後續會與供應商換貨,6/16已換貨,因需要實配,固外袋已標示"需實配"字樣,已入庫.</t>
    <phoneticPr fontId="1" type="noConversion"/>
  </si>
  <si>
    <t>6/17</t>
    <phoneticPr fontId="1" type="noConversion"/>
  </si>
  <si>
    <t>黏結下齒板(加工/加工齒尖)查看噴砂後情況及載回公司</t>
    <phoneticPr fontId="1" type="noConversion"/>
  </si>
  <si>
    <t>92XX098</t>
    <phoneticPr fontId="1" type="noConversion"/>
  </si>
  <si>
    <t>後置帶檔板連桿</t>
    <phoneticPr fontId="1" type="noConversion"/>
  </si>
  <si>
    <t>製程中發現2pcsM5牙內孔尺寸Ø4.2mm,實測值:4.36mm,不良比例:2/100pcs(2%)</t>
    <phoneticPr fontId="1" type="noConversion"/>
  </si>
  <si>
    <t>馬達固定牆組</t>
    <phoneticPr fontId="1" type="noConversion"/>
  </si>
  <si>
    <t>製程中發現1pc鎖附後斷裂,不良比例:1/50pcs(2%)</t>
    <phoneticPr fontId="1" type="noConversion"/>
  </si>
  <si>
    <t>不良品已退至K倉(不良品倉),後續會與供應商換貨,此為修改前料件,泛源庫存1021pcs,修改後料件預計6月底7月初進料3000pcs.</t>
    <phoneticPr fontId="1" type="noConversion"/>
  </si>
  <si>
    <t>6/23</t>
    <phoneticPr fontId="1" type="noConversion"/>
  </si>
  <si>
    <t>黏結下齒板噴砂後(泛源加工)-送華亮鍍鉻-確認電鍍外觀是否改善</t>
    <phoneticPr fontId="1" type="noConversion"/>
  </si>
  <si>
    <t>92XX272</t>
    <phoneticPr fontId="1" type="noConversion"/>
  </si>
  <si>
    <t>馬達減速齒輪座外環</t>
    <phoneticPr fontId="1" type="noConversion"/>
  </si>
  <si>
    <t>不良品已退至K倉(不良品倉),後續會與供應商換貨,下周三6/24下午2-3點王派謝先生會到泛源討論.</t>
    <phoneticPr fontId="1" type="noConversion"/>
  </si>
  <si>
    <t>進料檢驗外觀,外環處局部有氧化現象2pcs,進料數量:3000pcs不良比例:2/10pcs(20%).</t>
    <phoneticPr fontId="1" type="noConversion"/>
  </si>
  <si>
    <t>32XXAP1 切帶刀套筒 斷裂客訴拿不良品給融振分析問題及92XX272馬達減速齒輪座外環氧化退貨3000pcs</t>
    <phoneticPr fontId="1" type="noConversion"/>
  </si>
  <si>
    <t xml:space="preserve">94XX018 </t>
    <phoneticPr fontId="1" type="noConversion"/>
  </si>
  <si>
    <t>不良品已退至K倉(不良品倉),與供應商換貨</t>
    <phoneticPr fontId="1" type="noConversion"/>
  </si>
  <si>
    <t>S</t>
    <phoneticPr fontId="1" type="noConversion"/>
  </si>
  <si>
    <t xml:space="preserve">線上全檢306pcs,不良數量:11pcs,不良比例:11/306pcs(3.59%),不良原因:勾勒處外型不良*9pcs / 外觀撞傷*2pcs.                                                                                                                                                    </t>
    <phoneticPr fontId="1" type="noConversion"/>
  </si>
  <si>
    <t>收帶輪</t>
    <phoneticPr fontId="1" type="noConversion"/>
  </si>
  <si>
    <t>進料檢驗發現D項齒尖NG*1pc,進料總數量:2015pcs,不良率:1/32pcs(3.13%)</t>
    <phoneticPr fontId="1" type="noConversion"/>
  </si>
  <si>
    <t>不良品2015pcs已退給供應商進行全檢,</t>
    <phoneticPr fontId="1" type="noConversion"/>
  </si>
  <si>
    <t>進料檢驗時發現,進貨數量:2100pcs,A項尺寸8.0mm實測為7.52-7.97mm,不良原因:毛邊未除導致尺寸NG,不良比例:32/32pcs(100%)</t>
    <phoneticPr fontId="1" type="noConversion"/>
  </si>
  <si>
    <t>部份急料保留後重工,改特採</t>
    <phoneticPr fontId="1" type="noConversion"/>
  </si>
  <si>
    <t>異色點及凹陷問題其中有輕微異色點問題請品保主管覆驗,判定可允收,數量3pcs,故退貨5pcs,允收3pcs. 退貨品已與供應商更換完成</t>
    <phoneticPr fontId="1" type="noConversion"/>
  </si>
  <si>
    <t>不良品11pcs已退回供應商,也已通知供應商改包裝避免外觀件運送時碰傷,在生產時如有發現目視可見的砂孔可修補時請修補,太嚴重的砂孔會挑除,不良品11pcs需14個工作天才能處理完成預計5月底左右交貨,4pcs孔位檢具NG泛源廠內重工.</t>
    <phoneticPr fontId="1" type="noConversion"/>
  </si>
  <si>
    <t>2026年01~06月進料異常敘述</t>
    <phoneticPr fontId="1" type="noConversion"/>
  </si>
  <si>
    <r>
      <t>進料檢驗B項90</t>
    </r>
    <r>
      <rPr>
        <b/>
        <sz val="12"/>
        <rFont val="新細明體"/>
        <family val="1"/>
        <charset val="136"/>
      </rPr>
      <t>ﾟ</t>
    </r>
    <r>
      <rPr>
        <b/>
        <sz val="12"/>
        <rFont val="微軟正黑體"/>
        <family val="2"/>
        <charset val="136"/>
      </rPr>
      <t>NG,實測值為87.855</t>
    </r>
    <r>
      <rPr>
        <b/>
        <sz val="12"/>
        <rFont val="新細明體"/>
        <family val="1"/>
        <charset val="136"/>
      </rPr>
      <t>ﾟ</t>
    </r>
    <r>
      <rPr>
        <b/>
        <sz val="12"/>
        <rFont val="微軟正黑體"/>
        <family val="2"/>
        <charset val="136"/>
      </rPr>
      <t>-88.403</t>
    </r>
    <r>
      <rPr>
        <b/>
        <sz val="12"/>
        <rFont val="新細明體"/>
        <family val="1"/>
        <charset val="136"/>
      </rPr>
      <t>ﾟ</t>
    </r>
    <r>
      <rPr>
        <b/>
        <sz val="12"/>
        <rFont val="微軟正黑體"/>
        <family val="2"/>
        <charset val="136"/>
      </rPr>
      <t>,另目視其中一包(500pcs)內有1pc混料情況.</t>
    </r>
    <phoneticPr fontId="1" type="noConversion"/>
  </si>
  <si>
    <r>
      <t>圖面B項尺寸</t>
    </r>
    <r>
      <rPr>
        <b/>
        <sz val="12"/>
        <rFont val="新細明體"/>
        <family val="1"/>
        <charset val="136"/>
      </rPr>
      <t>Ø</t>
    </r>
    <r>
      <rPr>
        <b/>
        <sz val="12"/>
        <rFont val="微軟正黑體"/>
        <family val="2"/>
        <charset val="136"/>
      </rPr>
      <t>17.0mm+0.02/-0孔徑過大,塞規NOGO NG,不良比例:2/2204pcs(0.09%).</t>
    </r>
    <phoneticPr fontId="1" type="noConversion"/>
  </si>
  <si>
    <r>
      <t>線上全檢450pcs,不良數量:76pcs,不良比例:76/450pcs(16.89%),不良原因:</t>
    </r>
    <r>
      <rPr>
        <b/>
        <sz val="12"/>
        <color rgb="FFFF0000"/>
        <rFont val="新細明體"/>
        <family val="1"/>
        <charset val="136"/>
      </rPr>
      <t>Ø</t>
    </r>
    <r>
      <rPr>
        <b/>
        <sz val="12"/>
        <color rgb="FFFF0000"/>
        <rFont val="微軟正黑體"/>
        <family val="2"/>
        <charset val="136"/>
      </rPr>
      <t xml:space="preserve">21.00 &amp; </t>
    </r>
    <r>
      <rPr>
        <b/>
        <sz val="12"/>
        <color rgb="FFFF0000"/>
        <rFont val="新細明體"/>
        <family val="1"/>
        <charset val="136"/>
      </rPr>
      <t>Ø</t>
    </r>
    <r>
      <rPr>
        <b/>
        <sz val="12"/>
        <color rgb="FFFF0000"/>
        <rFont val="微軟正黑體"/>
        <family val="2"/>
        <charset val="136"/>
      </rPr>
      <t xml:space="preserve">24.00mm同心度NG*76pcs.                                                                                                                                                  </t>
    </r>
    <phoneticPr fontId="1" type="noConversion"/>
  </si>
  <si>
    <t>威逞</t>
    <phoneticPr fontId="1" type="noConversion"/>
  </si>
  <si>
    <t>92XX010</t>
  </si>
  <si>
    <t>92XX010</t>
    <phoneticPr fontId="1" type="noConversion"/>
  </si>
  <si>
    <t>退帶軸</t>
  </si>
  <si>
    <t>退帶軸</t>
    <phoneticPr fontId="1" type="noConversion"/>
  </si>
  <si>
    <t>進料檢驗時發現外觀,外觀明顯氧化,齒間污垢未清除32pcs,進料數量:2210pcs不良比例:32/32pcs(100%).</t>
    <phoneticPr fontId="1" type="noConversion"/>
  </si>
  <si>
    <t>製程中發現1pcM5牙內孔尺寸Ø4.2mm,實測值:4.50mm,不良比例:1/50pcs(2%)</t>
    <phoneticPr fontId="1" type="noConversion"/>
  </si>
  <si>
    <t>不良品已退至K倉(不良品倉),後續會與供應商換貨,此為修改前料件,泛源庫存971pcs,修改後料件預計6月底7月初進料3000pcs.</t>
    <phoneticPr fontId="1" type="noConversion"/>
  </si>
  <si>
    <t>製程中發現3pcs不導電無法加工,不良比例:3/994pcs(0.3%)</t>
    <phoneticPr fontId="1" type="noConversion"/>
  </si>
  <si>
    <t>6/24VQE順便載給融振全檢,7/1VQE已複驗OK.</t>
    <phoneticPr fontId="1" type="noConversion"/>
  </si>
  <si>
    <t>93XXBE2</t>
  </si>
  <si>
    <t>機身側蓋(噴砂+電著)</t>
  </si>
  <si>
    <t>4/14全檢完成,全檢方式以卡尺夾外徑量測,IQC已複驗OK,倉庫已發往後製程.</t>
    <phoneticPr fontId="1" type="noConversion"/>
  </si>
  <si>
    <r>
      <t xml:space="preserve">線上全檢945pcs,不良數量:43pcs,不良比例:43/945pcs(4.51%),不良原因:齒損*1pc / 
</t>
    </r>
    <r>
      <rPr>
        <b/>
        <sz val="12"/>
        <color theme="0" tint="-0.14999847407452621"/>
        <rFont val="新細明體"/>
        <family val="1"/>
        <charset val="136"/>
      </rPr>
      <t xml:space="preserve">Ø5 GO NG*1pc / </t>
    </r>
    <r>
      <rPr>
        <b/>
        <sz val="12"/>
        <color theme="0" tint="-0.14999847407452621"/>
        <rFont val="微軟正黑體"/>
        <family val="2"/>
        <charset val="136"/>
      </rPr>
      <t xml:space="preserve"> Pitch NG*41pcs.                                                                                                                                                                                                                                      </t>
    </r>
    <phoneticPr fontId="1" type="noConversion"/>
  </si>
  <si>
    <r>
      <t>線上全檢450pcs,不良數量:76pcs,不良比例:76/450pcs(16.89%),不良原因:</t>
    </r>
    <r>
      <rPr>
        <b/>
        <sz val="12"/>
        <color theme="0" tint="-0.14999847407452621"/>
        <rFont val="新細明體"/>
        <family val="1"/>
        <charset val="136"/>
      </rPr>
      <t>Ø</t>
    </r>
    <r>
      <rPr>
        <b/>
        <sz val="13.2"/>
        <color theme="0" tint="-0.14999847407452621"/>
        <rFont val="微軟正黑體"/>
        <family val="2"/>
        <charset val="136"/>
      </rPr>
      <t>21.00</t>
    </r>
    <r>
      <rPr>
        <b/>
        <sz val="12"/>
        <color theme="0" tint="-0.14999847407452621"/>
        <rFont val="微軟正黑體"/>
        <family val="2"/>
        <charset val="136"/>
      </rPr>
      <t xml:space="preserve"> &amp;
</t>
    </r>
    <r>
      <rPr>
        <b/>
        <sz val="13.2"/>
        <color theme="0" tint="-0.14999847407452621"/>
        <rFont val="微軟正黑體"/>
        <family val="2"/>
        <charset val="136"/>
      </rPr>
      <t xml:space="preserve"> </t>
    </r>
    <r>
      <rPr>
        <b/>
        <sz val="12"/>
        <color theme="0" tint="-0.14999847407452621"/>
        <rFont val="新細明體"/>
        <family val="1"/>
        <charset val="136"/>
      </rPr>
      <t>Ø</t>
    </r>
    <r>
      <rPr>
        <b/>
        <sz val="12"/>
        <color theme="0" tint="-0.14999847407452621"/>
        <rFont val="微軟正黑體"/>
        <family val="2"/>
        <charset val="136"/>
      </rPr>
      <t xml:space="preserve">24.00mm同心度NG*76pcs.                                                                                                                                                  </t>
    </r>
    <phoneticPr fontId="1" type="noConversion"/>
  </si>
  <si>
    <t>649pcs已回泛源倉庫,已驗收.</t>
    <phoneticPr fontId="1" type="noConversion"/>
  </si>
  <si>
    <r>
      <t>圖面B項尺寸</t>
    </r>
    <r>
      <rPr>
        <b/>
        <sz val="12"/>
        <color theme="0" tint="-0.14999847407452621"/>
        <rFont val="新細明體"/>
        <family val="1"/>
        <charset val="136"/>
      </rPr>
      <t>Ø</t>
    </r>
    <r>
      <rPr>
        <b/>
        <sz val="13.2"/>
        <color theme="0" tint="-0.14999847407452621"/>
        <rFont val="微軟正黑體"/>
        <family val="2"/>
        <charset val="136"/>
      </rPr>
      <t>17.0mm+0.02/-0</t>
    </r>
    <r>
      <rPr>
        <b/>
        <sz val="12"/>
        <color theme="0" tint="-0.14999847407452621"/>
        <rFont val="微軟正黑體"/>
        <family val="2"/>
        <charset val="136"/>
      </rPr>
      <t>孔徑過大,塞規NOGO NG,不良比例:2/2204pcs(0.09%).</t>
    </r>
    <phoneticPr fontId="1" type="noConversion"/>
  </si>
  <si>
    <r>
      <t>製程中發現1pc,M</t>
    </r>
    <r>
      <rPr>
        <b/>
        <sz val="13.2"/>
        <color theme="0" tint="-0.14999847407452621"/>
        <rFont val="微軟正黑體"/>
        <family val="2"/>
        <charset val="136"/>
      </rPr>
      <t>6牙前端牙型不完全,</t>
    </r>
    <r>
      <rPr>
        <b/>
        <sz val="12"/>
        <color theme="0" tint="-0.14999847407452621"/>
        <rFont val="微軟正黑體"/>
        <family val="2"/>
        <charset val="136"/>
      </rPr>
      <t>無法鎖附.</t>
    </r>
    <phoneticPr fontId="1" type="noConversion"/>
  </si>
  <si>
    <t>不良品1500pcs已退給供應商進行全檢,預計6月29日進料.6/25已進料,VQE抽檢外觀發現還是有碰撞傷問題,已通知保得順處理,預計7/1星期三早上到泛源進行全檢,7/1供應商全檢完成,品保複驗OK.</t>
    <phoneticPr fontId="1" type="noConversion"/>
  </si>
  <si>
    <t>馬達固定牆組</t>
  </si>
  <si>
    <t>93XXYC0</t>
  </si>
  <si>
    <t>92XX272</t>
  </si>
  <si>
    <t>馬達減速齒輪座外環</t>
  </si>
  <si>
    <t>與融振確認鐵質料件保存方式是否抗氧化,保存多少時間需再重新上油.</t>
    <phoneticPr fontId="1" type="noConversion"/>
  </si>
  <si>
    <t>不良品已退至K倉(不良品倉),後續會與供應商換貨,下周三6/24下午2-3點王派謝先生已到泛源討論,確認為舊料,已請王派及其加工廠把庫存找出來報廢,如報廢後還有舊料也進行報廢,不在使用舊料.</t>
    <phoneticPr fontId="1" type="noConversion"/>
  </si>
  <si>
    <t>後續追蹤是否還有斷裂現象,王派廠內舊料需報廢,不可使用.</t>
    <phoneticPr fontId="1" type="noConversion"/>
  </si>
  <si>
    <r>
      <t xml:space="preserve">線上全檢945pcs,不良數量:43pcs,不良比例:43/945pcs(4.51%),不良原因:齒損*1pc / 
</t>
    </r>
    <r>
      <rPr>
        <b/>
        <sz val="12"/>
        <color theme="1"/>
        <rFont val="新細明體"/>
        <family val="1"/>
        <charset val="136"/>
      </rPr>
      <t xml:space="preserve">Ø5 GO NG*1pc / </t>
    </r>
    <r>
      <rPr>
        <b/>
        <sz val="12"/>
        <color theme="1"/>
        <rFont val="微軟正黑體"/>
        <family val="2"/>
        <charset val="136"/>
      </rPr>
      <t xml:space="preserve"> Pitch NG*41pcs.                                                                                                                                                                                                                                      </t>
    </r>
    <phoneticPr fontId="1" type="noConversion"/>
  </si>
  <si>
    <r>
      <t>線上全檢450pcs,不良數量:76pcs,不良比例:76/450pcs(16.89%),不良原因:</t>
    </r>
    <r>
      <rPr>
        <b/>
        <sz val="12"/>
        <color theme="1"/>
        <rFont val="新細明體"/>
        <family val="1"/>
        <charset val="136"/>
      </rPr>
      <t>Ø</t>
    </r>
    <r>
      <rPr>
        <b/>
        <sz val="13.2"/>
        <color theme="1"/>
        <rFont val="微軟正黑體"/>
        <family val="2"/>
        <charset val="136"/>
      </rPr>
      <t>21.00</t>
    </r>
    <r>
      <rPr>
        <b/>
        <sz val="12"/>
        <color theme="1"/>
        <rFont val="微軟正黑體"/>
        <family val="2"/>
        <charset val="136"/>
      </rPr>
      <t xml:space="preserve"> &amp;
</t>
    </r>
    <r>
      <rPr>
        <b/>
        <sz val="13.2"/>
        <color theme="1"/>
        <rFont val="微軟正黑體"/>
        <family val="2"/>
        <charset val="136"/>
      </rPr>
      <t xml:space="preserve"> </t>
    </r>
    <r>
      <rPr>
        <b/>
        <sz val="12"/>
        <color theme="1"/>
        <rFont val="新細明體"/>
        <family val="1"/>
        <charset val="136"/>
      </rPr>
      <t>Ø</t>
    </r>
    <r>
      <rPr>
        <b/>
        <sz val="12"/>
        <color theme="1"/>
        <rFont val="微軟正黑體"/>
        <family val="2"/>
        <charset val="136"/>
      </rPr>
      <t xml:space="preserve">24.00mm同心度NG*76pcs.                                                                                                                                                  </t>
    </r>
    <phoneticPr fontId="1" type="noConversion"/>
  </si>
  <si>
    <r>
      <t xml:space="preserve">IQC進料檢驗時有發現Pitch NG*1  </t>
    </r>
    <r>
      <rPr>
        <b/>
        <sz val="12"/>
        <color theme="1"/>
        <rFont val="新細明體"/>
        <family val="1"/>
        <charset val="136"/>
      </rPr>
      <t>Ø</t>
    </r>
    <r>
      <rPr>
        <b/>
        <sz val="12"/>
        <color theme="1"/>
        <rFont val="微軟正黑體"/>
        <family val="2"/>
        <charset val="136"/>
      </rPr>
      <t>17.00mm GO NG*1 共2pcs</t>
    </r>
    <phoneticPr fontId="1" type="noConversion"/>
  </si>
  <si>
    <r>
      <t>允泰回覆在處理滾齒毛邊製程過程中，使用1000番砂紙手工清除毛邊，會呈現正常品磨痕，
了解外觀不良廠內使用到250番砂清除毛邊，導致平面磨痕過粗。
改善方式：加工製程表單追加使用1000番砂紙清除毛邊</t>
    </r>
    <r>
      <rPr>
        <b/>
        <sz val="12"/>
        <color theme="1"/>
        <rFont val="新細明體"/>
        <family val="1"/>
        <charset val="136"/>
      </rPr>
      <t>。</t>
    </r>
    <r>
      <rPr>
        <b/>
        <sz val="12"/>
        <color theme="1"/>
        <rFont val="微軟正黑體"/>
        <family val="2"/>
        <charset val="136"/>
      </rPr>
      <t xml:space="preserve">
清除毛邊製程中，品管抽驗檢查比例增加     
泛源廠內處理方式:此批特採允收</t>
    </r>
    <phoneticPr fontId="1" type="noConversion"/>
  </si>
  <si>
    <r>
      <t>圖面B項尺寸</t>
    </r>
    <r>
      <rPr>
        <b/>
        <sz val="12"/>
        <color theme="1"/>
        <rFont val="新細明體"/>
        <family val="1"/>
        <charset val="136"/>
      </rPr>
      <t>Ø</t>
    </r>
    <r>
      <rPr>
        <b/>
        <sz val="13.2"/>
        <color theme="1"/>
        <rFont val="微軟正黑體"/>
        <family val="2"/>
        <charset val="136"/>
      </rPr>
      <t>17.0mm+0.02/-0</t>
    </r>
    <r>
      <rPr>
        <b/>
        <sz val="12"/>
        <color theme="1"/>
        <rFont val="微軟正黑體"/>
        <family val="2"/>
        <charset val="136"/>
      </rPr>
      <t>孔徑過大,塞規NOGO NG,不良比例:2/2204pcs(0.09%).</t>
    </r>
    <phoneticPr fontId="1" type="noConversion"/>
  </si>
  <si>
    <r>
      <t>製程中發現1pc,M</t>
    </r>
    <r>
      <rPr>
        <b/>
        <sz val="13.2"/>
        <color theme="1"/>
        <rFont val="微軟正黑體"/>
        <family val="2"/>
        <charset val="136"/>
      </rPr>
      <t>6牙前端牙型不完全,</t>
    </r>
    <r>
      <rPr>
        <b/>
        <sz val="12"/>
        <color theme="1"/>
        <rFont val="微軟正黑體"/>
        <family val="2"/>
        <charset val="136"/>
      </rPr>
      <t>無法鎖附.</t>
    </r>
    <phoneticPr fontId="1" type="noConversion"/>
  </si>
  <si>
    <t>7/7</t>
    <phoneticPr fontId="1" type="noConversion"/>
  </si>
  <si>
    <t>7/3</t>
    <phoneticPr fontId="1" type="noConversion"/>
  </si>
  <si>
    <t>黏結下齒板噴砂後(泛源加工)-送大佳鍍鈦(試2pcs),順便載貨.</t>
    <phoneticPr fontId="1" type="noConversion"/>
  </si>
  <si>
    <t>黏結下齒板試鍍鈦</t>
    <phoneticPr fontId="1" type="noConversion"/>
  </si>
  <si>
    <t>承化</t>
    <phoneticPr fontId="1" type="noConversion"/>
  </si>
  <si>
    <t>201XCZ1</t>
    <phoneticPr fontId="1" type="noConversion"/>
  </si>
  <si>
    <t>黏結推動連桿</t>
    <phoneticPr fontId="1" type="noConversion"/>
  </si>
  <si>
    <t>製程中發現1pc毛胚斷裂,不良比例:1/281pcs(0.36%)</t>
    <phoneticPr fontId="1" type="noConversion"/>
  </si>
  <si>
    <t>93XXAV0</t>
    <phoneticPr fontId="1" type="noConversion"/>
  </si>
  <si>
    <t>按鈕遮蓋片</t>
    <phoneticPr fontId="1" type="noConversion"/>
  </si>
  <si>
    <t>製程中發現1pc鐵片裝反,不良比例:1/50pcs(2%)</t>
    <phoneticPr fontId="1" type="noConversion"/>
  </si>
  <si>
    <t>雅信</t>
    <phoneticPr fontId="1" type="noConversion"/>
  </si>
  <si>
    <t>32XX075</t>
    <phoneticPr fontId="1" type="noConversion"/>
  </si>
  <si>
    <t>製程中發現2pcs焊補點太突出(需平整),不良比例:2/42pcs(4.76%)</t>
    <phoneticPr fontId="1" type="noConversion"/>
  </si>
  <si>
    <t>鴻揚</t>
    <phoneticPr fontId="1" type="noConversion"/>
  </si>
  <si>
    <t>92XXAD0</t>
    <phoneticPr fontId="1" type="noConversion"/>
  </si>
  <si>
    <t>黏結按鈕</t>
    <phoneticPr fontId="1" type="noConversion"/>
  </si>
  <si>
    <t>製程中發現1pc拇指按壓處變形,不良比例:1/500pcs(0.2%)</t>
    <phoneticPr fontId="1" type="noConversion"/>
  </si>
  <si>
    <t>不良品退至K倉(不良品倉),後續會與供應商換貨(已通知廠商改善問題點)</t>
    <phoneticPr fontId="1" type="noConversion"/>
  </si>
  <si>
    <t>7/6</t>
    <phoneticPr fontId="1" type="noConversion"/>
  </si>
  <si>
    <t>拿黏結下齒板試鍍鈦樣品</t>
    <phoneticPr fontId="1" type="noConversion"/>
  </si>
  <si>
    <t>967pcs仁鎂重工,預計7/8出貨,7/6已建議仁鎂是否用小批量(200-300pcs)測試射出機調條件或增加原料方式,7/8前會告知是否接受或其他建議.</t>
    <phoneticPr fontId="1" type="noConversion"/>
  </si>
  <si>
    <t>進料檢驗傘齒輪(大),數量:1500pcs傘齒有碰撞傷的問題,不良比例:1/10pcs(10%),不良品1500pcs已退給供應商進行全檢.預計6月29日進料.6/25VQE抽驗30pcs1pc撞傷,驗退預計7/1至泛源全檢,7/1供應商全檢完成,品保複驗OK.追蹤對策.</t>
    <phoneticPr fontId="1" type="noConversion"/>
  </si>
  <si>
    <t>赫騰/良如</t>
    <phoneticPr fontId="1" type="noConversion"/>
  </si>
  <si>
    <t>會議結論
1.	針對本次生鏽問題，供應商已確認原因並提出製程、包裝、防鏽及檢驗等改善措施，後續將全面導入泛源所有料件，以降低氧化及品質異常風險。
2.	雙方同意建立更完整的品質驗證流程，包含製程改善、新增檢驗流程、出貨前100%目視檢驗、放大鏡外觀檢查及防鏽保存管理，作為後續量產的品質保證。</t>
    <phoneticPr fontId="1" type="noConversion"/>
  </si>
  <si>
    <t>融振</t>
    <phoneticPr fontId="1" type="noConversion"/>
  </si>
  <si>
    <t>製程中發現1pc有壓傷情形,不良比例:1/769pcs(0.13%)</t>
    <phoneticPr fontId="1" type="noConversion"/>
  </si>
  <si>
    <t>不良品退至K倉(不良品倉),後續會與供應商換貨(已通知廠商改善問題點)</t>
  </si>
  <si>
    <t>7/9</t>
    <phoneticPr fontId="1" type="noConversion"/>
  </si>
  <si>
    <t>拿黏結下齒板測試鑫將熱處理是否可改善黑痕.</t>
    <phoneticPr fontId="1" type="noConversion"/>
  </si>
  <si>
    <t>拿黏結下齒板</t>
    <phoneticPr fontId="1" type="noConversion"/>
  </si>
  <si>
    <t>93XX271</t>
    <phoneticPr fontId="1" type="noConversion"/>
  </si>
  <si>
    <t>馬達行星齒輪座心柱</t>
    <phoneticPr fontId="1" type="noConversion"/>
  </si>
  <si>
    <t>6.會議結論：
6.1本次氧化事件確認為人工全檢後未及時完成防鏽流程所造成，廠商承認為製程疏失。
6.2後續所有經人工全檢產品皆須及時確實執行防鏽程序，以避免再次發生氧化。
6.3超過半年庫存產品，出貨前須透過透明包裝進行外觀檢查，如有氧化需立即重工及上油。
6.4 100%目視外觀檢驗後出貨的塑膠外袋上貼綠標,觀察三批,品質穩定後綠標取消, 100%目視外觀檢驗繼續執行.</t>
    <phoneticPr fontId="1" type="noConversion"/>
  </si>
  <si>
    <t>7/14</t>
    <phoneticPr fontId="1" type="noConversion"/>
  </si>
  <si>
    <t>下齒板電鍍測試及送貨</t>
    <phoneticPr fontId="1" type="noConversion"/>
  </si>
  <si>
    <t>鴻揚出貨的不良品中不良比例:3/50pcs,已聯絡吳老闆,6/12日星期五早上到泛源帶回全檢,6/15進貨,不良品比例過高,不良品區分責任歸屬,丁山6/18到泛源討論拿8pcs分別是好的1pc/中間露鐵5pcs/尾部內側漏鐵2pcs,回去分析,預計七月中檢具會完成,檢具圖面完成會先請RD先評估是否需要修正公差,後續丁山廠內庫存先行全檢,7/13丁山告知丁山廠內庫存正在退火,退火後再整型,預計7/17前測試.</t>
    <phoneticPr fontId="1" type="noConversion"/>
  </si>
  <si>
    <t>不良品退至K倉(不良品倉),後續會與供應商換貨(已通知廠商改善問題點),已退回承化分析原因.</t>
    <phoneticPr fontId="1" type="noConversion"/>
  </si>
  <si>
    <t>93XXAV0</t>
  </si>
  <si>
    <t>按鈕遮蓋片</t>
  </si>
  <si>
    <t>92XXAB1</t>
    <phoneticPr fontId="1" type="noConversion"/>
  </si>
  <si>
    <t>黏結切帶壓板座(毛胚)</t>
    <phoneticPr fontId="1" type="noConversion"/>
  </si>
  <si>
    <t>外驗時發現有碰撞傷問題,不良比例:3/32pcs(9.3%).</t>
    <phoneticPr fontId="1" type="noConversion"/>
  </si>
  <si>
    <t>日文全檢後,不良品用拋修方式處理,但未經我司確認拋修後是否符合我司標準,故通知後製程-龍冠協助挑除.</t>
    <phoneticPr fontId="1" type="noConversion"/>
  </si>
  <si>
    <t>與日文研發部蕭經理討論聲明書一事</t>
    <phoneticPr fontId="1" type="noConversion"/>
  </si>
  <si>
    <t>赫騰</t>
    <phoneticPr fontId="1" type="noConversion"/>
  </si>
  <si>
    <t>7/15</t>
    <phoneticPr fontId="1" type="noConversion"/>
  </si>
  <si>
    <t>預計6/26退回威逞重工/全檢,後續再追蹤進料日期,7/14已進料,7/16品保已驗收.</t>
    <phoneticPr fontId="1" type="noConversion"/>
  </si>
  <si>
    <t>預計6/26退回威逞重工/全檢,後續再追蹤進料日期,威逞7/3預計重工完成可出貨.確認鐵質料件保存方式是否抗氧化,保存多少時間需再重新上油.,7/16品保已驗收.
會議結論
1.	針對本次生鏽問題，供應商已確認原因並提出製程、包裝、防鏽及檢驗等改善措施，後續將全面導入泛源所有料件，以降低氧化及品質異常風險。
2.	雙方同意建立更完整的品質驗證流程，包含製程改善、新增檢驗流程、出貨前100%目視檢驗、放大鏡外觀檢查及防鏽保存管理，作為後續量產的品質保證。</t>
    <phoneticPr fontId="1" type="noConversion"/>
  </si>
  <si>
    <t>華賢</t>
    <phoneticPr fontId="1" type="noConversion"/>
  </si>
  <si>
    <t>會議結論：
6.1本次氧化事件確認為人工全檢後未及時完成防鏽流程所造成，廠商承認為製程疏失。
6.2後續所有經人工全檢產品皆須及時確實執行防鏽程序，以避免再次發生氧化。
6.3超過半年庫存產品，出貨前須透過透明包裝進行外觀檢查，如有氧化需立即重工及上油。
6.4 庫存品100%目視外觀檢驗後出貨的外箱上貼藍標.
6.5 貨前100%目視外觀檢驗機制,融振出貨檢驗報告上增加外觀全檢確認項次
6.6 與融振洽談租借場地擺放模具一事</t>
    <phoneticPr fontId="1" type="noConversion"/>
  </si>
  <si>
    <t>94XXAF0</t>
    <phoneticPr fontId="1" type="noConversion"/>
  </si>
  <si>
    <t>製程中發現1pc齒型不良無法組裝,不良比例:1/50pcs(2%)</t>
    <phoneticPr fontId="1" type="noConversion"/>
  </si>
  <si>
    <t>威逞</t>
    <phoneticPr fontId="1" type="noConversion"/>
  </si>
  <si>
    <t>93XXBK0</t>
    <phoneticPr fontId="1" type="noConversion"/>
  </si>
  <si>
    <t>收帶輪</t>
    <phoneticPr fontId="1" type="noConversion"/>
  </si>
  <si>
    <t>製程中發現5pcs組裝後刮帶,不良比例:5/50pcs(10%)</t>
    <phoneticPr fontId="1" type="noConversion"/>
  </si>
  <si>
    <t>不良品退至K倉(不良品倉),後續會與供應商換貨(已通知廠商改善問題點)此問題威逞出貨時已分開包裝請我們測試12pcs中有無問題,組裝後5pcs會刮帶.</t>
    <phoneticPr fontId="1" type="noConversion"/>
  </si>
  <si>
    <t>黏結切帶壓板座(毛胚)</t>
  </si>
  <si>
    <t>92XXAB1</t>
  </si>
  <si>
    <t>日文全檢後,不良品用拋修方式處理,但未經我司確認拋修後是否符合我司標準,故通知後製程-龍冠協助挑除.</t>
  </si>
  <si>
    <t>看琪泰側蓋噴砂後外觀</t>
    <phoneticPr fontId="1" type="noConversion"/>
  </si>
  <si>
    <t>7/17</t>
    <phoneticPr fontId="1" type="noConversion"/>
  </si>
  <si>
    <t>抽檢日文的黏結切帶壓板座(毛胚)拋修情況,看到實物發現沒有照片嚴重,已告知龍冠加工時若看嚴重碰撞傷痕跡,務必挑除.</t>
    <phoneticPr fontId="1" type="noConversion"/>
  </si>
  <si>
    <t>7/20</t>
    <phoneticPr fontId="1" type="noConversion"/>
  </si>
  <si>
    <t>送琪泰的機身側蓋電著,7/21完成</t>
    <phoneticPr fontId="1" type="noConversion"/>
  </si>
  <si>
    <t>銓展</t>
    <phoneticPr fontId="1" type="noConversion"/>
  </si>
  <si>
    <t>93XXDP2</t>
  </si>
  <si>
    <t>93XXDP2</t>
    <phoneticPr fontId="1" type="noConversion"/>
  </si>
  <si>
    <t>切帶刀</t>
  </si>
  <si>
    <t>切帶刀</t>
    <phoneticPr fontId="1" type="noConversion"/>
  </si>
  <si>
    <t>進料檢驗發現齒尖有燒焦及毛邊現象,不良比例:5/10pcs(50%).</t>
    <phoneticPr fontId="1" type="noConversion"/>
  </si>
  <si>
    <t>保得順</t>
  </si>
  <si>
    <t>94XXAF0</t>
  </si>
  <si>
    <t>傘齒輪(大)</t>
  </si>
  <si>
    <t>請廠商分析齒型不良問題</t>
    <phoneticPr fontId="1" type="noConversion"/>
  </si>
  <si>
    <t>承化</t>
    <phoneticPr fontId="1" type="noConversion"/>
  </si>
  <si>
    <t>92XX079</t>
  </si>
  <si>
    <t>92XX079</t>
    <phoneticPr fontId="1" type="noConversion"/>
  </si>
  <si>
    <t>黏結凸輪</t>
  </si>
  <si>
    <t>黏結凸輪</t>
    <phoneticPr fontId="1" type="noConversion"/>
  </si>
  <si>
    <t>7/22</t>
    <phoneticPr fontId="1" type="noConversion"/>
  </si>
  <si>
    <t>7/23</t>
    <phoneticPr fontId="1" type="noConversion"/>
  </si>
  <si>
    <t>7/24</t>
    <phoneticPr fontId="1" type="noConversion"/>
  </si>
  <si>
    <t>進料檢驗時發現項次A-19度+/-0.5,實測超差尺寸:19.946-20.603,不良比例:18/32pcs(56.3%)</t>
    <phoneticPr fontId="1" type="noConversion"/>
  </si>
  <si>
    <t>進料檢驗時發現項次A-19度+/-0.5,實測超差尺寸:19.946-20.603,不良比例:18/32pcs(56.3%),退回承化全檢</t>
    <phoneticPr fontId="1" type="noConversion"/>
  </si>
  <si>
    <t>切帶刀齒尖硬度測試
觀察事項說明：
1.	切帶刀齒尖有焦黑問題:
1.1	因發現齒尖焦黑疑似回火後硬度不足情況,泛源廠內硬度測試機無法對齒尖做硬度測試,故請銓展協助測試.
1.2	與銓展至其外包廠-統順熱處理廠,使用鑲埋方式再以HV硬度測試機測試硬度.
1.3	齒尖測試硬度3點,分別為HRC 63 / 64 / 63,測試結果符合圖面標準(HRC60-65).</t>
    <phoneticPr fontId="1" type="noConversion"/>
  </si>
  <si>
    <t>統順(銓展外包廠)</t>
    <phoneticPr fontId="1" type="noConversion"/>
  </si>
  <si>
    <t>不良品退至K倉(不良品倉),後續會與供應商換貨(已通知廠商改善問題點),7/14亞信已告知凸點修整完成,電鍍後可出貨.7/21已收到貨,品保待驗中.</t>
    <phoneticPr fontId="1" type="noConversion"/>
  </si>
  <si>
    <t>已退回銓展銓檢,7/21完成,硬度測試OK,7/22品保複驗OK.</t>
    <phoneticPr fontId="1" type="noConversion"/>
  </si>
  <si>
    <t>進料檢驗發現齒尖有燒焦及毛邊現象,不良比例:5/10pcs(50%).已退回銓展銓檢,7/21完成硬度測試OK,7/22品保複驗OK.</t>
    <phoneticPr fontId="1" type="noConversion"/>
  </si>
  <si>
    <t>確認電源端子埋射後功能是否正常,經家暘試模包射12pcs測試電池組裝功能OK</t>
    <phoneticPr fontId="1" type="noConversion"/>
  </si>
  <si>
    <t>金湖(化成路)</t>
    <phoneticPr fontId="1" type="noConversion"/>
  </si>
  <si>
    <t>送拉柄試電著及陽極黑</t>
    <phoneticPr fontId="1" type="noConversion"/>
  </si>
  <si>
    <t>B項90ﾟNG,需用整型模重工,1.整型模製作時間需兩週預計6/25星期四完成,2.丁山廠內同批庫存重工時間需一週.3.VQE需會同QC確認重工品90ﾟ及其他尺寸是否合格預計6/30星期二.,7/13丁山已送整型後樣品,IQC確認90度OK,7/17交貨.7/23經家暘試模包射12pcs測試電池組裝功能OK,後續90ﾟ已試整型在公差內,量產首件會再送到公司量測,確認公差在尺寸內後進行量產.</t>
    <phoneticPr fontId="1" type="noConversion"/>
  </si>
  <si>
    <r>
      <t>B項90</t>
    </r>
    <r>
      <rPr>
        <sz val="12"/>
        <color rgb="FFFF0000"/>
        <rFont val="新細明體"/>
        <family val="1"/>
        <charset val="136"/>
      </rPr>
      <t>ﾟNG實測88.103,需用整型模重工,1.整型模製作時間需兩週預計6/25星期四完成,2.丁山廠內同批庫存重工時間需一週.3.VQE需會同QC確認重工品90ﾟ及其他尺寸是否合格預計6/30星期二.</t>
    </r>
    <r>
      <rPr>
        <sz val="12"/>
        <color rgb="FFFF0000"/>
        <rFont val="新細明體"/>
        <family val="1"/>
        <charset val="136"/>
        <scheme val="minor"/>
      </rPr>
      <t>,丁山告知7/4整形模會完成.與品保討論丁山檢具製作.,7/13丁山已送整型後樣品,IQC確認90度OK,7/17交貨.後續3000pcs量產整型後90ﾟ過小NG,會先到家暘測試包射後組裝是否OK.7/23經家暘試模包射12pcs測試電池組裝功能OK,後續90ﾟ已試整型在公差內,量產首件會再送到公司量測,確認公差在尺寸內後進行量產.</t>
    </r>
    <phoneticPr fontId="1" type="noConversion"/>
  </si>
  <si>
    <r>
      <t>B項90</t>
    </r>
    <r>
      <rPr>
        <sz val="12"/>
        <color rgb="FFFF0000"/>
        <rFont val="新細明體"/>
        <family val="1"/>
        <charset val="136"/>
      </rPr>
      <t>ﾟNG實測88.103,需用整型模重工,1.整型模製作時間需兩週預計6/25星期四完成,2.丁山廠內同批庫存重工時間需一週.3.VQE需會同QC確認重工品90ﾟ及其他尺寸是否合格預計6/30星期二,,丁山告知7/4整形模會完成.</t>
    </r>
    <r>
      <rPr>
        <sz val="12"/>
        <color rgb="FFFF0000"/>
        <rFont val="新細明體"/>
        <family val="1"/>
        <charset val="136"/>
        <scheme val="minor"/>
      </rPr>
      <t>與品保討論丁山檢具製作.,7/13丁山已送整型後樣品,IQC確認90度OK,7/17交貨.後續3000pcs量產整型後90ﾟ過小NG,會先到家暘測試包射後組裝是否OK.7/23經家暘試模包射12pcs測試電池組裝功能OK,後續90ﾟ已試整型在公差內,量產首件會再送到公司量測,確認公差在尺寸內後進行量產.</t>
    </r>
    <phoneticPr fontId="1" type="noConversion"/>
  </si>
  <si>
    <t>基準</t>
    <phoneticPr fontId="1" type="noConversion"/>
  </si>
  <si>
    <t>92XXDP0</t>
    <phoneticPr fontId="1" type="noConversion"/>
  </si>
  <si>
    <t>切帶刀</t>
    <phoneticPr fontId="1" type="noConversion"/>
  </si>
  <si>
    <t>目前基準還有庫存:2762pcs,後續使用板材後可減少此問題</t>
    <phoneticPr fontId="1" type="noConversion"/>
  </si>
  <si>
    <t>鈦鼎
(仁鎂)</t>
    <phoneticPr fontId="1" type="noConversion"/>
  </si>
  <si>
    <t>93XXAA2</t>
    <phoneticPr fontId="1" type="noConversion"/>
  </si>
  <si>
    <t>機體</t>
    <phoneticPr fontId="1" type="noConversion"/>
  </si>
  <si>
    <t>製程中發現1pc齒損,不良比例:1/44pcs(2.27%)</t>
    <phoneticPr fontId="1" type="noConversion"/>
  </si>
  <si>
    <t>製程中發現1pc撞傷,不良比例:1/629pcs(0.16%)</t>
    <phoneticPr fontId="1" type="noConversion"/>
  </si>
  <si>
    <t>泛源
鑫將
泰銓</t>
    <phoneticPr fontId="1" type="noConversion"/>
  </si>
  <si>
    <t>製程中發現1pc因齒尖損傷造成束緊刮帶,不良比例:1/44pcs(2.27%)</t>
    <phoneticPr fontId="1" type="noConversion"/>
  </si>
  <si>
    <t>承化</t>
    <phoneticPr fontId="1" type="noConversion"/>
  </si>
  <si>
    <t>92XX098</t>
    <phoneticPr fontId="1" type="noConversion"/>
  </si>
  <si>
    <t>進料檢驗時發現
1.項次L-垂直度0.1mm,實測尺寸:0.147-0.472mm,不良比例:3/3pcs(100%)
2.項次E'-4.20mm塞規NOGO NG,不良比例:18/150pcs(12%)</t>
    <phoneticPr fontId="1" type="noConversion"/>
  </si>
  <si>
    <t>1.垂直度按照舊圖量測垂直度位置由外部平面,圖面由RD修改.
2.4.20mm塞規NOGO NG,實配92XX046收帶軸彈簧OK,品保判定允收.</t>
    <phoneticPr fontId="1" type="noConversion"/>
  </si>
  <si>
    <t>琪泰</t>
    <phoneticPr fontId="1" type="noConversion"/>
  </si>
  <si>
    <t>92XX056</t>
    <phoneticPr fontId="1" type="noConversion"/>
  </si>
  <si>
    <t>置帶拉柄</t>
    <phoneticPr fontId="1" type="noConversion"/>
  </si>
  <si>
    <t>製程中發現1pc外觀不良,不良比例:1/360pcs(0.28%)</t>
    <phoneticPr fontId="1" type="noConversion"/>
  </si>
  <si>
    <t>雅信</t>
    <phoneticPr fontId="1" type="noConversion"/>
  </si>
  <si>
    <t>93XXGF2</t>
    <phoneticPr fontId="1" type="noConversion"/>
  </si>
  <si>
    <t>收帶搖臂</t>
    <phoneticPr fontId="1" type="noConversion"/>
  </si>
  <si>
    <t>不良品退至K倉(不良品倉),後續會與供應商換貨</t>
    <phoneticPr fontId="1" type="noConversion"/>
  </si>
  <si>
    <t>大樁</t>
    <phoneticPr fontId="1" type="noConversion"/>
  </si>
  <si>
    <t>32XX057</t>
    <phoneticPr fontId="1" type="noConversion"/>
  </si>
  <si>
    <t>內箱</t>
    <phoneticPr fontId="1" type="noConversion"/>
  </si>
  <si>
    <t>V</t>
    <phoneticPr fontId="1" type="noConversion"/>
  </si>
  <si>
    <t>進料檢驗時發現沒有磅數聲明書</t>
    <phoneticPr fontId="1" type="noConversion"/>
  </si>
  <si>
    <t>製程中發現2pcs,因無法導電導致無法線割,不良比例:2/1222pcs(0.16%)</t>
    <phoneticPr fontId="1" type="noConversion"/>
  </si>
  <si>
    <t>不良品退至K倉(不良品倉),後續會與供應商換貨(已通知廠商改善問題點),7/13已寄鐵片給雙和修模.7/24已確認雙和模具有防呆裝置,故排除模具問題.</t>
    <phoneticPr fontId="1" type="noConversion"/>
  </si>
  <si>
    <t>討論模具防呆後效果確認,7/24已確認雙和模具有防呆裝置,故排除模具問題.</t>
    <phoneticPr fontId="1" type="noConversion"/>
  </si>
  <si>
    <t>7/30</t>
    <phoneticPr fontId="1" type="noConversion"/>
  </si>
  <si>
    <t>7/31</t>
    <phoneticPr fontId="1" type="noConversion"/>
  </si>
  <si>
    <t>笠晟</t>
    <phoneticPr fontId="1" type="noConversion"/>
  </si>
  <si>
    <t>塑膠射出新訪廠</t>
    <phoneticPr fontId="1" type="noConversion"/>
  </si>
  <si>
    <t>冠丞</t>
    <phoneticPr fontId="1" type="noConversion"/>
  </si>
  <si>
    <t>傳勳</t>
    <phoneticPr fontId="1" type="noConversion"/>
  </si>
  <si>
    <t>製程中發現1pc鐵片裝反,不良比例:1/50pcs(2%),不良品退至K倉(不良品倉),後續會與供應商換貨(已通知廠商改善問題點),7/13已寄鐵片給雙和修模.7/24已確認雙和模具有防呆裝置,故排除模具問題.</t>
    <phoneticPr fontId="1" type="noConversion"/>
  </si>
  <si>
    <t>王派</t>
    <phoneticPr fontId="1" type="noConversion"/>
  </si>
  <si>
    <t>93XXAB1</t>
    <phoneticPr fontId="1" type="noConversion"/>
  </si>
  <si>
    <t>馬達固定牆</t>
    <phoneticPr fontId="1" type="noConversion"/>
  </si>
  <si>
    <r>
      <t>製程中發現</t>
    </r>
    <r>
      <rPr>
        <b/>
        <sz val="12"/>
        <color rgb="FFFF0000"/>
        <rFont val="新細明體"/>
        <family val="1"/>
        <charset val="136"/>
      </rPr>
      <t>Ø</t>
    </r>
    <r>
      <rPr>
        <b/>
        <sz val="12"/>
        <color rgb="FFFF0000"/>
        <rFont val="微軟正黑體"/>
        <family val="2"/>
        <charset val="136"/>
      </rPr>
      <t>21.00NOGO NG*7pcs,砂孔*1pc,</t>
    </r>
    <r>
      <rPr>
        <b/>
        <sz val="12"/>
        <color rgb="FFFF0000"/>
        <rFont val="新細明體"/>
        <family val="1"/>
        <charset val="136"/>
      </rPr>
      <t>Ø</t>
    </r>
    <r>
      <rPr>
        <b/>
        <sz val="12"/>
        <color rgb="FFFF0000"/>
        <rFont val="微軟正黑體"/>
        <family val="2"/>
        <charset val="136"/>
      </rPr>
      <t>48.00平面未加工*1pc,不良比例:9/360pcs(2.50%)</t>
    </r>
    <phoneticPr fontId="1" type="noConversion"/>
  </si>
  <si>
    <t>雅信</t>
    <phoneticPr fontId="1" type="noConversion"/>
  </si>
  <si>
    <t>93XXGF2</t>
    <phoneticPr fontId="1" type="noConversion"/>
  </si>
  <si>
    <t>收帶搖臂</t>
    <phoneticPr fontId="1" type="noConversion"/>
  </si>
  <si>
    <t>7/31日已請大樁交聲明書(含磅數),8/4MRB會議決議先蒐集數據後訂立重量標準.</t>
    <phoneticPr fontId="1" type="noConversion"/>
  </si>
  <si>
    <t>8/4</t>
    <phoneticPr fontId="1" type="noConversion"/>
  </si>
  <si>
    <t>8/5</t>
    <phoneticPr fontId="1" type="noConversion"/>
  </si>
  <si>
    <t>8/6</t>
    <phoneticPr fontId="1" type="noConversion"/>
  </si>
  <si>
    <t>討論壓板座Ø17檢驗手法及拿供應商Ø17GO NOGO檢具給品保複驗尺寸</t>
    <phoneticPr fontId="1" type="noConversion"/>
  </si>
  <si>
    <t>複驗壓板座Ø17尺寸及載回壓板座,把複驗合格的Ø17GO NOGO檢具</t>
    <phoneticPr fontId="1" type="noConversion"/>
  </si>
  <si>
    <t>收帶輪</t>
    <phoneticPr fontId="1" type="noConversion"/>
  </si>
  <si>
    <t>製程中發現1pc因齒尖損傷造成束緊刮帶,不良比例:2/50pcs(4%)</t>
    <phoneticPr fontId="1" type="noConversion"/>
  </si>
  <si>
    <t>無</t>
  </si>
  <si>
    <t>倉租</t>
  </si>
  <si>
    <t>倉租</t>
    <phoneticPr fontId="1" type="noConversion"/>
  </si>
  <si>
    <t>樹林柑園路/西圳街</t>
    <phoneticPr fontId="1" type="noConversion"/>
  </si>
  <si>
    <t>華賢/政邦</t>
    <phoneticPr fontId="1" type="noConversion"/>
  </si>
  <si>
    <t>新店寶高路13號</t>
    <phoneticPr fontId="1" type="noConversion"/>
  </si>
  <si>
    <t>8/7</t>
    <phoneticPr fontId="1" type="noConversion"/>
  </si>
  <si>
    <t>看收帶輪熱處理製成擺放方式及送貨</t>
    <phoneticPr fontId="1" type="noConversion"/>
  </si>
  <si>
    <t>8/11</t>
    <phoneticPr fontId="1" type="noConversion"/>
  </si>
  <si>
    <t>黏結按鈕模具修改後試模</t>
    <phoneticPr fontId="1" type="noConversion"/>
  </si>
  <si>
    <t>銓展</t>
    <phoneticPr fontId="1" type="noConversion"/>
  </si>
  <si>
    <t>93XXDP2</t>
    <phoneticPr fontId="1" type="noConversion"/>
  </si>
  <si>
    <t>切帶刀</t>
    <phoneticPr fontId="1" type="noConversion"/>
  </si>
  <si>
    <t>進料檢驗時發現氧化現象,不良比例:5/10pcs(50%)</t>
    <phoneticPr fontId="1" type="noConversion"/>
  </si>
  <si>
    <t>已退回銓展重工,預計8/14日前完成</t>
    <phoneticPr fontId="1" type="noConversion"/>
  </si>
  <si>
    <t>製程中發現Ø5.00 NOGO NG*1pc,砂氣孔*9psc,不良比例:10/360pcs(2.50%)</t>
    <phoneticPr fontId="1" type="noConversion"/>
  </si>
  <si>
    <t>已退回雅信完成重工,Ø5.00 NOGO NG*1pc無法救回,已報廢扣款.</t>
    <phoneticPr fontId="1" type="noConversion"/>
  </si>
  <si>
    <t>已退回銓展重工</t>
    <phoneticPr fontId="1" type="noConversion"/>
  </si>
  <si>
    <t>8/11</t>
  </si>
  <si>
    <t>清點移交模具</t>
    <phoneticPr fontId="1" type="noConversion"/>
  </si>
  <si>
    <t>阿凱</t>
    <phoneticPr fontId="1" type="noConversion"/>
  </si>
  <si>
    <t>8/12</t>
    <phoneticPr fontId="1" type="noConversion"/>
  </si>
  <si>
    <t>8/13</t>
    <phoneticPr fontId="1" type="noConversion"/>
  </si>
  <si>
    <t>豐鍵</t>
    <phoneticPr fontId="1" type="noConversion"/>
  </si>
  <si>
    <t>拜訪內徑研磨新廠商</t>
    <phoneticPr fontId="1" type="noConversion"/>
  </si>
  <si>
    <t>溢升</t>
    <phoneticPr fontId="1" type="noConversion"/>
  </si>
  <si>
    <t>文仲/阿凱</t>
    <phoneticPr fontId="1" type="noConversion"/>
  </si>
  <si>
    <t>統順</t>
    <phoneticPr fontId="1" type="noConversion"/>
  </si>
  <si>
    <t>拜訪熱處理新廠商</t>
    <phoneticPr fontId="1" type="noConversion"/>
  </si>
  <si>
    <t>93XXBK0</t>
  </si>
  <si>
    <t>1.鑫將收帶輪熱處理治具報價 2.4組不用的熱處理治具收回 3.去看收帶輪熱處理時的製程</t>
    <phoneticPr fontId="1" type="noConversion"/>
  </si>
  <si>
    <t>8/13</t>
  </si>
  <si>
    <t>中壢倉庫</t>
    <phoneticPr fontId="1" type="noConversion"/>
  </si>
  <si>
    <t>協助倉庫</t>
    <phoneticPr fontId="1" type="noConversion"/>
  </si>
  <si>
    <t>收帶輪</t>
  </si>
  <si>
    <t>鑫將</t>
    <phoneticPr fontId="1" type="noConversion"/>
  </si>
  <si>
    <t>製程中發現3pcs因齒尖損傷造成束緊刮帶,不良比例:3/50pcs(6%)</t>
    <phoneticPr fontId="1" type="noConversion"/>
  </si>
  <si>
    <t>不良品退至K倉(不良品倉),後續會與供應商換貨</t>
  </si>
  <si>
    <t>不良品退至K倉(不良品倉),後續會與供應商換貨</t>
    <phoneticPr fontId="1" type="noConversion"/>
  </si>
  <si>
    <t>丁山</t>
    <phoneticPr fontId="1" type="noConversion"/>
  </si>
  <si>
    <t>32XX059</t>
    <phoneticPr fontId="1" type="noConversion"/>
  </si>
  <si>
    <t>行星齒輪墊片</t>
    <phoneticPr fontId="1" type="noConversion"/>
  </si>
  <si>
    <t>製程中發現1pc外觀明顯凹陷,不良比例:1/20pcs(5%)</t>
    <phoneticPr fontId="1" type="noConversion"/>
  </si>
  <si>
    <t>鴻揚</t>
    <phoneticPr fontId="1" type="noConversion"/>
  </si>
  <si>
    <t>92XXHD0</t>
    <phoneticPr fontId="1" type="noConversion"/>
  </si>
  <si>
    <t>黏結按鈕組</t>
    <phoneticPr fontId="1" type="noConversion"/>
  </si>
  <si>
    <t>製程中發現2pcs外觀明顯有異色點,不良比例:2/20pcs(10%)</t>
    <phoneticPr fontId="1" type="noConversion"/>
  </si>
  <si>
    <t>宥星</t>
    <phoneticPr fontId="1" type="noConversion"/>
  </si>
  <si>
    <t>L93XXAR0</t>
    <phoneticPr fontId="1" type="noConversion"/>
  </si>
  <si>
    <t>右殼</t>
    <phoneticPr fontId="1" type="noConversion"/>
  </si>
  <si>
    <t>製程中發現11pcs外觀有泛黃問題,不良比例:11/50pcs(22%)</t>
    <phoneticPr fontId="1" type="noConversion"/>
  </si>
  <si>
    <t>不良品退至保留倉,暫時先保留.</t>
    <phoneticPr fontId="1" type="noConversion"/>
  </si>
  <si>
    <t>煜鴻</t>
    <phoneticPr fontId="1" type="noConversion"/>
  </si>
  <si>
    <t>93XXDS0</t>
    <phoneticPr fontId="1" type="noConversion"/>
  </si>
  <si>
    <t>馬達減速齒輪座</t>
    <phoneticPr fontId="1" type="noConversion"/>
  </si>
  <si>
    <t>製程中發現5pcs檢具放不下去,不良比例:5/666pcs(0.75%)</t>
    <phoneticPr fontId="1" type="noConversion"/>
  </si>
  <si>
    <t>可重工,退回煜鴻重工</t>
    <phoneticPr fontId="1" type="noConversion"/>
  </si>
  <si>
    <t>中壢倉庫</t>
  </si>
  <si>
    <t>協助倉庫</t>
  </si>
  <si>
    <t>政邦/弟弟</t>
  </si>
  <si>
    <t>政邦/弟弟</t>
    <phoneticPr fontId="1" type="noConversion"/>
  </si>
  <si>
    <t>南港</t>
    <phoneticPr fontId="1" type="noConversion"/>
  </si>
  <si>
    <t>看展(2026年台北國際自動化工業大展)</t>
    <phoneticPr fontId="1" type="noConversion"/>
  </si>
  <si>
    <t>電池組</t>
    <phoneticPr fontId="1" type="noConversion"/>
  </si>
  <si>
    <t>王派</t>
    <phoneticPr fontId="1" type="noConversion"/>
  </si>
  <si>
    <t>32XXCD2</t>
    <phoneticPr fontId="1" type="noConversion"/>
  </si>
  <si>
    <t>左機體</t>
    <phoneticPr fontId="1" type="noConversion"/>
  </si>
  <si>
    <t>進料檢驗時發現M10牙NG,不良比例:1/10pcs(10%)</t>
    <phoneticPr fontId="1" type="noConversion"/>
  </si>
  <si>
    <t>已退回王派全檢重工,預計8/24日完成.</t>
    <phoneticPr fontId="1" type="noConversion"/>
  </si>
  <si>
    <t>仁鎂</t>
    <phoneticPr fontId="1" type="noConversion"/>
  </si>
  <si>
    <t>92XXWW0</t>
    <phoneticPr fontId="1" type="noConversion"/>
  </si>
  <si>
    <t>側蓋組</t>
    <phoneticPr fontId="1" type="noConversion"/>
  </si>
  <si>
    <t>製程中發現1pc外觀不良,不良比例:1/50pcs(2%)</t>
    <phoneticPr fontId="1" type="noConversion"/>
  </si>
  <si>
    <t>基準</t>
    <phoneticPr fontId="1" type="noConversion"/>
  </si>
  <si>
    <t>92XXDP5</t>
    <phoneticPr fontId="1" type="noConversion"/>
  </si>
  <si>
    <t>切帶刀</t>
    <phoneticPr fontId="1" type="noConversion"/>
  </si>
  <si>
    <t>製程中發現2pcs齒尖有砂孔,不良比例:2/900pcs(0.22%)</t>
    <phoneticPr fontId="1" type="noConversion"/>
  </si>
  <si>
    <t>博音</t>
    <phoneticPr fontId="1" type="noConversion"/>
  </si>
  <si>
    <t>32XXAI0</t>
    <phoneticPr fontId="1" type="noConversion"/>
  </si>
  <si>
    <t>退帶按鈕線組</t>
    <phoneticPr fontId="1" type="noConversion"/>
  </si>
  <si>
    <t>製程中發現1pc接觸不良,不良比例:1/20pcs(5%)</t>
    <phoneticPr fontId="1" type="noConversion"/>
  </si>
  <si>
    <t>2026年01~12月進料異常敘述</t>
    <phoneticPr fontId="1" type="noConversion"/>
  </si>
  <si>
    <t>2026年度8月資材週報-VQE</t>
    <phoneticPr fontId="1" type="noConversion"/>
  </si>
  <si>
    <t>統計時間:2026年度8月</t>
    <phoneticPr fontId="1" type="noConversion"/>
  </si>
  <si>
    <t>宏磊</t>
    <phoneticPr fontId="1" type="noConversion"/>
  </si>
  <si>
    <t>製程中發現8pcs有裂痕,全檢庫存180pcs中有9pcs裂痕,不良比例:0pcs(0%)</t>
    <phoneticPr fontId="1" type="noConversion"/>
  </si>
  <si>
    <t>不良品退至K倉(不良品倉),後續會與供應商換貨(已通知廠商改善問題點),7/13已寄鐵片給雙和修模.7/24已確認雙和模具有防呆裝置,故排除模具問題.</t>
  </si>
  <si>
    <t>製程中發現1pc鐵片裝反,不良比例:1/50pcs(2%)</t>
  </si>
  <si>
    <t>製程中發現1pc齒型不良無法組裝,不良比例:1/50pcs(2%)</t>
  </si>
  <si>
    <t>製程中發現5pcs組裝後刮帶,不良比例:5/50pcs(10%)</t>
  </si>
  <si>
    <t>不良品退至K倉(不良品倉),後續會與供應商換貨(已通知廠商改善問題點)此問題威逞出貨時已分開包裝請我們測試12pcs中有無問題,組裝後5pcs會刮帶.</t>
  </si>
  <si>
    <t>93XXGF2</t>
  </si>
  <si>
    <t>收帶搖臂</t>
  </si>
  <si>
    <t>製程中發現Ø5.00 NOGO NG*1pc,砂氣孔*9psc,不良比例:10/360pcs(2.50%)</t>
  </si>
  <si>
    <t>已退回雅信完成重工,Ø5.00 NOGO NG*1pc無法救回,已報廢扣款.</t>
  </si>
  <si>
    <t>不良品退至K倉(不良品倉),後續會與供應商換貨,下週(8/3-8/7)有135pcs送鑫將熱處理,已告知鑫將通知VQE到現場複查熱處理前後擺放方式,發現超出數量會用其他治具,會有碰撞風險,已增加製作15組,修正此問題.</t>
    <phoneticPr fontId="1" type="noConversion"/>
  </si>
  <si>
    <t>阿凱/文謙/赫騰/阿邦</t>
    <phoneticPr fontId="1" type="noConversion"/>
  </si>
  <si>
    <t>清點模具數量及回簽模具合約書</t>
    <phoneticPr fontId="1" type="noConversion"/>
  </si>
  <si>
    <t>18XXZA0</t>
    <phoneticPr fontId="1" type="noConversion"/>
  </si>
  <si>
    <t>退回承化全檢,8/21黏結凸輪數量:6627pcs,品保協助全檢完成,良品:2844pcs,不良比例:2844/6627pcs,(42.9%).</t>
    <phoneticPr fontId="1" type="noConversion"/>
  </si>
  <si>
    <t>不良品退至K倉(不良品倉),後續會與供應商換貨,供應商於8/25到廠開會,會議決定螺絲鎖附不可一次鎖到底,需先鎖1/2或2/3再一次鎖緊.</t>
    <phoneticPr fontId="1" type="noConversion"/>
  </si>
  <si>
    <t>銓展</t>
    <phoneticPr fontId="1" type="noConversion"/>
  </si>
  <si>
    <t>93XXDP1</t>
    <phoneticPr fontId="1" type="noConversion"/>
  </si>
  <si>
    <t>切帶刀</t>
    <phoneticPr fontId="1" type="noConversion"/>
  </si>
  <si>
    <t>進料檢驗時發現未加工識別記號及有嚴重毛邊,不良比例:1/10pcs(10%)</t>
    <phoneticPr fontId="1" type="noConversion"/>
  </si>
  <si>
    <t>已退回銓展全檢重工,預計8/31日完成.</t>
    <phoneticPr fontId="1" type="noConversion"/>
  </si>
  <si>
    <t>93XXWC0</t>
  </si>
  <si>
    <t>黏結偏心軸組</t>
  </si>
  <si>
    <t>承化</t>
    <phoneticPr fontId="1" type="noConversion"/>
  </si>
  <si>
    <t>92XX048</t>
    <phoneticPr fontId="1" type="noConversion"/>
  </si>
  <si>
    <t>齒板左護腳</t>
    <phoneticPr fontId="1" type="noConversion"/>
  </si>
  <si>
    <t>V</t>
    <phoneticPr fontId="1" type="noConversion"/>
  </si>
  <si>
    <t>進料檢驗時發現有硬度不足的問題,標準值:HRC35-45,硬度不足之實測值:HRC25.3-28.3,不良比例:3/10pcs,(30%),</t>
    <phoneticPr fontId="1" type="noConversion"/>
  </si>
  <si>
    <t>融振</t>
    <phoneticPr fontId="1" type="noConversion"/>
  </si>
  <si>
    <t>93XXDS2</t>
    <phoneticPr fontId="1" type="noConversion"/>
  </si>
  <si>
    <t>馬達減速齒輪座組</t>
    <phoneticPr fontId="1" type="noConversion"/>
  </si>
  <si>
    <t>製程中發現1pc無法組裝,尺寸Ø7.0-0.005/-0.020,實際量測7.13,不良比例:1/500pcs(0.20%)</t>
    <phoneticPr fontId="1" type="noConversion"/>
  </si>
  <si>
    <t>製程中發現74pcs,Ø20.00-0.0.02/-0.0.03mm尺寸過大實際量測19.967-20.007成錐度狀</t>
    <phoneticPr fontId="1" type="noConversion"/>
  </si>
  <si>
    <t>已退回融振重新處理,精品寶協助量測發現93XX271外徑過大,已通知融振先暫停生產,檢查廠內料件是否有相同問題</t>
    <phoneticPr fontId="1" type="noConversion"/>
  </si>
  <si>
    <t>王派</t>
    <phoneticPr fontId="1" type="noConversion"/>
  </si>
  <si>
    <t>93XXAB1</t>
    <phoneticPr fontId="1" type="noConversion"/>
  </si>
  <si>
    <t>馬達固定牆</t>
    <phoneticPr fontId="1" type="noConversion"/>
  </si>
  <si>
    <t>製程中發現Ø8 mm NOGO NG*1pc/Ø21 mm NOGO NG*1pc/漏加工*1pc不良比例:3/191pcs(1.57%)</t>
    <phoneticPr fontId="1" type="noConversion"/>
  </si>
  <si>
    <t>不良品退至K倉(不良品倉),後續會與供應商換貨</t>
    <phoneticPr fontId="1" type="noConversion"/>
  </si>
  <si>
    <t>已退回承化全檢(外觀可辨識).</t>
    <phoneticPr fontId="1" type="noConversion"/>
  </si>
  <si>
    <t>馬達固定牆組</t>
    <phoneticPr fontId="1" type="noConversion"/>
  </si>
  <si>
    <t>製程中發現漏加工*1pc不良比例:1/47pcs(2.13%)</t>
    <phoneticPr fontId="1" type="noConversion"/>
  </si>
  <si>
    <t>93XXDP2</t>
    <phoneticPr fontId="1" type="noConversion"/>
  </si>
  <si>
    <t>進料檢驗時發現橢圓孔上方平面有氧化現象,不良比例:5/10pcs(50%)</t>
    <phoneticPr fontId="1" type="noConversion"/>
  </si>
  <si>
    <t>已退回銓展全檢重工,預計8/31日完成.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</si>
</sst>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m&quot;月&quot;d&quot;日&quot;"/>
  </numFmts>
  <fonts count="4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b/>
      <sz val="12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1"/>
      <name val="微軟正黑體"/>
      <family val="2"/>
      <charset val="136"/>
    </font>
    <font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0"/>
      <name val="Arial"/>
      <family val="2"/>
    </font>
    <font>
      <b/>
      <sz val="12"/>
      <color rgb="FF0000FF"/>
      <name val="微軟正黑體"/>
      <family val="2"/>
      <charset val="136"/>
    </font>
    <font>
      <sz val="14"/>
      <color rgb="FF0000FF"/>
      <name val="華康正顏楷體W5"/>
      <family val="4"/>
      <charset val="136"/>
    </font>
    <font>
      <b/>
      <sz val="12"/>
      <color theme="1"/>
      <name val="微軟正黑體"/>
      <family val="2"/>
      <charset val="136"/>
    </font>
    <font>
      <sz val="10"/>
      <name val="Arial"/>
      <family val="2"/>
    </font>
    <font>
      <b/>
      <sz val="11"/>
      <color theme="1"/>
      <name val="微軟正黑體"/>
      <family val="2"/>
      <charset val="136"/>
    </font>
    <font>
      <b/>
      <sz val="11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sz val="18"/>
      <color theme="1"/>
      <name val="華康正顏楷體W5"/>
      <family val="4"/>
      <charset val="136"/>
    </font>
    <font>
      <b/>
      <sz val="14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b/>
      <sz val="12"/>
      <color theme="0" tint="-0.249977111117893"/>
      <name val="微軟正黑體"/>
      <family val="2"/>
      <charset val="136"/>
    </font>
    <font>
      <b/>
      <sz val="12"/>
      <color theme="0" tint="-0.249977111117893"/>
      <name val="新細明體"/>
      <family val="1"/>
      <charset val="136"/>
    </font>
    <font>
      <b/>
      <sz val="12"/>
      <color theme="0" tint="-0.14999847407452621"/>
      <name val="微軟正黑體"/>
      <family val="2"/>
      <charset val="136"/>
    </font>
    <font>
      <b/>
      <sz val="12"/>
      <color rgb="FFFF0000"/>
      <name val="新細明體"/>
      <family val="1"/>
      <charset val="136"/>
    </font>
    <font>
      <b/>
      <sz val="13.2"/>
      <color rgb="FFFF0000"/>
      <name val="微軟正黑體"/>
      <family val="2"/>
      <charset val="136"/>
    </font>
    <font>
      <b/>
      <sz val="12"/>
      <color theme="1"/>
      <name val="Microsoft JhengHei UI"/>
      <family val="2"/>
      <charset val="136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</font>
    <font>
      <b/>
      <sz val="14.5"/>
      <color rgb="FFFF0000"/>
      <name val="新細明體"/>
      <family val="1"/>
      <charset val="136"/>
    </font>
    <font>
      <b/>
      <sz val="15.95"/>
      <color rgb="FFFF0000"/>
      <name val="微軟正黑體"/>
      <family val="2"/>
      <charset val="136"/>
    </font>
    <font>
      <sz val="12"/>
      <name val="微軟正黑體"/>
      <family val="2"/>
      <charset val="136"/>
    </font>
    <font>
      <sz val="12"/>
      <name val="新細明體"/>
      <family val="1"/>
      <charset val="136"/>
      <scheme val="minor"/>
    </font>
    <font>
      <sz val="12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2"/>
      <color theme="0" tint="-0.14999847407452621"/>
      <name val="新細明體"/>
      <family val="1"/>
      <charset val="136"/>
    </font>
    <font>
      <b/>
      <sz val="13.2"/>
      <color theme="0" tint="-0.14999847407452621"/>
      <name val="微軟正黑體"/>
      <family val="2"/>
      <charset val="136"/>
    </font>
    <font>
      <b/>
      <sz val="13.2"/>
      <color theme="1"/>
      <name val="微軟正黑體"/>
      <family val="2"/>
      <charset val="136"/>
    </font>
    <font>
      <b/>
      <sz val="12"/>
      <color theme="1"/>
      <name val="Microsoft JhengHe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03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  <xf numFmtId="0" fontId="2" fillId="0" borderId="0"/>
    <xf numFmtId="0" fontId="4" fillId="0" borderId="0">
      <alignment vertical="center"/>
    </xf>
    <xf numFmtId="0" fontId="2" fillId="0" borderId="0"/>
    <xf numFmtId="0" fontId="9" fillId="0" borderId="0">
      <alignment vertical="center"/>
    </xf>
    <xf numFmtId="0" fontId="4" fillId="0" borderId="0">
      <alignment vertical="center"/>
    </xf>
    <xf numFmtId="0" fontId="2" fillId="0" borderId="0"/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9" fontId="4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54">
    <xf numFmtId="0" fontId="0" fillId="0" borderId="0" xfId="0">
      <alignment vertical="center"/>
    </xf>
    <xf numFmtId="0" fontId="4" fillId="0" borderId="0" xfId="26">
      <alignment vertical="center"/>
    </xf>
    <xf numFmtId="0" fontId="7" fillId="0" borderId="1" xfId="26" applyFont="1" applyBorder="1" applyAlignment="1">
      <alignment horizontal="center" vertical="center" wrapText="1"/>
    </xf>
    <xf numFmtId="0" fontId="8" fillId="0" borderId="1" xfId="26" applyFont="1" applyBorder="1" applyAlignment="1">
      <alignment horizontal="left" vertical="center" wrapText="1"/>
    </xf>
    <xf numFmtId="176" fontId="3" fillId="0" borderId="1" xfId="26" applyNumberFormat="1" applyFont="1" applyBorder="1" applyAlignment="1">
      <alignment horizontal="center" vertical="center" wrapText="1"/>
    </xf>
    <xf numFmtId="0" fontId="5" fillId="0" borderId="1" xfId="37" applyFont="1" applyBorder="1" applyAlignment="1">
      <alignment horizontal="left" vertical="center"/>
    </xf>
    <xf numFmtId="0" fontId="11" fillId="0" borderId="0" xfId="26" applyFont="1">
      <alignment vertical="center"/>
    </xf>
    <xf numFmtId="176" fontId="11" fillId="0" borderId="0" xfId="26" applyNumberFormat="1" applyFont="1" applyAlignment="1">
      <alignment horizontal="center" vertical="center"/>
    </xf>
    <xf numFmtId="0" fontId="11" fillId="0" borderId="0" xfId="26" applyFont="1" applyAlignment="1">
      <alignment horizontal="center" vertical="center"/>
    </xf>
    <xf numFmtId="0" fontId="12" fillId="0" borderId="0" xfId="26" applyFont="1">
      <alignment vertical="center"/>
    </xf>
    <xf numFmtId="0" fontId="12" fillId="0" borderId="0" xfId="26" applyFont="1" applyAlignment="1">
      <alignment horizontal="center" vertical="center"/>
    </xf>
    <xf numFmtId="0" fontId="5" fillId="0" borderId="1" xfId="67" applyFont="1" applyBorder="1" applyAlignment="1">
      <alignment horizontal="center" vertical="center"/>
    </xf>
    <xf numFmtId="177" fontId="11" fillId="0" borderId="0" xfId="26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0" fontId="4" fillId="0" borderId="0" xfId="97" applyNumberFormat="1">
      <alignment vertical="center"/>
    </xf>
    <xf numFmtId="0" fontId="5" fillId="0" borderId="1" xfId="98" applyFont="1" applyBorder="1" applyAlignment="1">
      <alignment horizontal="left" vertical="center"/>
    </xf>
    <xf numFmtId="0" fontId="5" fillId="0" borderId="1" xfId="99" applyFont="1" applyBorder="1" applyAlignment="1">
      <alignment horizontal="left" vertical="center"/>
    </xf>
    <xf numFmtId="0" fontId="5" fillId="0" borderId="1" xfId="100" applyFont="1" applyBorder="1" applyAlignment="1">
      <alignment horizontal="left" vertical="center"/>
    </xf>
    <xf numFmtId="0" fontId="5" fillId="0" borderId="1" xfId="102" applyFont="1" applyBorder="1" applyAlignment="1">
      <alignment horizontal="left" vertical="center"/>
    </xf>
    <xf numFmtId="0" fontId="0" fillId="0" borderId="0" xfId="26" applyFont="1">
      <alignment vertical="center"/>
    </xf>
    <xf numFmtId="0" fontId="15" fillId="0" borderId="1" xfId="26" applyFont="1" applyBorder="1">
      <alignment vertical="center"/>
    </xf>
    <xf numFmtId="0" fontId="13" fillId="0" borderId="1" xfId="26" applyFont="1" applyBorder="1">
      <alignment vertical="center"/>
    </xf>
    <xf numFmtId="0" fontId="13" fillId="0" borderId="1" xfId="26" applyFont="1" applyBorder="1" applyAlignment="1">
      <alignment horizontal="center" vertical="center"/>
    </xf>
    <xf numFmtId="0" fontId="5" fillId="3" borderId="1" xfId="67" applyFont="1" applyFill="1" applyBorder="1" applyAlignment="1">
      <alignment horizontal="center" vertical="center"/>
    </xf>
    <xf numFmtId="0" fontId="0" fillId="2" borderId="1" xfId="26" applyFont="1" applyFill="1" applyBorder="1" applyAlignment="1">
      <alignment horizontal="center" vertical="center"/>
    </xf>
    <xf numFmtId="0" fontId="0" fillId="0" borderId="1" xfId="26" applyFont="1" applyBorder="1" applyAlignment="1">
      <alignment horizontal="center" vertical="center"/>
    </xf>
    <xf numFmtId="0" fontId="4" fillId="0" borderId="1" xfId="26" applyBorder="1" applyAlignment="1">
      <alignment horizontal="center" vertical="center"/>
    </xf>
    <xf numFmtId="0" fontId="16" fillId="0" borderId="1" xfId="98" applyFont="1" applyBorder="1" applyAlignment="1">
      <alignment horizontal="left" vertical="center"/>
    </xf>
    <xf numFmtId="0" fontId="16" fillId="0" borderId="1" xfId="37" applyFont="1" applyBorder="1" applyAlignment="1">
      <alignment horizontal="left" vertical="center"/>
    </xf>
    <xf numFmtId="0" fontId="11" fillId="0" borderId="1" xfId="26" applyFont="1" applyBorder="1" applyAlignment="1">
      <alignment horizontal="center" vertical="center"/>
    </xf>
    <xf numFmtId="0" fontId="13" fillId="0" borderId="0" xfId="0" applyFo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7" fillId="0" borderId="1" xfId="26" applyFont="1" applyBorder="1" applyAlignment="1">
      <alignment horizontal="center" vertical="center"/>
    </xf>
    <xf numFmtId="0" fontId="11" fillId="4" borderId="1" xfId="26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1" fillId="2" borderId="0" xfId="0" applyFont="1" applyFill="1">
      <alignment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0" xfId="97" applyNumberFormat="1" applyFont="1">
      <alignment vertical="center"/>
    </xf>
    <xf numFmtId="0" fontId="13" fillId="2" borderId="0" xfId="0" applyFont="1" applyFill="1">
      <alignment vertical="center"/>
    </xf>
    <xf numFmtId="0" fontId="13" fillId="5" borderId="0" xfId="0" applyFont="1" applyFill="1">
      <alignment vertical="center"/>
    </xf>
    <xf numFmtId="0" fontId="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178" fontId="13" fillId="0" borderId="1" xfId="0" applyNumberFormat="1" applyFont="1" applyBorder="1" applyAlignment="1">
      <alignment horizontal="center" vertical="center" wrapText="1"/>
    </xf>
    <xf numFmtId="178" fontId="1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178" fontId="23" fillId="0" borderId="1" xfId="0" applyNumberFormat="1" applyFont="1" applyBorder="1" applyAlignment="1">
      <alignment horizontal="center" vertical="center"/>
    </xf>
    <xf numFmtId="178" fontId="23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 wrapText="1"/>
    </xf>
    <xf numFmtId="178" fontId="25" fillId="0" borderId="1" xfId="0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 wrapText="1"/>
    </xf>
    <xf numFmtId="178" fontId="17" fillId="2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0" fontId="30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9" fillId="8" borderId="0" xfId="0" applyFont="1" applyFill="1">
      <alignment vertical="center"/>
    </xf>
    <xf numFmtId="0" fontId="0" fillId="8" borderId="9" xfId="0" applyFill="1" applyBorder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34" fillId="9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>
      <alignment vertical="center"/>
    </xf>
    <xf numFmtId="178" fontId="17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37" applyFont="1" applyBorder="1" applyAlignment="1">
      <alignment horizontal="center" vertical="center"/>
    </xf>
    <xf numFmtId="0" fontId="17" fillId="0" borderId="0" xfId="0" applyFont="1">
      <alignment vertical="center"/>
    </xf>
    <xf numFmtId="0" fontId="36" fillId="9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25" fillId="0" borderId="1" xfId="0" applyNumberFormat="1" applyFont="1" applyBorder="1" applyAlignment="1">
      <alignment horizontal="center" vertical="center" wrapText="1"/>
    </xf>
    <xf numFmtId="0" fontId="25" fillId="0" borderId="1" xfId="37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78" fontId="29" fillId="2" borderId="1" xfId="0" applyNumberFormat="1" applyFont="1" applyFill="1" applyBorder="1" applyAlignment="1">
      <alignment horizontal="center" vertical="center"/>
    </xf>
    <xf numFmtId="178" fontId="36" fillId="9" borderId="1" xfId="0" applyNumberFormat="1" applyFont="1" applyFill="1" applyBorder="1" applyAlignment="1">
      <alignment horizontal="center" vertical="center"/>
    </xf>
    <xf numFmtId="178" fontId="35" fillId="9" borderId="1" xfId="0" applyNumberFormat="1" applyFont="1" applyFill="1" applyBorder="1" applyAlignment="1">
      <alignment horizontal="center" vertical="center"/>
    </xf>
    <xf numFmtId="178" fontId="30" fillId="2" borderId="1" xfId="0" applyNumberFormat="1" applyFont="1" applyFill="1" applyBorder="1" applyAlignment="1">
      <alignment horizontal="center" vertical="center"/>
    </xf>
    <xf numFmtId="178" fontId="35" fillId="2" borderId="1" xfId="0" applyNumberFormat="1" applyFont="1" applyFill="1" applyBorder="1" applyAlignment="1">
      <alignment horizontal="center" vertical="center"/>
    </xf>
    <xf numFmtId="9" fontId="30" fillId="2" borderId="1" xfId="68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6" fillId="9" borderId="1" xfId="0" applyFont="1" applyFill="1" applyBorder="1" applyAlignment="1">
      <alignment horizontal="left" vertical="center" wrapText="1"/>
    </xf>
    <xf numFmtId="0" fontId="35" fillId="9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 wrapText="1"/>
    </xf>
    <xf numFmtId="178" fontId="13" fillId="9" borderId="1" xfId="0" applyNumberFormat="1" applyFont="1" applyFill="1" applyBorder="1" applyAlignment="1">
      <alignment horizontal="center" vertical="center"/>
    </xf>
    <xf numFmtId="0" fontId="3" fillId="0" borderId="1" xfId="37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9" borderId="1" xfId="37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178" fontId="3" fillId="9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178" fontId="3" fillId="10" borderId="1" xfId="0" applyNumberFormat="1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left" vertical="center"/>
    </xf>
    <xf numFmtId="0" fontId="41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6" fillId="0" borderId="0" xfId="26" applyFont="1" applyAlignment="1">
      <alignment horizontal="center" vertical="center" wrapText="1"/>
    </xf>
    <xf numFmtId="0" fontId="6" fillId="0" borderId="0" xfId="26" applyFont="1" applyAlignment="1">
      <alignment horizontal="center" vertical="center"/>
    </xf>
    <xf numFmtId="0" fontId="6" fillId="0" borderId="2" xfId="26" applyFont="1" applyBorder="1" applyAlignment="1">
      <alignment horizontal="center" vertical="center"/>
    </xf>
    <xf numFmtId="0" fontId="7" fillId="0" borderId="3" xfId="26" applyFont="1" applyBorder="1" applyAlignment="1">
      <alignment horizontal="left" vertical="center" wrapText="1"/>
    </xf>
    <xf numFmtId="0" fontId="8" fillId="0" borderId="3" xfId="26" applyFont="1" applyBorder="1" applyAlignment="1">
      <alignment horizontal="left" vertical="center" wrapText="1"/>
    </xf>
    <xf numFmtId="0" fontId="7" fillId="0" borderId="1" xfId="26" applyFont="1" applyBorder="1" applyAlignment="1">
      <alignment horizontal="center" vertical="center" wrapText="1"/>
    </xf>
    <xf numFmtId="10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0" fillId="2" borderId="4" xfId="26" applyFont="1" applyFill="1" applyBorder="1" applyAlignment="1">
      <alignment horizontal="center" vertical="center"/>
    </xf>
    <xf numFmtId="0" fontId="0" fillId="2" borderId="5" xfId="26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26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1" fillId="0" borderId="6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</cellXfs>
  <cellStyles count="103">
    <cellStyle name="一般" xfId="0" builtinId="0"/>
    <cellStyle name="一般 10" xfId="9" xr:uid="{00000000-0005-0000-0000-000001000000}"/>
    <cellStyle name="一般 11" xfId="10" xr:uid="{00000000-0005-0000-0000-000002000000}"/>
    <cellStyle name="一般 12" xfId="11" xr:uid="{00000000-0005-0000-0000-000003000000}"/>
    <cellStyle name="一般 13" xfId="12" xr:uid="{00000000-0005-0000-0000-000004000000}"/>
    <cellStyle name="一般 14" xfId="13" xr:uid="{00000000-0005-0000-0000-000005000000}"/>
    <cellStyle name="一般 15" xfId="14" xr:uid="{00000000-0005-0000-0000-000006000000}"/>
    <cellStyle name="一般 16" xfId="15" xr:uid="{00000000-0005-0000-0000-000007000000}"/>
    <cellStyle name="一般 17" xfId="16" xr:uid="{00000000-0005-0000-0000-000008000000}"/>
    <cellStyle name="一般 18" xfId="17" xr:uid="{00000000-0005-0000-0000-000009000000}"/>
    <cellStyle name="一般 19" xfId="18" xr:uid="{00000000-0005-0000-0000-00000A000000}"/>
    <cellStyle name="一般 2" xfId="1" xr:uid="{00000000-0005-0000-0000-00000B000000}"/>
    <cellStyle name="一般 2 2" xfId="31" xr:uid="{00000000-0005-0000-0000-00000C000000}"/>
    <cellStyle name="一般 2 3" xfId="35" xr:uid="{00000000-0005-0000-0000-00000D000000}"/>
    <cellStyle name="一般 2 4" xfId="79" xr:uid="{00000000-0005-0000-0000-00000E000000}"/>
    <cellStyle name="一般 2 5" xfId="82" xr:uid="{00000000-0005-0000-0000-00000F000000}"/>
    <cellStyle name="一般 2 6" xfId="84" xr:uid="{00000000-0005-0000-0000-000010000000}"/>
    <cellStyle name="一般 2 7" xfId="87" xr:uid="{00000000-0005-0000-0000-000011000000}"/>
    <cellStyle name="一般 2 8" xfId="93" xr:uid="{00000000-0005-0000-0000-000012000000}"/>
    <cellStyle name="一般 20" xfId="19" xr:uid="{00000000-0005-0000-0000-000013000000}"/>
    <cellStyle name="一般 21" xfId="20" xr:uid="{00000000-0005-0000-0000-000014000000}"/>
    <cellStyle name="一般 22" xfId="21" xr:uid="{00000000-0005-0000-0000-000015000000}"/>
    <cellStyle name="一般 23" xfId="22" xr:uid="{00000000-0005-0000-0000-000016000000}"/>
    <cellStyle name="一般 24" xfId="23" xr:uid="{00000000-0005-0000-0000-000017000000}"/>
    <cellStyle name="一般 25" xfId="24" xr:uid="{00000000-0005-0000-0000-000018000000}"/>
    <cellStyle name="一般 26" xfId="25" xr:uid="{00000000-0005-0000-0000-000019000000}"/>
    <cellStyle name="一般 27" xfId="27" xr:uid="{00000000-0005-0000-0000-00001A000000}"/>
    <cellStyle name="一般 27 2" xfId="36" xr:uid="{00000000-0005-0000-0000-00001B000000}"/>
    <cellStyle name="一般 27 3" xfId="70" xr:uid="{00000000-0005-0000-0000-00001C000000}"/>
    <cellStyle name="一般 27 4" xfId="75" xr:uid="{00000000-0005-0000-0000-00001D000000}"/>
    <cellStyle name="一般 27 5" xfId="69" xr:uid="{00000000-0005-0000-0000-00001E000000}"/>
    <cellStyle name="一般 27 6" xfId="76" xr:uid="{00000000-0005-0000-0000-00001F000000}"/>
    <cellStyle name="一般 27 7" xfId="88" xr:uid="{00000000-0005-0000-0000-000020000000}"/>
    <cellStyle name="一般 27 8" xfId="94" xr:uid="{00000000-0005-0000-0000-000021000000}"/>
    <cellStyle name="一般 28" xfId="29" xr:uid="{00000000-0005-0000-0000-000022000000}"/>
    <cellStyle name="一般 28 2" xfId="37" xr:uid="{00000000-0005-0000-0000-000023000000}"/>
    <cellStyle name="一般 28 3" xfId="71" xr:uid="{00000000-0005-0000-0000-000024000000}"/>
    <cellStyle name="一般 28 4" xfId="74" xr:uid="{00000000-0005-0000-0000-000025000000}"/>
    <cellStyle name="一般 28 5" xfId="34" xr:uid="{00000000-0005-0000-0000-000026000000}"/>
    <cellStyle name="一般 28 6" xfId="78" xr:uid="{00000000-0005-0000-0000-000027000000}"/>
    <cellStyle name="一般 28 7" xfId="89" xr:uid="{00000000-0005-0000-0000-000028000000}"/>
    <cellStyle name="一般 28 8" xfId="95" xr:uid="{00000000-0005-0000-0000-000029000000}"/>
    <cellStyle name="一般 29" xfId="85" xr:uid="{00000000-0005-0000-0000-00002A000000}"/>
    <cellStyle name="一般 29 2" xfId="38" xr:uid="{00000000-0005-0000-0000-00002B000000}"/>
    <cellStyle name="一般 29 3" xfId="72" xr:uid="{00000000-0005-0000-0000-00002C000000}"/>
    <cellStyle name="一般 29 4" xfId="73" xr:uid="{00000000-0005-0000-0000-00002D000000}"/>
    <cellStyle name="一般 29 5" xfId="80" xr:uid="{00000000-0005-0000-0000-00002E000000}"/>
    <cellStyle name="一般 29 6" xfId="83" xr:uid="{00000000-0005-0000-0000-00002F000000}"/>
    <cellStyle name="一般 29 7" xfId="90" xr:uid="{00000000-0005-0000-0000-000030000000}"/>
    <cellStyle name="一般 29 8" xfId="96" xr:uid="{00000000-0005-0000-0000-000031000000}"/>
    <cellStyle name="一般 3" xfId="2" xr:uid="{00000000-0005-0000-0000-000032000000}"/>
    <cellStyle name="一般 3 2" xfId="26" xr:uid="{00000000-0005-0000-0000-000033000000}"/>
    <cellStyle name="一般 30" xfId="39" xr:uid="{00000000-0005-0000-0000-000034000000}"/>
    <cellStyle name="一般 31" xfId="91" xr:uid="{00000000-0005-0000-0000-000035000000}"/>
    <cellStyle name="一般 32" xfId="40" xr:uid="{00000000-0005-0000-0000-000036000000}"/>
    <cellStyle name="一般 33" xfId="41" xr:uid="{00000000-0005-0000-0000-000037000000}"/>
    <cellStyle name="一般 34" xfId="42" xr:uid="{00000000-0005-0000-0000-000038000000}"/>
    <cellStyle name="一般 35" xfId="43" xr:uid="{00000000-0005-0000-0000-000039000000}"/>
    <cellStyle name="一般 36" xfId="44" xr:uid="{00000000-0005-0000-0000-00003A000000}"/>
    <cellStyle name="一般 37" xfId="45" xr:uid="{00000000-0005-0000-0000-00003B000000}"/>
    <cellStyle name="一般 38" xfId="46" xr:uid="{00000000-0005-0000-0000-00003C000000}"/>
    <cellStyle name="一般 39" xfId="47" xr:uid="{00000000-0005-0000-0000-00003D000000}"/>
    <cellStyle name="一般 4" xfId="3" xr:uid="{00000000-0005-0000-0000-00003E000000}"/>
    <cellStyle name="一般 4 2" xfId="30" xr:uid="{00000000-0005-0000-0000-00003F000000}"/>
    <cellStyle name="一般 4 3" xfId="32" xr:uid="{00000000-0005-0000-0000-000040000000}"/>
    <cellStyle name="一般 4 4" xfId="33" xr:uid="{00000000-0005-0000-0000-000041000000}"/>
    <cellStyle name="一般 4 5" xfId="77" xr:uid="{00000000-0005-0000-0000-000042000000}"/>
    <cellStyle name="一般 4 6" xfId="81" xr:uid="{00000000-0005-0000-0000-000043000000}"/>
    <cellStyle name="一般 4 7" xfId="86" xr:uid="{00000000-0005-0000-0000-000044000000}"/>
    <cellStyle name="一般 4 8" xfId="92" xr:uid="{00000000-0005-0000-0000-000045000000}"/>
    <cellStyle name="一般 40" xfId="48" xr:uid="{00000000-0005-0000-0000-000046000000}"/>
    <cellStyle name="一般 41" xfId="49" xr:uid="{00000000-0005-0000-0000-000047000000}"/>
    <cellStyle name="一般 42" xfId="50" xr:uid="{00000000-0005-0000-0000-000048000000}"/>
    <cellStyle name="一般 43" xfId="51" xr:uid="{00000000-0005-0000-0000-000049000000}"/>
    <cellStyle name="一般 44" xfId="98" xr:uid="{00000000-0005-0000-0000-00004A000000}"/>
    <cellStyle name="一般 45" xfId="52" xr:uid="{00000000-0005-0000-0000-00004B000000}"/>
    <cellStyle name="一般 46" xfId="53" xr:uid="{00000000-0005-0000-0000-00004C000000}"/>
    <cellStyle name="一般 47" xfId="54" xr:uid="{00000000-0005-0000-0000-00004D000000}"/>
    <cellStyle name="一般 48" xfId="55" xr:uid="{00000000-0005-0000-0000-00004E000000}"/>
    <cellStyle name="一般 49" xfId="56" xr:uid="{00000000-0005-0000-0000-00004F000000}"/>
    <cellStyle name="一般 5" xfId="4" xr:uid="{00000000-0005-0000-0000-000050000000}"/>
    <cellStyle name="一般 50" xfId="57" xr:uid="{00000000-0005-0000-0000-000051000000}"/>
    <cellStyle name="一般 51" xfId="58" xr:uid="{00000000-0005-0000-0000-000052000000}"/>
    <cellStyle name="一般 52" xfId="59" xr:uid="{00000000-0005-0000-0000-000053000000}"/>
    <cellStyle name="一般 53" xfId="60" xr:uid="{00000000-0005-0000-0000-000054000000}"/>
    <cellStyle name="一般 54" xfId="61" xr:uid="{00000000-0005-0000-0000-000055000000}"/>
    <cellStyle name="一般 55" xfId="62" xr:uid="{00000000-0005-0000-0000-000056000000}"/>
    <cellStyle name="一般 56" xfId="63" xr:uid="{00000000-0005-0000-0000-000057000000}"/>
    <cellStyle name="一般 57" xfId="99" xr:uid="{00000000-0005-0000-0000-000058000000}"/>
    <cellStyle name="一般 58" xfId="100" xr:uid="{00000000-0005-0000-0000-000059000000}"/>
    <cellStyle name="一般 59" xfId="64" xr:uid="{00000000-0005-0000-0000-00005A000000}"/>
    <cellStyle name="一般 6" xfId="5" xr:uid="{00000000-0005-0000-0000-00005B000000}"/>
    <cellStyle name="一般 60" xfId="65" xr:uid="{00000000-0005-0000-0000-00005C000000}"/>
    <cellStyle name="一般 61" xfId="66" xr:uid="{00000000-0005-0000-0000-00005D000000}"/>
    <cellStyle name="一般 62" xfId="67" xr:uid="{00000000-0005-0000-0000-00005E000000}"/>
    <cellStyle name="一般 63" xfId="101" xr:uid="{00000000-0005-0000-0000-00005F000000}"/>
    <cellStyle name="一般 64" xfId="102" xr:uid="{00000000-0005-0000-0000-000060000000}"/>
    <cellStyle name="一般 7" xfId="6" xr:uid="{00000000-0005-0000-0000-000061000000}"/>
    <cellStyle name="一般 8" xfId="7" xr:uid="{00000000-0005-0000-0000-000062000000}"/>
    <cellStyle name="一般 9" xfId="8" xr:uid="{00000000-0005-0000-0000-000063000000}"/>
    <cellStyle name="百分比" xfId="97" builtinId="5"/>
    <cellStyle name="百分比 2" xfId="28" xr:uid="{00000000-0005-0000-0000-000065000000}"/>
    <cellStyle name="百分比 47" xfId="68" xr:uid="{00000000-0005-0000-0000-000066000000}"/>
  </cellStyles>
  <dxfs count="18">
    <dxf>
      <font>
        <color rgb="FFFF0000"/>
      </font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FF000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FF0000"/>
      </font>
      <fill>
        <patternFill>
          <bgColor theme="9" tint="0.79998168889431442"/>
        </patternFill>
      </fill>
    </dxf>
  </dxfs>
  <tableStyles count="0" defaultTableStyle="TableStyleMedium9" defaultPivotStyle="PivotStyleLight16"/>
  <colors>
    <mruColors>
      <color rgb="FF0000FF"/>
      <color rgb="FFFFFF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1</xdr:row>
      <xdr:rowOff>47625</xdr:rowOff>
    </xdr:from>
    <xdr:ext cx="1114425" cy="314325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8410220-24EB-49C4-8AAD-2F2564C50EE3}"/>
            </a:ext>
          </a:extLst>
        </xdr:cNvPr>
        <xdr:cNvSpPr txBox="1">
          <a:spLocks noChangeArrowheads="1"/>
        </xdr:cNvSpPr>
      </xdr:nvSpPr>
      <xdr:spPr bwMode="auto">
        <a:xfrm>
          <a:off x="5505450" y="523875"/>
          <a:ext cx="1114425" cy="3143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機密等級：密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1</xdr:row>
      <xdr:rowOff>47625</xdr:rowOff>
    </xdr:from>
    <xdr:ext cx="1114425" cy="314325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505450" y="523875"/>
          <a:ext cx="1114425" cy="3143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機密等級：密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1</xdr:row>
      <xdr:rowOff>47625</xdr:rowOff>
    </xdr:from>
    <xdr:ext cx="1114425" cy="314325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5505450" y="523875"/>
          <a:ext cx="1114425" cy="314325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機密等級：密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A234-A2BD-4753-832C-1DB5C61F621C}">
  <dimension ref="B2:E24"/>
  <sheetViews>
    <sheetView workbookViewId="0">
      <selection activeCell="H19" sqref="H19"/>
    </sheetView>
  </sheetViews>
  <sheetFormatPr defaultColWidth="8.875" defaultRowHeight="16.5"/>
  <cols>
    <col min="1" max="1" width="8.875" style="30"/>
    <col min="2" max="2" width="14.125" style="30" customWidth="1"/>
    <col min="3" max="3" width="18.125" style="30" customWidth="1"/>
    <col min="4" max="4" width="6.25" style="36" customWidth="1"/>
    <col min="5" max="5" width="14.625" style="30" customWidth="1"/>
    <col min="6" max="16384" width="8.875" style="30"/>
  </cols>
  <sheetData>
    <row r="2" spans="2:5">
      <c r="B2" s="31" t="s">
        <v>157</v>
      </c>
      <c r="C2" s="31" t="s">
        <v>248</v>
      </c>
    </row>
    <row r="3" spans="2:5">
      <c r="B3" s="32" t="s">
        <v>100</v>
      </c>
      <c r="C3" s="32">
        <v>5</v>
      </c>
      <c r="E3" s="42">
        <v>5</v>
      </c>
    </row>
    <row r="4" spans="2:5">
      <c r="B4" s="32" t="s">
        <v>217</v>
      </c>
      <c r="C4" s="32">
        <v>4</v>
      </c>
      <c r="E4" s="42">
        <v>4</v>
      </c>
    </row>
    <row r="5" spans="2:5">
      <c r="B5" s="32" t="s">
        <v>170</v>
      </c>
      <c r="C5" s="32">
        <v>3</v>
      </c>
      <c r="E5" s="42">
        <v>3</v>
      </c>
    </row>
    <row r="6" spans="2:5">
      <c r="B6" s="32" t="s">
        <v>101</v>
      </c>
      <c r="C6" s="32">
        <v>3</v>
      </c>
      <c r="E6" s="42">
        <v>3</v>
      </c>
    </row>
    <row r="7" spans="2:5">
      <c r="B7" s="29" t="s">
        <v>216</v>
      </c>
      <c r="C7" s="29">
        <v>1</v>
      </c>
      <c r="E7" s="43">
        <v>1</v>
      </c>
    </row>
    <row r="8" spans="2:5">
      <c r="B8" s="29" t="s">
        <v>115</v>
      </c>
      <c r="C8" s="29">
        <v>1</v>
      </c>
      <c r="E8" s="43">
        <v>1</v>
      </c>
    </row>
    <row r="9" spans="2:5">
      <c r="B9" s="29" t="s">
        <v>173</v>
      </c>
      <c r="C9" s="29">
        <v>1</v>
      </c>
      <c r="E9" s="43">
        <v>1</v>
      </c>
    </row>
    <row r="10" spans="2:5">
      <c r="B10" s="33" t="s">
        <v>245</v>
      </c>
      <c r="C10" s="29">
        <v>1</v>
      </c>
      <c r="D10" s="36" t="s">
        <v>249</v>
      </c>
      <c r="E10" s="41">
        <v>1</v>
      </c>
    </row>
    <row r="11" spans="2:5">
      <c r="B11" s="32" t="s">
        <v>174</v>
      </c>
      <c r="C11" s="32">
        <v>5</v>
      </c>
      <c r="E11" s="42">
        <v>5</v>
      </c>
    </row>
    <row r="12" spans="2:5">
      <c r="B12" s="33" t="s">
        <v>247</v>
      </c>
      <c r="C12" s="29">
        <v>1</v>
      </c>
      <c r="D12" s="36" t="s">
        <v>249</v>
      </c>
      <c r="E12" s="30">
        <v>1</v>
      </c>
    </row>
    <row r="13" spans="2:5">
      <c r="B13" s="29" t="s">
        <v>99</v>
      </c>
      <c r="C13" s="29">
        <v>1</v>
      </c>
      <c r="E13" s="30">
        <v>1</v>
      </c>
    </row>
    <row r="14" spans="2:5">
      <c r="B14" s="29" t="s">
        <v>161</v>
      </c>
      <c r="C14" s="29">
        <v>1</v>
      </c>
      <c r="E14" s="30">
        <v>1</v>
      </c>
    </row>
    <row r="15" spans="2:5">
      <c r="B15" s="29" t="s">
        <v>180</v>
      </c>
      <c r="C15" s="29">
        <v>1</v>
      </c>
      <c r="E15" s="30">
        <v>1</v>
      </c>
    </row>
    <row r="16" spans="2:5">
      <c r="B16" s="32" t="s">
        <v>98</v>
      </c>
      <c r="C16" s="32">
        <v>3</v>
      </c>
      <c r="E16" s="37">
        <v>3</v>
      </c>
    </row>
    <row r="17" spans="2:5">
      <c r="B17" s="32" t="s">
        <v>160</v>
      </c>
      <c r="C17" s="32">
        <v>4</v>
      </c>
      <c r="E17" s="42">
        <v>4</v>
      </c>
    </row>
    <row r="18" spans="2:5">
      <c r="B18" s="32" t="s">
        <v>158</v>
      </c>
      <c r="C18" s="32">
        <v>6</v>
      </c>
      <c r="E18" s="37">
        <v>7</v>
      </c>
    </row>
    <row r="19" spans="2:5">
      <c r="B19" s="29" t="s">
        <v>172</v>
      </c>
      <c r="C19" s="29">
        <v>1</v>
      </c>
      <c r="E19" s="30">
        <v>1</v>
      </c>
    </row>
    <row r="20" spans="2:5">
      <c r="B20" s="33" t="s">
        <v>246</v>
      </c>
      <c r="C20" s="29">
        <v>0</v>
      </c>
      <c r="D20" s="36" t="s">
        <v>249</v>
      </c>
      <c r="E20" s="30">
        <v>0</v>
      </c>
    </row>
    <row r="21" spans="2:5">
      <c r="B21" s="29" t="s">
        <v>103</v>
      </c>
      <c r="C21" s="29">
        <v>1</v>
      </c>
      <c r="E21" s="30">
        <v>1</v>
      </c>
    </row>
    <row r="22" spans="2:5">
      <c r="B22" s="32" t="s">
        <v>171</v>
      </c>
      <c r="C22" s="32">
        <v>4</v>
      </c>
      <c r="E22" s="37">
        <v>3</v>
      </c>
    </row>
    <row r="23" spans="2:5">
      <c r="B23" s="29" t="s">
        <v>186</v>
      </c>
      <c r="C23" s="29">
        <v>1</v>
      </c>
      <c r="E23" s="30">
        <v>1</v>
      </c>
    </row>
    <row r="24" spans="2:5">
      <c r="C24" s="30">
        <f>SUM(C3:C23)</f>
        <v>48</v>
      </c>
      <c r="E24" s="30">
        <f>SUM(E3:E23)</f>
        <v>48</v>
      </c>
    </row>
  </sheetData>
  <autoFilter ref="B2:C2" xr:uid="{4BEDA234-A2BD-4753-832C-1DB5C61F621C}">
    <sortState xmlns:xlrd2="http://schemas.microsoft.com/office/spreadsheetml/2017/richdata2" ref="B3:C24">
      <sortCondition ref="B2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C4B3-D569-4828-BFC3-6623DB527FC9}">
  <sheetPr>
    <pageSetUpPr fitToPage="1"/>
  </sheetPr>
  <dimension ref="A1:L122"/>
  <sheetViews>
    <sheetView zoomScale="90" zoomScaleNormal="90" workbookViewId="0">
      <pane xSplit="1" ySplit="5" topLeftCell="B79" activePane="bottomRight" state="frozen"/>
      <selection pane="topRight" activeCell="B1" sqref="B1"/>
      <selection pane="bottomLeft" activeCell="A6" sqref="A6"/>
      <selection pane="bottomRight" activeCell="A7" sqref="A7:A95"/>
    </sheetView>
  </sheetViews>
  <sheetFormatPr defaultColWidth="9" defaultRowHeight="16.5"/>
  <cols>
    <col min="1" max="7" width="12.625" style="1" customWidth="1"/>
    <col min="8" max="18" width="9" style="1"/>
    <col min="19" max="19" width="11.75" style="1" customWidth="1"/>
    <col min="20" max="16384" width="9" style="1"/>
  </cols>
  <sheetData>
    <row r="1" spans="1:12" ht="37.5" customHeight="1">
      <c r="A1" s="129" t="s">
        <v>16</v>
      </c>
      <c r="B1" s="130"/>
      <c r="C1" s="130"/>
      <c r="D1" s="130"/>
      <c r="E1" s="130"/>
      <c r="F1" s="130"/>
      <c r="G1" s="130"/>
    </row>
    <row r="2" spans="1:12" ht="6" customHeight="1"/>
    <row r="3" spans="1:12" ht="27.75" customHeight="1">
      <c r="A3" s="131" t="s">
        <v>17</v>
      </c>
      <c r="B3" s="131"/>
      <c r="C3" s="131"/>
      <c r="D3" s="131"/>
      <c r="E3" s="131"/>
      <c r="F3" s="131"/>
      <c r="G3" s="131"/>
    </row>
    <row r="4" spans="1:12" ht="34.5" customHeight="1">
      <c r="A4" s="132" t="s">
        <v>18</v>
      </c>
      <c r="B4" s="134" t="s">
        <v>19</v>
      </c>
      <c r="C4" s="134"/>
      <c r="D4" s="134"/>
      <c r="E4" s="134" t="s">
        <v>20</v>
      </c>
      <c r="F4" s="134"/>
      <c r="G4" s="134"/>
    </row>
    <row r="5" spans="1:12" ht="34.5" customHeight="1">
      <c r="A5" s="133"/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12" ht="22.9" customHeight="1">
      <c r="A6" s="3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</row>
    <row r="7" spans="1:12" ht="17.100000000000001" customHeight="1">
      <c r="A7" s="5" t="s">
        <v>99</v>
      </c>
      <c r="B7" s="11">
        <v>9</v>
      </c>
      <c r="C7" s="11"/>
      <c r="D7" s="11">
        <v>8</v>
      </c>
      <c r="E7" s="4">
        <f t="shared" ref="E7:E70" si="0">C7/B7*50</f>
        <v>0</v>
      </c>
      <c r="F7" s="4">
        <f t="shared" ref="F7:F70" si="1">D7/B7*50</f>
        <v>44.444444444444443</v>
      </c>
      <c r="G7" s="4">
        <f t="shared" ref="G7:G70" si="2">SUM(E7:F7)</f>
        <v>44.444444444444443</v>
      </c>
      <c r="H7" s="19"/>
    </row>
    <row r="8" spans="1:12" ht="17.100000000000001" customHeight="1">
      <c r="A8" s="5" t="s">
        <v>172</v>
      </c>
      <c r="B8" s="11">
        <v>49</v>
      </c>
      <c r="C8" s="11"/>
      <c r="D8" s="11">
        <v>47</v>
      </c>
      <c r="E8" s="4">
        <f t="shared" si="0"/>
        <v>0</v>
      </c>
      <c r="F8" s="4">
        <f t="shared" si="1"/>
        <v>47.959183673469383</v>
      </c>
      <c r="G8" s="4">
        <f t="shared" si="2"/>
        <v>47.959183673469383</v>
      </c>
    </row>
    <row r="9" spans="1:12" ht="17.100000000000001" customHeight="1">
      <c r="A9" s="5" t="s">
        <v>158</v>
      </c>
      <c r="B9" s="11">
        <v>42</v>
      </c>
      <c r="C9" s="11"/>
      <c r="D9" s="11">
        <v>34</v>
      </c>
      <c r="E9" s="4">
        <f t="shared" si="0"/>
        <v>0</v>
      </c>
      <c r="F9" s="4">
        <f t="shared" si="1"/>
        <v>40.476190476190474</v>
      </c>
      <c r="G9" s="4">
        <f t="shared" si="2"/>
        <v>40.476190476190474</v>
      </c>
    </row>
    <row r="10" spans="1:12" ht="17.100000000000001" customHeight="1">
      <c r="A10" s="27" t="s">
        <v>175</v>
      </c>
      <c r="B10" s="11">
        <v>6</v>
      </c>
      <c r="C10" s="11"/>
      <c r="D10" s="11"/>
      <c r="E10" s="4">
        <f t="shared" si="0"/>
        <v>0</v>
      </c>
      <c r="F10" s="4">
        <f t="shared" si="1"/>
        <v>0</v>
      </c>
      <c r="G10" s="4">
        <f t="shared" si="2"/>
        <v>0</v>
      </c>
      <c r="H10" s="19"/>
      <c r="L10" s="19"/>
    </row>
    <row r="11" spans="1:12" ht="17.100000000000001" customHeight="1">
      <c r="A11" s="5" t="s">
        <v>176</v>
      </c>
      <c r="B11" s="11">
        <v>30</v>
      </c>
      <c r="C11" s="11"/>
      <c r="D11" s="11"/>
      <c r="E11" s="4">
        <f t="shared" si="0"/>
        <v>0</v>
      </c>
      <c r="F11" s="4">
        <f t="shared" si="1"/>
        <v>0</v>
      </c>
      <c r="G11" s="4">
        <f t="shared" si="2"/>
        <v>0</v>
      </c>
      <c r="L11" s="19"/>
    </row>
    <row r="12" spans="1:12" ht="17.100000000000001" customHeight="1">
      <c r="A12" s="5" t="s">
        <v>177</v>
      </c>
      <c r="B12" s="11">
        <v>31</v>
      </c>
      <c r="C12" s="11"/>
      <c r="D12" s="11"/>
      <c r="E12" s="4">
        <f t="shared" si="0"/>
        <v>0</v>
      </c>
      <c r="F12" s="4">
        <f t="shared" si="1"/>
        <v>0</v>
      </c>
      <c r="G12" s="4">
        <f t="shared" si="2"/>
        <v>0</v>
      </c>
      <c r="L12" s="19"/>
    </row>
    <row r="13" spans="1:12" ht="17.100000000000001" customHeight="1">
      <c r="A13" s="5" t="s">
        <v>178</v>
      </c>
      <c r="B13" s="11">
        <v>4</v>
      </c>
      <c r="C13" s="11"/>
      <c r="D13" s="11"/>
      <c r="E13" s="4">
        <f t="shared" si="0"/>
        <v>0</v>
      </c>
      <c r="F13" s="4">
        <f t="shared" si="1"/>
        <v>0</v>
      </c>
      <c r="G13" s="4">
        <f t="shared" si="2"/>
        <v>0</v>
      </c>
      <c r="L13" s="19"/>
    </row>
    <row r="14" spans="1:12" ht="17.100000000000001" customHeight="1">
      <c r="A14" s="5" t="s">
        <v>179</v>
      </c>
      <c r="B14" s="11">
        <v>15</v>
      </c>
      <c r="C14" s="11"/>
      <c r="D14" s="11"/>
      <c r="E14" s="4">
        <f t="shared" si="0"/>
        <v>0</v>
      </c>
      <c r="F14" s="4">
        <f t="shared" si="1"/>
        <v>0</v>
      </c>
      <c r="G14" s="4">
        <f t="shared" si="2"/>
        <v>0</v>
      </c>
      <c r="L14" s="19"/>
    </row>
    <row r="15" spans="1:12" ht="17.100000000000001" customHeight="1">
      <c r="A15" s="5" t="s">
        <v>98</v>
      </c>
      <c r="B15" s="11">
        <v>14</v>
      </c>
      <c r="C15" s="11"/>
      <c r="D15" s="11">
        <v>12</v>
      </c>
      <c r="E15" s="4">
        <f t="shared" si="0"/>
        <v>0</v>
      </c>
      <c r="F15" s="4">
        <f t="shared" si="1"/>
        <v>42.857142857142854</v>
      </c>
      <c r="G15" s="4">
        <f t="shared" si="2"/>
        <v>42.857142857142854</v>
      </c>
    </row>
    <row r="16" spans="1:12" ht="17.100000000000001" customHeight="1">
      <c r="A16" s="5" t="s">
        <v>180</v>
      </c>
      <c r="B16" s="11">
        <v>52</v>
      </c>
      <c r="C16" s="11"/>
      <c r="D16" s="11">
        <v>51</v>
      </c>
      <c r="E16" s="4">
        <f t="shared" si="0"/>
        <v>0</v>
      </c>
      <c r="F16" s="4">
        <f t="shared" si="1"/>
        <v>49.038461538461533</v>
      </c>
      <c r="G16" s="4">
        <f t="shared" si="2"/>
        <v>49.038461538461533</v>
      </c>
    </row>
    <row r="17" spans="1:8" ht="17.100000000000001" customHeight="1">
      <c r="A17" s="28" t="s">
        <v>181</v>
      </c>
      <c r="B17" s="11">
        <v>6</v>
      </c>
      <c r="C17" s="11"/>
      <c r="D17" s="11"/>
      <c r="E17" s="4">
        <f t="shared" si="0"/>
        <v>0</v>
      </c>
      <c r="F17" s="4">
        <f t="shared" si="1"/>
        <v>0</v>
      </c>
      <c r="G17" s="4">
        <f t="shared" si="2"/>
        <v>0</v>
      </c>
    </row>
    <row r="18" spans="1:8" ht="17.100000000000001" customHeight="1">
      <c r="A18" s="5" t="s">
        <v>182</v>
      </c>
      <c r="B18" s="11">
        <v>18</v>
      </c>
      <c r="C18" s="11"/>
      <c r="D18" s="11"/>
      <c r="E18" s="4">
        <f t="shared" si="0"/>
        <v>0</v>
      </c>
      <c r="F18" s="4">
        <f t="shared" si="1"/>
        <v>0</v>
      </c>
      <c r="G18" s="4">
        <f t="shared" si="2"/>
        <v>0</v>
      </c>
    </row>
    <row r="19" spans="1:8" ht="17.100000000000001" customHeight="1">
      <c r="A19" s="5" t="s">
        <v>171</v>
      </c>
      <c r="B19" s="11">
        <v>26</v>
      </c>
      <c r="C19" s="11"/>
      <c r="D19" s="11">
        <v>23</v>
      </c>
      <c r="E19" s="4">
        <f t="shared" si="0"/>
        <v>0</v>
      </c>
      <c r="F19" s="4">
        <f t="shared" si="1"/>
        <v>44.230769230769226</v>
      </c>
      <c r="G19" s="4">
        <f t="shared" si="2"/>
        <v>44.230769230769226</v>
      </c>
    </row>
    <row r="20" spans="1:8" ht="17.100000000000001" customHeight="1">
      <c r="A20" s="5" t="s">
        <v>160</v>
      </c>
      <c r="B20" s="11">
        <v>17</v>
      </c>
      <c r="C20" s="11"/>
      <c r="D20" s="11">
        <v>13</v>
      </c>
      <c r="E20" s="4">
        <f t="shared" si="0"/>
        <v>0</v>
      </c>
      <c r="F20" s="4">
        <f t="shared" si="1"/>
        <v>38.235294117647058</v>
      </c>
      <c r="G20" s="4">
        <f t="shared" si="2"/>
        <v>38.235294117647058</v>
      </c>
    </row>
    <row r="21" spans="1:8" ht="17.100000000000001" customHeight="1">
      <c r="A21" s="5" t="s">
        <v>183</v>
      </c>
      <c r="B21" s="11">
        <v>14</v>
      </c>
      <c r="C21" s="11"/>
      <c r="D21" s="11"/>
      <c r="E21" s="4">
        <f t="shared" si="0"/>
        <v>0</v>
      </c>
      <c r="F21" s="4">
        <f t="shared" si="1"/>
        <v>0</v>
      </c>
      <c r="G21" s="4">
        <f t="shared" si="2"/>
        <v>0</v>
      </c>
    </row>
    <row r="22" spans="1:8" ht="17.100000000000001" customHeight="1">
      <c r="A22" s="5" t="s">
        <v>101</v>
      </c>
      <c r="B22" s="11">
        <v>21</v>
      </c>
      <c r="C22" s="11"/>
      <c r="D22" s="11">
        <v>19</v>
      </c>
      <c r="E22" s="4">
        <f t="shared" si="0"/>
        <v>0</v>
      </c>
      <c r="F22" s="4">
        <f t="shared" si="1"/>
        <v>45.238095238095241</v>
      </c>
      <c r="G22" s="4">
        <f t="shared" si="2"/>
        <v>45.238095238095241</v>
      </c>
    </row>
    <row r="23" spans="1:8" ht="17.100000000000001" customHeight="1">
      <c r="A23" s="5" t="s">
        <v>184</v>
      </c>
      <c r="B23" s="11">
        <v>40</v>
      </c>
      <c r="C23" s="23"/>
      <c r="D23" s="11"/>
      <c r="E23" s="4">
        <f t="shared" si="0"/>
        <v>0</v>
      </c>
      <c r="F23" s="4">
        <f t="shared" si="1"/>
        <v>0</v>
      </c>
      <c r="G23" s="4">
        <f t="shared" si="2"/>
        <v>0</v>
      </c>
    </row>
    <row r="24" spans="1:8" ht="17.100000000000001" customHeight="1">
      <c r="A24" s="5" t="s">
        <v>161</v>
      </c>
      <c r="B24" s="11">
        <v>22</v>
      </c>
      <c r="C24" s="11"/>
      <c r="D24" s="11">
        <v>21</v>
      </c>
      <c r="E24" s="4">
        <f t="shared" si="0"/>
        <v>0</v>
      </c>
      <c r="F24" s="4">
        <f t="shared" si="1"/>
        <v>47.727272727272727</v>
      </c>
      <c r="G24" s="4">
        <f t="shared" si="2"/>
        <v>47.727272727272727</v>
      </c>
    </row>
    <row r="25" spans="1:8" ht="17.100000000000001" customHeight="1">
      <c r="A25" s="5" t="s">
        <v>108</v>
      </c>
      <c r="B25" s="11">
        <v>5</v>
      </c>
      <c r="C25" s="11"/>
      <c r="D25" s="11"/>
      <c r="E25" s="4">
        <f t="shared" si="0"/>
        <v>0</v>
      </c>
      <c r="F25" s="4">
        <f t="shared" si="1"/>
        <v>0</v>
      </c>
      <c r="G25" s="4">
        <f t="shared" si="2"/>
        <v>0</v>
      </c>
    </row>
    <row r="26" spans="1:8" ht="17.100000000000001" customHeight="1">
      <c r="A26" s="5" t="s">
        <v>185</v>
      </c>
      <c r="B26" s="11">
        <v>4</v>
      </c>
      <c r="C26" s="11"/>
      <c r="D26" s="11"/>
      <c r="E26" s="4">
        <f t="shared" si="0"/>
        <v>0</v>
      </c>
      <c r="F26" s="4">
        <f t="shared" si="1"/>
        <v>0</v>
      </c>
      <c r="G26" s="4">
        <f t="shared" si="2"/>
        <v>0</v>
      </c>
    </row>
    <row r="27" spans="1:8" ht="17.100000000000001" customHeight="1">
      <c r="A27" s="5" t="s">
        <v>186</v>
      </c>
      <c r="B27" s="11">
        <v>25</v>
      </c>
      <c r="C27" s="11"/>
      <c r="D27" s="11">
        <v>24</v>
      </c>
      <c r="E27" s="4">
        <f t="shared" si="0"/>
        <v>0</v>
      </c>
      <c r="F27" s="4">
        <f t="shared" si="1"/>
        <v>48</v>
      </c>
      <c r="G27" s="4">
        <f t="shared" si="2"/>
        <v>48</v>
      </c>
    </row>
    <row r="28" spans="1:8" ht="17.100000000000001" customHeight="1">
      <c r="A28" s="5" t="s">
        <v>187</v>
      </c>
      <c r="B28" s="11">
        <v>17</v>
      </c>
      <c r="C28" s="11"/>
      <c r="D28" s="11"/>
      <c r="E28" s="4">
        <f t="shared" si="0"/>
        <v>0</v>
      </c>
      <c r="F28" s="4">
        <f t="shared" si="1"/>
        <v>0</v>
      </c>
      <c r="G28" s="4">
        <f t="shared" si="2"/>
        <v>0</v>
      </c>
    </row>
    <row r="29" spans="1:8" ht="17.100000000000001" customHeight="1">
      <c r="A29" s="5" t="s">
        <v>188</v>
      </c>
      <c r="B29" s="11">
        <v>6</v>
      </c>
      <c r="C29" s="11"/>
      <c r="D29" s="11"/>
      <c r="E29" s="4">
        <f t="shared" si="0"/>
        <v>0</v>
      </c>
      <c r="F29" s="4">
        <f t="shared" si="1"/>
        <v>0</v>
      </c>
      <c r="G29" s="4">
        <f t="shared" si="2"/>
        <v>0</v>
      </c>
    </row>
    <row r="30" spans="1:8" ht="17.100000000000001" customHeight="1">
      <c r="A30" s="5" t="s">
        <v>189</v>
      </c>
      <c r="B30" s="11">
        <v>8</v>
      </c>
      <c r="C30" s="11"/>
      <c r="D30" s="11"/>
      <c r="E30" s="4">
        <f t="shared" si="0"/>
        <v>0</v>
      </c>
      <c r="F30" s="4">
        <f t="shared" si="1"/>
        <v>0</v>
      </c>
      <c r="G30" s="4">
        <f t="shared" si="2"/>
        <v>0</v>
      </c>
      <c r="H30" s="19"/>
    </row>
    <row r="31" spans="1:8" ht="17.100000000000001" customHeight="1">
      <c r="A31" s="5" t="s">
        <v>190</v>
      </c>
      <c r="B31" s="11">
        <v>13</v>
      </c>
      <c r="C31" s="11"/>
      <c r="D31" s="11"/>
      <c r="E31" s="4">
        <f t="shared" si="0"/>
        <v>0</v>
      </c>
      <c r="F31" s="4">
        <f t="shared" si="1"/>
        <v>0</v>
      </c>
      <c r="G31" s="4">
        <f t="shared" si="2"/>
        <v>0</v>
      </c>
    </row>
    <row r="32" spans="1:8" ht="17.100000000000001" customHeight="1">
      <c r="A32" s="16" t="s">
        <v>191</v>
      </c>
      <c r="B32" s="11">
        <v>4</v>
      </c>
      <c r="C32" s="11"/>
      <c r="D32" s="11"/>
      <c r="E32" s="4">
        <f t="shared" si="0"/>
        <v>0</v>
      </c>
      <c r="F32" s="4">
        <f t="shared" si="1"/>
        <v>0</v>
      </c>
      <c r="G32" s="4">
        <f t="shared" si="2"/>
        <v>0</v>
      </c>
    </row>
    <row r="33" spans="1:8" ht="17.100000000000001" customHeight="1">
      <c r="A33" s="5" t="s">
        <v>170</v>
      </c>
      <c r="B33" s="11">
        <v>14</v>
      </c>
      <c r="C33" s="11"/>
      <c r="D33" s="11">
        <v>12</v>
      </c>
      <c r="E33" s="4">
        <f t="shared" si="0"/>
        <v>0</v>
      </c>
      <c r="F33" s="4">
        <f t="shared" si="1"/>
        <v>42.857142857142854</v>
      </c>
      <c r="G33" s="4">
        <f t="shared" si="2"/>
        <v>42.857142857142854</v>
      </c>
      <c r="H33" s="19"/>
    </row>
    <row r="34" spans="1:8" ht="17.100000000000001" customHeight="1">
      <c r="A34" s="5" t="s">
        <v>192</v>
      </c>
      <c r="B34" s="11">
        <v>11</v>
      </c>
      <c r="C34" s="11"/>
      <c r="D34" s="11"/>
      <c r="E34" s="4">
        <f t="shared" si="0"/>
        <v>0</v>
      </c>
      <c r="F34" s="4">
        <f t="shared" si="1"/>
        <v>0</v>
      </c>
      <c r="G34" s="4">
        <f t="shared" si="2"/>
        <v>0</v>
      </c>
    </row>
    <row r="35" spans="1:8" ht="17.100000000000001" customHeight="1">
      <c r="A35" s="5" t="s">
        <v>132</v>
      </c>
      <c r="B35" s="11">
        <v>19</v>
      </c>
      <c r="C35" s="11"/>
      <c r="D35" s="11"/>
      <c r="E35" s="4">
        <f t="shared" si="0"/>
        <v>0</v>
      </c>
      <c r="F35" s="4">
        <f t="shared" si="1"/>
        <v>0</v>
      </c>
      <c r="G35" s="4">
        <f t="shared" si="2"/>
        <v>0</v>
      </c>
    </row>
    <row r="36" spans="1:8" ht="17.100000000000001" customHeight="1">
      <c r="A36" s="5" t="s">
        <v>193</v>
      </c>
      <c r="B36" s="11">
        <v>11</v>
      </c>
      <c r="C36" s="11"/>
      <c r="D36" s="11"/>
      <c r="E36" s="4">
        <f t="shared" si="0"/>
        <v>0</v>
      </c>
      <c r="F36" s="4">
        <f t="shared" si="1"/>
        <v>0</v>
      </c>
      <c r="G36" s="4">
        <f t="shared" si="2"/>
        <v>0</v>
      </c>
      <c r="H36" s="19"/>
    </row>
    <row r="37" spans="1:8" ht="17.100000000000001" customHeight="1">
      <c r="A37" s="5" t="s">
        <v>194</v>
      </c>
      <c r="B37" s="11">
        <v>2</v>
      </c>
      <c r="C37" s="11"/>
      <c r="D37" s="11"/>
      <c r="E37" s="4">
        <f t="shared" si="0"/>
        <v>0</v>
      </c>
      <c r="F37" s="4">
        <f t="shared" si="1"/>
        <v>0</v>
      </c>
      <c r="G37" s="4">
        <f t="shared" si="2"/>
        <v>0</v>
      </c>
      <c r="H37" s="19"/>
    </row>
    <row r="38" spans="1:8" ht="17.100000000000001" customHeight="1">
      <c r="A38" s="5" t="s">
        <v>195</v>
      </c>
      <c r="B38" s="11">
        <v>43</v>
      </c>
      <c r="C38" s="11"/>
      <c r="D38" s="11"/>
      <c r="E38" s="4">
        <f t="shared" si="0"/>
        <v>0</v>
      </c>
      <c r="F38" s="4">
        <f t="shared" si="1"/>
        <v>0</v>
      </c>
      <c r="G38" s="4">
        <f t="shared" si="2"/>
        <v>0</v>
      </c>
    </row>
    <row r="39" spans="1:8" ht="17.100000000000001" customHeight="1">
      <c r="A39" s="5" t="s">
        <v>159</v>
      </c>
      <c r="B39" s="11">
        <v>12</v>
      </c>
      <c r="C39" s="11"/>
      <c r="D39" s="11"/>
      <c r="E39" s="4">
        <f t="shared" si="0"/>
        <v>0</v>
      </c>
      <c r="F39" s="4">
        <f t="shared" si="1"/>
        <v>0</v>
      </c>
      <c r="G39" s="4">
        <f t="shared" si="2"/>
        <v>0</v>
      </c>
    </row>
    <row r="40" spans="1:8" ht="17.100000000000001" customHeight="1">
      <c r="A40" s="17" t="s">
        <v>174</v>
      </c>
      <c r="B40" s="11">
        <v>37</v>
      </c>
      <c r="C40" s="11"/>
      <c r="D40" s="11">
        <v>33</v>
      </c>
      <c r="E40" s="4">
        <f t="shared" si="0"/>
        <v>0</v>
      </c>
      <c r="F40" s="4">
        <f t="shared" si="1"/>
        <v>44.594594594594597</v>
      </c>
      <c r="G40" s="4">
        <f t="shared" si="2"/>
        <v>44.594594594594597</v>
      </c>
      <c r="H40" s="19"/>
    </row>
    <row r="41" spans="1:8" ht="17.100000000000001" customHeight="1">
      <c r="A41" s="5" t="s">
        <v>196</v>
      </c>
      <c r="B41" s="11">
        <v>6</v>
      </c>
      <c r="C41" s="23"/>
      <c r="D41" s="11"/>
      <c r="E41" s="4">
        <f t="shared" si="0"/>
        <v>0</v>
      </c>
      <c r="F41" s="4">
        <f t="shared" si="1"/>
        <v>0</v>
      </c>
      <c r="G41" s="4">
        <f t="shared" si="2"/>
        <v>0</v>
      </c>
    </row>
    <row r="42" spans="1:8" ht="17.100000000000001" customHeight="1">
      <c r="A42" s="5" t="s">
        <v>197</v>
      </c>
      <c r="B42" s="11">
        <v>35</v>
      </c>
      <c r="C42" s="11"/>
      <c r="D42" s="11"/>
      <c r="E42" s="4">
        <f t="shared" si="0"/>
        <v>0</v>
      </c>
      <c r="F42" s="4">
        <f t="shared" si="1"/>
        <v>0</v>
      </c>
      <c r="G42" s="4">
        <f t="shared" si="2"/>
        <v>0</v>
      </c>
      <c r="H42" s="19"/>
    </row>
    <row r="43" spans="1:8" ht="17.100000000000001" customHeight="1">
      <c r="A43" s="5" t="s">
        <v>198</v>
      </c>
      <c r="B43" s="11">
        <v>4</v>
      </c>
      <c r="C43" s="11"/>
      <c r="D43" s="11"/>
      <c r="E43" s="4">
        <f t="shared" si="0"/>
        <v>0</v>
      </c>
      <c r="F43" s="4">
        <f t="shared" si="1"/>
        <v>0</v>
      </c>
      <c r="G43" s="4">
        <f t="shared" si="2"/>
        <v>0</v>
      </c>
    </row>
    <row r="44" spans="1:8" ht="17.100000000000001" customHeight="1">
      <c r="A44" s="5" t="s">
        <v>199</v>
      </c>
      <c r="B44" s="11">
        <v>15</v>
      </c>
      <c r="C44" s="11"/>
      <c r="D44" s="11"/>
      <c r="E44" s="4">
        <f t="shared" si="0"/>
        <v>0</v>
      </c>
      <c r="F44" s="4">
        <f t="shared" si="1"/>
        <v>0</v>
      </c>
      <c r="G44" s="4">
        <f t="shared" si="2"/>
        <v>0</v>
      </c>
    </row>
    <row r="45" spans="1:8" ht="17.100000000000001" customHeight="1">
      <c r="A45" s="5" t="s">
        <v>103</v>
      </c>
      <c r="B45" s="11">
        <v>56</v>
      </c>
      <c r="C45" s="11"/>
      <c r="D45" s="11">
        <v>55</v>
      </c>
      <c r="E45" s="4">
        <f t="shared" si="0"/>
        <v>0</v>
      </c>
      <c r="F45" s="4">
        <f t="shared" si="1"/>
        <v>49.107142857142854</v>
      </c>
      <c r="G45" s="4">
        <f t="shared" si="2"/>
        <v>49.107142857142854</v>
      </c>
    </row>
    <row r="46" spans="1:8" ht="17.100000000000001" customHeight="1">
      <c r="A46" s="5" t="s">
        <v>200</v>
      </c>
      <c r="B46" s="11">
        <v>8</v>
      </c>
      <c r="C46" s="11"/>
      <c r="D46" s="11"/>
      <c r="E46" s="4">
        <f t="shared" si="0"/>
        <v>0</v>
      </c>
      <c r="F46" s="4">
        <f t="shared" si="1"/>
        <v>0</v>
      </c>
      <c r="G46" s="4">
        <f t="shared" si="2"/>
        <v>0</v>
      </c>
    </row>
    <row r="47" spans="1:8" ht="17.100000000000001" customHeight="1">
      <c r="A47" s="5" t="s">
        <v>201</v>
      </c>
      <c r="B47" s="11">
        <v>35</v>
      </c>
      <c r="C47" s="11"/>
      <c r="D47" s="11"/>
      <c r="E47" s="4">
        <f t="shared" si="0"/>
        <v>0</v>
      </c>
      <c r="F47" s="4">
        <f t="shared" si="1"/>
        <v>0</v>
      </c>
      <c r="G47" s="4">
        <f t="shared" si="2"/>
        <v>0</v>
      </c>
    </row>
    <row r="48" spans="1:8" ht="17.100000000000001" customHeight="1">
      <c r="A48" s="5" t="s">
        <v>202</v>
      </c>
      <c r="B48" s="11">
        <v>19</v>
      </c>
      <c r="C48" s="11"/>
      <c r="D48" s="11"/>
      <c r="E48" s="4">
        <f t="shared" si="0"/>
        <v>0</v>
      </c>
      <c r="F48" s="4">
        <f t="shared" si="1"/>
        <v>0</v>
      </c>
      <c r="G48" s="4">
        <f t="shared" si="2"/>
        <v>0</v>
      </c>
      <c r="H48" s="19"/>
    </row>
    <row r="49" spans="1:8" ht="17.100000000000001" customHeight="1">
      <c r="A49" s="5" t="s">
        <v>203</v>
      </c>
      <c r="B49" s="11">
        <v>12</v>
      </c>
      <c r="C49" s="11"/>
      <c r="D49" s="11"/>
      <c r="E49" s="4">
        <f t="shared" si="0"/>
        <v>0</v>
      </c>
      <c r="F49" s="4">
        <f t="shared" si="1"/>
        <v>0</v>
      </c>
      <c r="G49" s="4">
        <f t="shared" si="2"/>
        <v>0</v>
      </c>
    </row>
    <row r="50" spans="1:8" ht="17.100000000000001" customHeight="1">
      <c r="A50" s="5" t="s">
        <v>204</v>
      </c>
      <c r="B50" s="11">
        <v>17</v>
      </c>
      <c r="C50" s="11"/>
      <c r="D50" s="11"/>
      <c r="E50" s="4">
        <f t="shared" si="0"/>
        <v>0</v>
      </c>
      <c r="F50" s="4">
        <f t="shared" si="1"/>
        <v>0</v>
      </c>
      <c r="G50" s="4">
        <f t="shared" si="2"/>
        <v>0</v>
      </c>
    </row>
    <row r="51" spans="1:8" ht="17.100000000000001" customHeight="1">
      <c r="A51" s="5" t="s">
        <v>108</v>
      </c>
      <c r="B51" s="11">
        <v>9</v>
      </c>
      <c r="C51" s="11"/>
      <c r="D51" s="11"/>
      <c r="E51" s="4">
        <f t="shared" si="0"/>
        <v>0</v>
      </c>
      <c r="F51" s="4">
        <f t="shared" si="1"/>
        <v>0</v>
      </c>
      <c r="G51" s="4">
        <f t="shared" si="2"/>
        <v>0</v>
      </c>
    </row>
    <row r="52" spans="1:8" ht="17.100000000000001" customHeight="1">
      <c r="A52" s="5" t="s">
        <v>100</v>
      </c>
      <c r="B52" s="11">
        <v>42</v>
      </c>
      <c r="C52" s="11"/>
      <c r="D52" s="11">
        <v>37</v>
      </c>
      <c r="E52" s="4">
        <f t="shared" si="0"/>
        <v>0</v>
      </c>
      <c r="F52" s="4">
        <f t="shared" si="1"/>
        <v>44.047619047619044</v>
      </c>
      <c r="G52" s="4">
        <f t="shared" si="2"/>
        <v>44.047619047619044</v>
      </c>
      <c r="H52" s="19"/>
    </row>
    <row r="53" spans="1:8" ht="17.100000000000001" customHeight="1">
      <c r="A53" s="5" t="s">
        <v>205</v>
      </c>
      <c r="B53" s="11">
        <v>5</v>
      </c>
      <c r="C53" s="11"/>
      <c r="D53" s="11"/>
      <c r="E53" s="4">
        <f t="shared" si="0"/>
        <v>0</v>
      </c>
      <c r="F53" s="4">
        <f t="shared" si="1"/>
        <v>0</v>
      </c>
      <c r="G53" s="4">
        <f t="shared" si="2"/>
        <v>0</v>
      </c>
    </row>
    <row r="54" spans="1:8" ht="17.100000000000001" customHeight="1">
      <c r="A54" s="5" t="s">
        <v>130</v>
      </c>
      <c r="B54" s="11">
        <v>21</v>
      </c>
      <c r="C54" s="11"/>
      <c r="D54" s="11"/>
      <c r="E54" s="4">
        <f t="shared" si="0"/>
        <v>0</v>
      </c>
      <c r="F54" s="4">
        <f t="shared" si="1"/>
        <v>0</v>
      </c>
      <c r="G54" s="4">
        <f t="shared" si="2"/>
        <v>0</v>
      </c>
    </row>
    <row r="55" spans="1:8" ht="17.100000000000001" customHeight="1">
      <c r="A55" s="5" t="s">
        <v>206</v>
      </c>
      <c r="B55" s="11">
        <v>17</v>
      </c>
      <c r="C55" s="23"/>
      <c r="D55" s="11"/>
      <c r="E55" s="4">
        <f t="shared" si="0"/>
        <v>0</v>
      </c>
      <c r="F55" s="4">
        <f t="shared" si="1"/>
        <v>0</v>
      </c>
      <c r="G55" s="4">
        <f t="shared" si="2"/>
        <v>0</v>
      </c>
    </row>
    <row r="56" spans="1:8" ht="17.100000000000001" customHeight="1">
      <c r="A56" s="5" t="s">
        <v>162</v>
      </c>
      <c r="B56" s="11">
        <v>23</v>
      </c>
      <c r="C56" s="11"/>
      <c r="D56" s="11"/>
      <c r="E56" s="4">
        <f t="shared" si="0"/>
        <v>0</v>
      </c>
      <c r="F56" s="4">
        <f t="shared" si="1"/>
        <v>0</v>
      </c>
      <c r="G56" s="4">
        <f t="shared" si="2"/>
        <v>0</v>
      </c>
    </row>
    <row r="57" spans="1:8" ht="17.100000000000001" customHeight="1">
      <c r="A57" s="5" t="s">
        <v>207</v>
      </c>
      <c r="B57" s="11">
        <v>7</v>
      </c>
      <c r="C57" s="11"/>
      <c r="D57" s="11"/>
      <c r="E57" s="4">
        <f t="shared" si="0"/>
        <v>0</v>
      </c>
      <c r="F57" s="4">
        <f t="shared" si="1"/>
        <v>0</v>
      </c>
      <c r="G57" s="4">
        <f t="shared" si="2"/>
        <v>0</v>
      </c>
    </row>
    <row r="58" spans="1:8" ht="17.100000000000001" customHeight="1">
      <c r="A58" s="5" t="s">
        <v>119</v>
      </c>
      <c r="B58" s="11">
        <v>4</v>
      </c>
      <c r="C58" s="11"/>
      <c r="D58" s="11"/>
      <c r="E58" s="4">
        <f t="shared" si="0"/>
        <v>0</v>
      </c>
      <c r="F58" s="4">
        <f t="shared" si="1"/>
        <v>0</v>
      </c>
      <c r="G58" s="4">
        <f t="shared" si="2"/>
        <v>0</v>
      </c>
    </row>
    <row r="59" spans="1:8" ht="17.100000000000001" customHeight="1">
      <c r="A59" s="5" t="s">
        <v>208</v>
      </c>
      <c r="B59" s="11">
        <v>9</v>
      </c>
      <c r="C59" s="11"/>
      <c r="D59" s="11"/>
      <c r="E59" s="4">
        <f t="shared" si="0"/>
        <v>0</v>
      </c>
      <c r="F59" s="4">
        <f t="shared" si="1"/>
        <v>0</v>
      </c>
      <c r="G59" s="4">
        <f t="shared" si="2"/>
        <v>0</v>
      </c>
    </row>
    <row r="60" spans="1:8" ht="17.100000000000001" customHeight="1">
      <c r="A60" s="5" t="s">
        <v>209</v>
      </c>
      <c r="B60" s="11">
        <v>8</v>
      </c>
      <c r="C60" s="11"/>
      <c r="D60" s="11"/>
      <c r="E60" s="4">
        <f t="shared" si="0"/>
        <v>0</v>
      </c>
      <c r="F60" s="4">
        <f t="shared" si="1"/>
        <v>0</v>
      </c>
      <c r="G60" s="4">
        <f t="shared" si="2"/>
        <v>0</v>
      </c>
      <c r="H60" s="19"/>
    </row>
    <row r="61" spans="1:8" ht="17.100000000000001" customHeight="1">
      <c r="A61" s="5" t="s">
        <v>141</v>
      </c>
      <c r="B61" s="11">
        <v>12</v>
      </c>
      <c r="C61" s="11"/>
      <c r="D61" s="11"/>
      <c r="E61" s="4">
        <f t="shared" si="0"/>
        <v>0</v>
      </c>
      <c r="F61" s="4">
        <f t="shared" si="1"/>
        <v>0</v>
      </c>
      <c r="G61" s="4">
        <f t="shared" si="2"/>
        <v>0</v>
      </c>
      <c r="H61" s="19"/>
    </row>
    <row r="62" spans="1:8" ht="17.100000000000001" customHeight="1">
      <c r="A62" s="5" t="s">
        <v>210</v>
      </c>
      <c r="B62" s="11">
        <v>3</v>
      </c>
      <c r="C62" s="23"/>
      <c r="D62" s="11"/>
      <c r="E62" s="4">
        <f t="shared" si="0"/>
        <v>0</v>
      </c>
      <c r="F62" s="4">
        <f t="shared" si="1"/>
        <v>0</v>
      </c>
      <c r="G62" s="4">
        <f t="shared" si="2"/>
        <v>0</v>
      </c>
    </row>
    <row r="63" spans="1:8" ht="17.100000000000001" customHeight="1">
      <c r="A63" s="5" t="s">
        <v>144</v>
      </c>
      <c r="B63" s="11">
        <v>9</v>
      </c>
      <c r="C63" s="11"/>
      <c r="D63" s="11"/>
      <c r="E63" s="4">
        <f t="shared" si="0"/>
        <v>0</v>
      </c>
      <c r="F63" s="4">
        <f t="shared" si="1"/>
        <v>0</v>
      </c>
      <c r="G63" s="4">
        <f t="shared" si="2"/>
        <v>0</v>
      </c>
    </row>
    <row r="64" spans="1:8" ht="17.100000000000001" customHeight="1">
      <c r="A64" s="5" t="s">
        <v>146</v>
      </c>
      <c r="B64" s="11">
        <v>3</v>
      </c>
      <c r="C64" s="11"/>
      <c r="D64" s="11"/>
      <c r="E64" s="4">
        <f t="shared" si="0"/>
        <v>0</v>
      </c>
      <c r="F64" s="4">
        <f t="shared" si="1"/>
        <v>0</v>
      </c>
      <c r="G64" s="4">
        <f t="shared" si="2"/>
        <v>0</v>
      </c>
    </row>
    <row r="65" spans="1:8" ht="17.100000000000001" customHeight="1">
      <c r="A65" s="5" t="s">
        <v>211</v>
      </c>
      <c r="B65" s="11">
        <v>8</v>
      </c>
      <c r="C65" s="11"/>
      <c r="D65" s="11"/>
      <c r="E65" s="4">
        <f t="shared" si="0"/>
        <v>0</v>
      </c>
      <c r="F65" s="4">
        <f t="shared" si="1"/>
        <v>0</v>
      </c>
      <c r="G65" s="4">
        <f t="shared" si="2"/>
        <v>0</v>
      </c>
    </row>
    <row r="66" spans="1:8" ht="17.100000000000001" customHeight="1">
      <c r="A66" s="5" t="s">
        <v>212</v>
      </c>
      <c r="B66" s="11">
        <v>5</v>
      </c>
      <c r="C66" s="11"/>
      <c r="D66" s="11"/>
      <c r="E66" s="4">
        <f t="shared" si="0"/>
        <v>0</v>
      </c>
      <c r="F66" s="4">
        <f t="shared" si="1"/>
        <v>0</v>
      </c>
      <c r="G66" s="4">
        <f t="shared" si="2"/>
        <v>0</v>
      </c>
      <c r="H66" s="19"/>
    </row>
    <row r="67" spans="1:8" ht="17.100000000000001" customHeight="1">
      <c r="A67" s="5" t="s">
        <v>213</v>
      </c>
      <c r="B67" s="11">
        <v>8</v>
      </c>
      <c r="C67" s="11"/>
      <c r="D67" s="11"/>
      <c r="E67" s="4">
        <f t="shared" si="0"/>
        <v>0</v>
      </c>
      <c r="F67" s="4">
        <f t="shared" si="1"/>
        <v>0</v>
      </c>
      <c r="G67" s="4">
        <f t="shared" si="2"/>
        <v>0</v>
      </c>
    </row>
    <row r="68" spans="1:8" ht="17.100000000000001" customHeight="1">
      <c r="A68" s="5" t="s">
        <v>173</v>
      </c>
      <c r="B68" s="11">
        <v>5</v>
      </c>
      <c r="C68" s="11"/>
      <c r="D68" s="11">
        <v>4</v>
      </c>
      <c r="E68" s="4">
        <f t="shared" si="0"/>
        <v>0</v>
      </c>
      <c r="F68" s="4">
        <f t="shared" si="1"/>
        <v>40</v>
      </c>
      <c r="G68" s="4">
        <f t="shared" si="2"/>
        <v>40</v>
      </c>
    </row>
    <row r="69" spans="1:8" ht="17.100000000000001" customHeight="1">
      <c r="A69" s="5" t="s">
        <v>214</v>
      </c>
      <c r="B69" s="11">
        <v>12</v>
      </c>
      <c r="C69" s="11"/>
      <c r="D69" s="11"/>
      <c r="E69" s="4">
        <f t="shared" si="0"/>
        <v>0</v>
      </c>
      <c r="F69" s="4">
        <f t="shared" si="1"/>
        <v>0</v>
      </c>
      <c r="G69" s="4">
        <f t="shared" si="2"/>
        <v>0</v>
      </c>
    </row>
    <row r="70" spans="1:8" ht="17.100000000000001" customHeight="1">
      <c r="A70" s="5" t="s">
        <v>215</v>
      </c>
      <c r="B70" s="11">
        <v>6</v>
      </c>
      <c r="C70" s="11"/>
      <c r="D70" s="11"/>
      <c r="E70" s="4">
        <f t="shared" si="0"/>
        <v>0</v>
      </c>
      <c r="F70" s="4">
        <f t="shared" si="1"/>
        <v>0</v>
      </c>
      <c r="G70" s="4">
        <f t="shared" si="2"/>
        <v>0</v>
      </c>
    </row>
    <row r="71" spans="1:8" ht="17.100000000000001" customHeight="1">
      <c r="A71" s="5" t="s">
        <v>216</v>
      </c>
      <c r="B71" s="11">
        <v>6</v>
      </c>
      <c r="C71" s="11"/>
      <c r="D71" s="11">
        <v>5</v>
      </c>
      <c r="E71" s="4">
        <f t="shared" ref="E71:E93" si="3">C71/B71*50</f>
        <v>0</v>
      </c>
      <c r="F71" s="4">
        <f t="shared" ref="F71:F93" si="4">D71/B71*50</f>
        <v>41.666666666666671</v>
      </c>
      <c r="G71" s="4">
        <f t="shared" ref="G71:G96" si="5">SUM(E71:F71)</f>
        <v>41.666666666666671</v>
      </c>
    </row>
    <row r="72" spans="1:8" ht="17.100000000000001" customHeight="1">
      <c r="A72" s="5" t="s">
        <v>217</v>
      </c>
      <c r="B72" s="11">
        <v>5</v>
      </c>
      <c r="C72" s="11"/>
      <c r="D72" s="11">
        <v>2</v>
      </c>
      <c r="E72" s="4">
        <f t="shared" si="3"/>
        <v>0</v>
      </c>
      <c r="F72" s="4">
        <f t="shared" si="4"/>
        <v>20</v>
      </c>
      <c r="G72" s="4">
        <f t="shared" si="5"/>
        <v>20</v>
      </c>
    </row>
    <row r="73" spans="1:8" ht="17.100000000000001" customHeight="1">
      <c r="A73" s="5" t="s">
        <v>188</v>
      </c>
      <c r="B73" s="11">
        <v>2</v>
      </c>
      <c r="C73" s="11"/>
      <c r="D73" s="11"/>
      <c r="E73" s="4">
        <f t="shared" si="3"/>
        <v>0</v>
      </c>
      <c r="F73" s="4">
        <f t="shared" si="4"/>
        <v>0</v>
      </c>
      <c r="G73" s="4">
        <f t="shared" si="5"/>
        <v>0</v>
      </c>
    </row>
    <row r="74" spans="1:8" ht="17.100000000000001" customHeight="1">
      <c r="A74" s="5" t="s">
        <v>218</v>
      </c>
      <c r="B74" s="11">
        <v>5</v>
      </c>
      <c r="C74" s="11"/>
      <c r="D74" s="11"/>
      <c r="E74" s="4">
        <f t="shared" si="3"/>
        <v>0</v>
      </c>
      <c r="F74" s="4">
        <f t="shared" si="4"/>
        <v>0</v>
      </c>
      <c r="G74" s="4">
        <f t="shared" si="5"/>
        <v>0</v>
      </c>
    </row>
    <row r="75" spans="1:8" ht="17.100000000000001" customHeight="1">
      <c r="A75" s="5" t="s">
        <v>219</v>
      </c>
      <c r="B75" s="11">
        <v>7</v>
      </c>
      <c r="C75" s="11"/>
      <c r="D75" s="11"/>
      <c r="E75" s="4">
        <f t="shared" si="3"/>
        <v>0</v>
      </c>
      <c r="F75" s="4">
        <f t="shared" si="4"/>
        <v>0</v>
      </c>
      <c r="G75" s="4">
        <f t="shared" si="5"/>
        <v>0</v>
      </c>
    </row>
    <row r="76" spans="1:8" ht="17.100000000000001" customHeight="1">
      <c r="A76" s="18" t="s">
        <v>220</v>
      </c>
      <c r="B76" s="11">
        <v>4</v>
      </c>
      <c r="C76" s="11"/>
      <c r="D76" s="11"/>
      <c r="E76" s="4">
        <f t="shared" si="3"/>
        <v>0</v>
      </c>
      <c r="F76" s="4">
        <f t="shared" si="4"/>
        <v>0</v>
      </c>
      <c r="G76" s="4">
        <f t="shared" si="5"/>
        <v>0</v>
      </c>
      <c r="H76" s="19"/>
    </row>
    <row r="77" spans="1:8" ht="17.100000000000001" customHeight="1">
      <c r="A77" s="5" t="s">
        <v>221</v>
      </c>
      <c r="B77" s="11">
        <v>10</v>
      </c>
      <c r="C77" s="11"/>
      <c r="D77" s="11"/>
      <c r="E77" s="4">
        <f t="shared" si="3"/>
        <v>0</v>
      </c>
      <c r="F77" s="4">
        <f t="shared" si="4"/>
        <v>0</v>
      </c>
      <c r="G77" s="4">
        <f t="shared" si="5"/>
        <v>0</v>
      </c>
    </row>
    <row r="78" spans="1:8" ht="17.100000000000001" customHeight="1">
      <c r="A78" s="5" t="s">
        <v>222</v>
      </c>
      <c r="B78" s="11">
        <v>5</v>
      </c>
      <c r="C78" s="11"/>
      <c r="D78" s="11"/>
      <c r="E78" s="4">
        <f t="shared" si="3"/>
        <v>0</v>
      </c>
      <c r="F78" s="4">
        <f t="shared" si="4"/>
        <v>0</v>
      </c>
      <c r="G78" s="4">
        <f t="shared" si="5"/>
        <v>0</v>
      </c>
    </row>
    <row r="79" spans="1:8" ht="17.100000000000001" customHeight="1">
      <c r="A79" s="5" t="s">
        <v>223</v>
      </c>
      <c r="B79" s="11">
        <v>4</v>
      </c>
      <c r="C79" s="11"/>
      <c r="D79" s="11"/>
      <c r="E79" s="4">
        <f t="shared" si="3"/>
        <v>0</v>
      </c>
      <c r="F79" s="4">
        <f t="shared" si="4"/>
        <v>0</v>
      </c>
      <c r="G79" s="4">
        <f t="shared" si="5"/>
        <v>0</v>
      </c>
    </row>
    <row r="80" spans="1:8" ht="17.100000000000001" customHeight="1">
      <c r="A80" s="5" t="s">
        <v>224</v>
      </c>
      <c r="B80" s="11">
        <v>2</v>
      </c>
      <c r="C80" s="11"/>
      <c r="D80" s="11"/>
      <c r="E80" s="4">
        <f t="shared" si="3"/>
        <v>0</v>
      </c>
      <c r="F80" s="4">
        <f t="shared" si="4"/>
        <v>0</v>
      </c>
      <c r="G80" s="4">
        <f t="shared" si="5"/>
        <v>0</v>
      </c>
    </row>
    <row r="81" spans="1:11" ht="17.100000000000001" customHeight="1">
      <c r="A81" s="5" t="s">
        <v>121</v>
      </c>
      <c r="B81" s="11">
        <v>2</v>
      </c>
      <c r="C81" s="11"/>
      <c r="D81" s="11"/>
      <c r="E81" s="4">
        <f t="shared" si="3"/>
        <v>0</v>
      </c>
      <c r="F81" s="4">
        <f t="shared" si="4"/>
        <v>0</v>
      </c>
      <c r="G81" s="4">
        <f t="shared" si="5"/>
        <v>0</v>
      </c>
    </row>
    <row r="82" spans="1:11" ht="17.100000000000001" customHeight="1">
      <c r="A82" s="5" t="s">
        <v>107</v>
      </c>
      <c r="B82" s="11">
        <v>4</v>
      </c>
      <c r="C82" s="11"/>
      <c r="D82" s="11"/>
      <c r="E82" s="4">
        <f t="shared" si="3"/>
        <v>0</v>
      </c>
      <c r="F82" s="4">
        <f t="shared" si="4"/>
        <v>0</v>
      </c>
      <c r="G82" s="4">
        <f t="shared" si="5"/>
        <v>0</v>
      </c>
      <c r="H82" s="19"/>
    </row>
    <row r="83" spans="1:11" ht="17.100000000000001" customHeight="1">
      <c r="A83" s="5" t="s">
        <v>225</v>
      </c>
      <c r="B83" s="11">
        <v>3</v>
      </c>
      <c r="C83" s="11"/>
      <c r="D83" s="11"/>
      <c r="E83" s="4">
        <f t="shared" si="3"/>
        <v>0</v>
      </c>
      <c r="F83" s="4">
        <f t="shared" si="4"/>
        <v>0</v>
      </c>
      <c r="G83" s="4">
        <f t="shared" si="5"/>
        <v>0</v>
      </c>
    </row>
    <row r="84" spans="1:11" ht="17.100000000000001" customHeight="1">
      <c r="A84" s="5" t="s">
        <v>226</v>
      </c>
      <c r="B84" s="11">
        <v>6</v>
      </c>
      <c r="C84" s="11"/>
      <c r="D84" s="11"/>
      <c r="E84" s="4">
        <f t="shared" si="3"/>
        <v>0</v>
      </c>
      <c r="F84" s="4">
        <f t="shared" si="4"/>
        <v>0</v>
      </c>
      <c r="G84" s="4">
        <f t="shared" si="5"/>
        <v>0</v>
      </c>
    </row>
    <row r="85" spans="1:11" ht="17.100000000000001" customHeight="1">
      <c r="A85" s="5" t="s">
        <v>227</v>
      </c>
      <c r="B85" s="11">
        <v>10</v>
      </c>
      <c r="C85" s="11"/>
      <c r="D85" s="11"/>
      <c r="E85" s="4">
        <f t="shared" si="3"/>
        <v>0</v>
      </c>
      <c r="F85" s="4">
        <f t="shared" si="4"/>
        <v>0</v>
      </c>
      <c r="G85" s="4">
        <f t="shared" si="5"/>
        <v>0</v>
      </c>
    </row>
    <row r="86" spans="1:11" ht="17.100000000000001" customHeight="1">
      <c r="A86" s="5" t="s">
        <v>210</v>
      </c>
      <c r="B86" s="11">
        <v>2</v>
      </c>
      <c r="C86" s="11"/>
      <c r="D86" s="11"/>
      <c r="E86" s="4">
        <f t="shared" si="3"/>
        <v>0</v>
      </c>
      <c r="F86" s="4">
        <f t="shared" si="4"/>
        <v>0</v>
      </c>
      <c r="G86" s="4">
        <f t="shared" si="5"/>
        <v>0</v>
      </c>
      <c r="H86" s="19"/>
    </row>
    <row r="87" spans="1:11" ht="17.100000000000001" customHeight="1">
      <c r="A87" s="5" t="s">
        <v>228</v>
      </c>
      <c r="B87" s="11">
        <v>2</v>
      </c>
      <c r="C87" s="11"/>
      <c r="D87" s="11"/>
      <c r="E87" s="4">
        <f t="shared" si="3"/>
        <v>0</v>
      </c>
      <c r="F87" s="4">
        <f t="shared" si="4"/>
        <v>0</v>
      </c>
      <c r="G87" s="4">
        <f t="shared" si="5"/>
        <v>0</v>
      </c>
    </row>
    <row r="88" spans="1:11" ht="17.100000000000001" customHeight="1">
      <c r="A88" s="5" t="s">
        <v>229</v>
      </c>
      <c r="B88" s="11">
        <v>2</v>
      </c>
      <c r="C88" s="11"/>
      <c r="D88" s="11"/>
      <c r="E88" s="4">
        <f t="shared" si="3"/>
        <v>0</v>
      </c>
      <c r="F88" s="4">
        <f t="shared" si="4"/>
        <v>0</v>
      </c>
      <c r="G88" s="4">
        <f t="shared" si="5"/>
        <v>0</v>
      </c>
    </row>
    <row r="89" spans="1:11" ht="17.100000000000001" customHeight="1">
      <c r="A89" s="20" t="s">
        <v>230</v>
      </c>
      <c r="B89" s="11">
        <v>2</v>
      </c>
      <c r="C89" s="11"/>
      <c r="D89" s="11"/>
      <c r="E89" s="4">
        <f t="shared" si="3"/>
        <v>0</v>
      </c>
      <c r="F89" s="4">
        <f t="shared" si="4"/>
        <v>0</v>
      </c>
      <c r="G89" s="4">
        <f t="shared" si="5"/>
        <v>0</v>
      </c>
    </row>
    <row r="90" spans="1:11" ht="17.100000000000001" customHeight="1">
      <c r="A90" s="20" t="s">
        <v>231</v>
      </c>
      <c r="B90" s="11">
        <v>8</v>
      </c>
      <c r="C90" s="11"/>
      <c r="D90" s="11"/>
      <c r="E90" s="4">
        <f t="shared" si="3"/>
        <v>0</v>
      </c>
      <c r="F90" s="4">
        <f t="shared" si="4"/>
        <v>0</v>
      </c>
      <c r="G90" s="4">
        <f t="shared" si="5"/>
        <v>0</v>
      </c>
    </row>
    <row r="91" spans="1:11" ht="17.100000000000001" customHeight="1">
      <c r="A91" s="20" t="s">
        <v>115</v>
      </c>
      <c r="B91" s="11">
        <v>2</v>
      </c>
      <c r="C91" s="11"/>
      <c r="D91" s="11">
        <v>1</v>
      </c>
      <c r="E91" s="4">
        <f t="shared" si="3"/>
        <v>0</v>
      </c>
      <c r="F91" s="4">
        <f t="shared" si="4"/>
        <v>25</v>
      </c>
      <c r="G91" s="4">
        <f t="shared" si="5"/>
        <v>25</v>
      </c>
    </row>
    <row r="92" spans="1:11" ht="17.100000000000001" customHeight="1">
      <c r="A92" s="20" t="s">
        <v>110</v>
      </c>
      <c r="B92" s="11">
        <v>2</v>
      </c>
      <c r="C92" s="11"/>
      <c r="D92" s="11"/>
      <c r="E92" s="4">
        <f t="shared" si="3"/>
        <v>0</v>
      </c>
      <c r="F92" s="4">
        <f t="shared" si="4"/>
        <v>0</v>
      </c>
      <c r="G92" s="4">
        <f t="shared" si="5"/>
        <v>0</v>
      </c>
    </row>
    <row r="93" spans="1:11" ht="17.100000000000001" customHeight="1">
      <c r="A93" s="20" t="s">
        <v>232</v>
      </c>
      <c r="B93" s="11">
        <v>5</v>
      </c>
      <c r="C93" s="11"/>
      <c r="D93" s="11"/>
      <c r="E93" s="4">
        <f t="shared" si="3"/>
        <v>0</v>
      </c>
      <c r="F93" s="4">
        <f t="shared" si="4"/>
        <v>0</v>
      </c>
      <c r="G93" s="4">
        <f t="shared" si="5"/>
        <v>0</v>
      </c>
    </row>
    <row r="94" spans="1:11" ht="17.100000000000001" customHeight="1">
      <c r="A94" s="21" t="s">
        <v>243</v>
      </c>
      <c r="B94" s="22">
        <v>2</v>
      </c>
      <c r="C94" s="11"/>
      <c r="D94" s="22"/>
      <c r="E94" s="4">
        <f>C94/B94*50</f>
        <v>0</v>
      </c>
      <c r="F94" s="4">
        <f>D94/B94*50</f>
        <v>0</v>
      </c>
      <c r="G94" s="4">
        <f>SUM(E94:F94)</f>
        <v>0</v>
      </c>
      <c r="K94" s="19"/>
    </row>
    <row r="95" spans="1:11" ht="17.100000000000001" customHeight="1">
      <c r="A95" s="20" t="s">
        <v>118</v>
      </c>
      <c r="B95" s="11">
        <v>2</v>
      </c>
      <c r="C95" s="11"/>
      <c r="D95" s="11"/>
      <c r="E95" s="4">
        <f>C95/B95*50</f>
        <v>0</v>
      </c>
      <c r="F95" s="4">
        <f>D95/B95*50</f>
        <v>0</v>
      </c>
      <c r="G95" s="4">
        <f>SUM(E95:F95)</f>
        <v>0</v>
      </c>
    </row>
    <row r="96" spans="1:11" s="6" customFormat="1" ht="17.100000000000001" customHeight="1">
      <c r="A96" s="6" t="s">
        <v>94</v>
      </c>
      <c r="B96" s="8">
        <f>SUM(B6:B93)</f>
        <v>1172</v>
      </c>
      <c r="C96" s="8">
        <f>B96-77</f>
        <v>1095</v>
      </c>
      <c r="D96" s="8">
        <f>B96-54</f>
        <v>1118</v>
      </c>
      <c r="E96" s="7">
        <f>C96/B96*50</f>
        <v>46.715017064846414</v>
      </c>
      <c r="F96" s="7">
        <f>D96/B96*50</f>
        <v>47.696245733788395</v>
      </c>
      <c r="G96" s="12">
        <f t="shared" si="5"/>
        <v>94.411262798634809</v>
      </c>
    </row>
    <row r="97" spans="1:8" ht="8.4499999999999993" customHeight="1"/>
    <row r="98" spans="1:8">
      <c r="C98" s="14"/>
      <c r="D98" s="14"/>
      <c r="G98" s="1" t="s">
        <v>71</v>
      </c>
    </row>
    <row r="100" spans="1:8" s="9" customFormat="1" ht="18">
      <c r="A100" s="9" t="s">
        <v>97</v>
      </c>
      <c r="C100" s="9" t="s">
        <v>96</v>
      </c>
      <c r="E100" s="10" t="s">
        <v>95</v>
      </c>
    </row>
    <row r="105" spans="1:8" ht="17.100000000000001" customHeight="1">
      <c r="A105" s="20" t="s">
        <v>140</v>
      </c>
      <c r="B105" s="11">
        <v>1</v>
      </c>
      <c r="C105" s="11"/>
      <c r="D105" s="11"/>
      <c r="E105" s="4">
        <f t="shared" ref="E105:E119" si="6">C105/B105*50</f>
        <v>0</v>
      </c>
      <c r="F105" s="4">
        <f t="shared" ref="F105:F119" si="7">D105/B105*50</f>
        <v>0</v>
      </c>
      <c r="G105" s="4">
        <f t="shared" ref="G105:G119" si="8">SUM(E105:F105)</f>
        <v>0</v>
      </c>
    </row>
    <row r="106" spans="1:8" ht="17.100000000000001" customHeight="1">
      <c r="A106" s="20" t="s">
        <v>139</v>
      </c>
      <c r="B106" s="11">
        <v>1</v>
      </c>
      <c r="C106" s="11"/>
      <c r="D106" s="11"/>
      <c r="E106" s="4">
        <f t="shared" si="6"/>
        <v>0</v>
      </c>
      <c r="F106" s="4">
        <f t="shared" si="7"/>
        <v>0</v>
      </c>
      <c r="G106" s="4">
        <f t="shared" si="8"/>
        <v>0</v>
      </c>
      <c r="H106" s="19"/>
    </row>
    <row r="107" spans="1:8" ht="17.100000000000001" customHeight="1">
      <c r="A107" s="5" t="s">
        <v>233</v>
      </c>
      <c r="B107" s="11">
        <v>1</v>
      </c>
      <c r="C107" s="11"/>
      <c r="D107" s="11"/>
      <c r="E107" s="4">
        <f t="shared" si="6"/>
        <v>0</v>
      </c>
      <c r="F107" s="4">
        <f t="shared" si="7"/>
        <v>0</v>
      </c>
      <c r="G107" s="4">
        <f t="shared" si="8"/>
        <v>0</v>
      </c>
    </row>
    <row r="108" spans="1:8" ht="17.100000000000001" customHeight="1">
      <c r="A108" s="5" t="s">
        <v>234</v>
      </c>
      <c r="B108" s="11">
        <v>1</v>
      </c>
      <c r="C108" s="11"/>
      <c r="D108" s="11"/>
      <c r="E108" s="4">
        <f t="shared" si="6"/>
        <v>0</v>
      </c>
      <c r="F108" s="4">
        <f t="shared" si="7"/>
        <v>0</v>
      </c>
      <c r="G108" s="4">
        <f t="shared" si="8"/>
        <v>0</v>
      </c>
    </row>
    <row r="109" spans="1:8" ht="17.100000000000001" customHeight="1">
      <c r="A109" s="20" t="s">
        <v>114</v>
      </c>
      <c r="B109" s="11">
        <v>1</v>
      </c>
      <c r="C109" s="11"/>
      <c r="D109" s="11"/>
      <c r="E109" s="4">
        <f t="shared" si="6"/>
        <v>0</v>
      </c>
      <c r="F109" s="4">
        <f t="shared" si="7"/>
        <v>0</v>
      </c>
      <c r="G109" s="4">
        <f t="shared" si="8"/>
        <v>0</v>
      </c>
    </row>
    <row r="110" spans="1:8" ht="17.100000000000001" customHeight="1">
      <c r="A110" s="20" t="s">
        <v>136</v>
      </c>
      <c r="B110" s="11">
        <v>1</v>
      </c>
      <c r="C110" s="11"/>
      <c r="D110" s="11"/>
      <c r="E110" s="4">
        <f t="shared" si="6"/>
        <v>0</v>
      </c>
      <c r="F110" s="4">
        <f t="shared" si="7"/>
        <v>0</v>
      </c>
      <c r="G110" s="4">
        <f t="shared" si="8"/>
        <v>0</v>
      </c>
    </row>
    <row r="111" spans="1:8" ht="17.100000000000001" customHeight="1">
      <c r="A111" s="20" t="s">
        <v>235</v>
      </c>
      <c r="B111" s="11">
        <v>1</v>
      </c>
      <c r="C111" s="11"/>
      <c r="D111" s="11"/>
      <c r="E111" s="4">
        <f t="shared" si="6"/>
        <v>0</v>
      </c>
      <c r="F111" s="4">
        <f t="shared" si="7"/>
        <v>0</v>
      </c>
      <c r="G111" s="4">
        <f t="shared" si="8"/>
        <v>0</v>
      </c>
    </row>
    <row r="112" spans="1:8" ht="17.100000000000001" customHeight="1">
      <c r="A112" s="20" t="s">
        <v>148</v>
      </c>
      <c r="B112" s="11">
        <v>1</v>
      </c>
      <c r="C112" s="11"/>
      <c r="D112" s="11"/>
      <c r="E112" s="4">
        <f t="shared" si="6"/>
        <v>0</v>
      </c>
      <c r="F112" s="4">
        <f t="shared" si="7"/>
        <v>0</v>
      </c>
      <c r="G112" s="4">
        <f t="shared" si="8"/>
        <v>0</v>
      </c>
    </row>
    <row r="113" spans="1:7" ht="17.100000000000001" customHeight="1">
      <c r="A113" s="20" t="s">
        <v>109</v>
      </c>
      <c r="B113" s="11">
        <v>1</v>
      </c>
      <c r="C113" s="11"/>
      <c r="D113" s="11"/>
      <c r="E113" s="4">
        <f t="shared" si="6"/>
        <v>0</v>
      </c>
      <c r="F113" s="4">
        <f t="shared" si="7"/>
        <v>0</v>
      </c>
      <c r="G113" s="4">
        <f t="shared" si="8"/>
        <v>0</v>
      </c>
    </row>
    <row r="114" spans="1:7" ht="17.100000000000001" customHeight="1">
      <c r="A114" s="20" t="s">
        <v>142</v>
      </c>
      <c r="B114" s="11">
        <v>1</v>
      </c>
      <c r="C114" s="11"/>
      <c r="D114" s="11"/>
      <c r="E114" s="4">
        <f t="shared" si="6"/>
        <v>0</v>
      </c>
      <c r="F114" s="4">
        <f t="shared" si="7"/>
        <v>0</v>
      </c>
      <c r="G114" s="4">
        <f t="shared" si="8"/>
        <v>0</v>
      </c>
    </row>
    <row r="115" spans="1:7" ht="17.100000000000001" customHeight="1">
      <c r="A115" s="20" t="s">
        <v>236</v>
      </c>
      <c r="B115" s="11">
        <v>1</v>
      </c>
      <c r="C115" s="11"/>
      <c r="D115" s="11"/>
      <c r="E115" s="4">
        <f t="shared" si="6"/>
        <v>0</v>
      </c>
      <c r="F115" s="4">
        <f t="shared" si="7"/>
        <v>0</v>
      </c>
      <c r="G115" s="4">
        <f t="shared" si="8"/>
        <v>0</v>
      </c>
    </row>
    <row r="116" spans="1:7" ht="17.100000000000001" customHeight="1">
      <c r="A116" s="20" t="s">
        <v>237</v>
      </c>
      <c r="B116" s="11">
        <v>1</v>
      </c>
      <c r="C116" s="11"/>
      <c r="D116" s="11"/>
      <c r="E116" s="4">
        <f t="shared" si="6"/>
        <v>0</v>
      </c>
      <c r="F116" s="4">
        <f t="shared" si="7"/>
        <v>0</v>
      </c>
      <c r="G116" s="4">
        <f t="shared" si="8"/>
        <v>0</v>
      </c>
    </row>
    <row r="117" spans="1:7" ht="17.100000000000001" customHeight="1">
      <c r="A117" s="20" t="s">
        <v>238</v>
      </c>
      <c r="B117" s="11">
        <v>1</v>
      </c>
      <c r="C117" s="11"/>
      <c r="D117" s="11"/>
      <c r="E117" s="4">
        <f t="shared" si="6"/>
        <v>0</v>
      </c>
      <c r="F117" s="4">
        <f t="shared" si="7"/>
        <v>0</v>
      </c>
      <c r="G117" s="4">
        <f t="shared" si="8"/>
        <v>0</v>
      </c>
    </row>
    <row r="118" spans="1:7" ht="17.100000000000001" customHeight="1">
      <c r="A118" s="20" t="s">
        <v>239</v>
      </c>
      <c r="B118" s="11">
        <v>1</v>
      </c>
      <c r="C118" s="11"/>
      <c r="D118" s="11"/>
      <c r="E118" s="4">
        <f t="shared" si="6"/>
        <v>0</v>
      </c>
      <c r="F118" s="4">
        <f t="shared" si="7"/>
        <v>0</v>
      </c>
      <c r="G118" s="4">
        <f t="shared" si="8"/>
        <v>0</v>
      </c>
    </row>
    <row r="119" spans="1:7" ht="17.100000000000001" customHeight="1">
      <c r="A119" s="20" t="s">
        <v>147</v>
      </c>
      <c r="B119" s="11">
        <v>1</v>
      </c>
      <c r="C119" s="11"/>
      <c r="D119" s="11"/>
      <c r="E119" s="4">
        <f t="shared" si="6"/>
        <v>0</v>
      </c>
      <c r="F119" s="4">
        <f t="shared" si="7"/>
        <v>0</v>
      </c>
      <c r="G119" s="4">
        <f t="shared" si="8"/>
        <v>0</v>
      </c>
    </row>
    <row r="120" spans="1:7" ht="17.100000000000001" customHeight="1">
      <c r="A120" s="20" t="s">
        <v>240</v>
      </c>
      <c r="B120" s="11">
        <v>1</v>
      </c>
      <c r="C120" s="11"/>
      <c r="D120" s="11"/>
      <c r="E120" s="4">
        <f t="shared" ref="E120:E122" si="9">C120/B120*50</f>
        <v>0</v>
      </c>
      <c r="F120" s="4">
        <f t="shared" ref="F120:F122" si="10">D120/B120*50</f>
        <v>0</v>
      </c>
      <c r="G120" s="4">
        <f t="shared" ref="G120:G122" si="11">SUM(E120:F120)</f>
        <v>0</v>
      </c>
    </row>
    <row r="121" spans="1:7" ht="17.100000000000001" customHeight="1">
      <c r="A121" s="20" t="s">
        <v>241</v>
      </c>
      <c r="B121" s="11">
        <v>1</v>
      </c>
      <c r="C121" s="11"/>
      <c r="D121" s="11"/>
      <c r="E121" s="4">
        <f t="shared" si="9"/>
        <v>0</v>
      </c>
      <c r="F121" s="4">
        <f t="shared" si="10"/>
        <v>0</v>
      </c>
      <c r="G121" s="4">
        <f t="shared" si="11"/>
        <v>0</v>
      </c>
    </row>
    <row r="122" spans="1:7" ht="17.100000000000001" customHeight="1">
      <c r="A122" s="20" t="s">
        <v>113</v>
      </c>
      <c r="B122" s="11">
        <v>1</v>
      </c>
      <c r="C122" s="11"/>
      <c r="D122" s="11"/>
      <c r="E122" s="4">
        <f t="shared" si="9"/>
        <v>0</v>
      </c>
      <c r="F122" s="4">
        <f t="shared" si="10"/>
        <v>0</v>
      </c>
      <c r="G122" s="4">
        <f t="shared" si="11"/>
        <v>0</v>
      </c>
    </row>
  </sheetData>
  <autoFilter ref="A6:G96" xr:uid="{00000000-0009-0000-0000-000000000000}">
    <sortState xmlns:xlrd2="http://schemas.microsoft.com/office/spreadsheetml/2017/richdata2" ref="A7:G82">
      <sortCondition ref="A6"/>
    </sortState>
  </autoFilter>
  <mergeCells count="5">
    <mergeCell ref="A1:G1"/>
    <mergeCell ref="A3:G3"/>
    <mergeCell ref="A4:A5"/>
    <mergeCell ref="B4:D4"/>
    <mergeCell ref="E4:G4"/>
  </mergeCells>
  <phoneticPr fontId="1" type="noConversion"/>
  <conditionalFormatting sqref="E7:F95 E105:F122">
    <cfRule type="cellIs" dxfId="17" priority="2" operator="lessThan">
      <formula>35</formula>
    </cfRule>
  </conditionalFormatting>
  <conditionalFormatting sqref="E70:F70">
    <cfRule type="cellIs" dxfId="16" priority="3" operator="lessThan">
      <formula>40</formula>
    </cfRule>
    <cfRule type="cellIs" dxfId="15" priority="4" operator="lessThan">
      <formula>40</formula>
    </cfRule>
  </conditionalFormatting>
  <conditionalFormatting sqref="G7:G95 G105:G122">
    <cfRule type="cellIs" dxfId="14" priority="1" operator="lessThan">
      <formula>85</formula>
    </cfRule>
  </conditionalFormatting>
  <conditionalFormatting sqref="G70">
    <cfRule type="cellIs" dxfId="13" priority="5" operator="lessThan">
      <formula>85</formula>
    </cfRule>
    <cfRule type="cellIs" dxfId="12" priority="6" operator="lessThan">
      <formula>85</formula>
    </cfRule>
  </conditionalFormatting>
  <printOptions horizontalCentered="1"/>
  <pageMargins left="0.19685039370078741" right="0.19685039370078741" top="0.78740157480314965" bottom="0.59055118110236227" header="0.31496062992125984" footer="0.31496062992125984"/>
  <pageSetup paperSize="9" scale="87" fitToHeight="7" orientation="portrait" r:id="rId1"/>
  <headerFooter>
    <oddHeader>&amp;R&amp;P/&amp;N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29"/>
  <sheetViews>
    <sheetView zoomScale="90" zoomScaleNormal="90" workbookViewId="0">
      <pane xSplit="1" ySplit="5" topLeftCell="B138" activePane="bottomRight" state="frozen"/>
      <selection pane="topRight" activeCell="B1" sqref="B1"/>
      <selection pane="bottomLeft" activeCell="A6" sqref="A6"/>
      <selection pane="bottomRight" activeCell="M111" sqref="M111"/>
    </sheetView>
  </sheetViews>
  <sheetFormatPr defaultColWidth="9" defaultRowHeight="16.5"/>
  <cols>
    <col min="1" max="7" width="12.625" style="1" customWidth="1"/>
    <col min="8" max="18" width="9" style="1"/>
    <col min="19" max="19" width="11.75" style="1" customWidth="1"/>
    <col min="20" max="16384" width="9" style="1"/>
  </cols>
  <sheetData>
    <row r="1" spans="1:12" ht="37.5" customHeight="1">
      <c r="A1" s="129" t="s">
        <v>16</v>
      </c>
      <c r="B1" s="130"/>
      <c r="C1" s="130"/>
      <c r="D1" s="130"/>
      <c r="E1" s="130"/>
      <c r="F1" s="130"/>
      <c r="G1" s="130"/>
    </row>
    <row r="2" spans="1:12" ht="6" customHeight="1"/>
    <row r="3" spans="1:12" ht="27.75" customHeight="1">
      <c r="A3" s="131" t="s">
        <v>17</v>
      </c>
      <c r="B3" s="131"/>
      <c r="C3" s="131"/>
      <c r="D3" s="131"/>
      <c r="E3" s="131"/>
      <c r="F3" s="131"/>
      <c r="G3" s="131"/>
    </row>
    <row r="4" spans="1:12" ht="34.5" customHeight="1">
      <c r="A4" s="132" t="s">
        <v>18</v>
      </c>
      <c r="B4" s="134" t="s">
        <v>19</v>
      </c>
      <c r="C4" s="134"/>
      <c r="D4" s="134"/>
      <c r="E4" s="134" t="s">
        <v>20</v>
      </c>
      <c r="F4" s="134"/>
      <c r="G4" s="134"/>
    </row>
    <row r="5" spans="1:12" ht="34.5" customHeight="1">
      <c r="A5" s="133"/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12" ht="6" customHeight="1">
      <c r="A6" s="3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</row>
    <row r="7" spans="1:12" ht="17.100000000000001" customHeight="1">
      <c r="A7" s="5" t="s">
        <v>27</v>
      </c>
      <c r="B7" s="11">
        <v>13</v>
      </c>
      <c r="C7" s="11">
        <v>13</v>
      </c>
      <c r="D7" s="11">
        <v>13</v>
      </c>
      <c r="E7" s="4">
        <f t="shared" ref="E7:E68" si="0">C7/B7*50</f>
        <v>50</v>
      </c>
      <c r="F7" s="4">
        <f t="shared" ref="F7:F68" si="1">D7/B7*50</f>
        <v>50</v>
      </c>
      <c r="G7" s="4">
        <f t="shared" ref="G7:G68" si="2">SUM(E7:F7)</f>
        <v>100</v>
      </c>
      <c r="H7" s="19" t="s">
        <v>112</v>
      </c>
    </row>
    <row r="8" spans="1:12" ht="17.100000000000001" customHeight="1">
      <c r="A8" s="5" t="s">
        <v>92</v>
      </c>
      <c r="B8" s="11">
        <v>51</v>
      </c>
      <c r="C8" s="11">
        <v>46</v>
      </c>
      <c r="D8" s="11">
        <v>46</v>
      </c>
      <c r="E8" s="4">
        <f t="shared" si="0"/>
        <v>45.098039215686278</v>
      </c>
      <c r="F8" s="4">
        <f t="shared" si="1"/>
        <v>45.098039215686278</v>
      </c>
      <c r="G8" s="4">
        <f t="shared" si="2"/>
        <v>90.196078431372555</v>
      </c>
      <c r="J8" s="1">
        <v>5</v>
      </c>
    </row>
    <row r="9" spans="1:12" ht="17.100000000000001" customHeight="1">
      <c r="A9" s="5" t="s">
        <v>57</v>
      </c>
      <c r="B9" s="11">
        <v>46</v>
      </c>
      <c r="C9" s="11">
        <v>46</v>
      </c>
      <c r="D9" s="11">
        <v>46</v>
      </c>
      <c r="E9" s="4">
        <f t="shared" si="0"/>
        <v>50</v>
      </c>
      <c r="F9" s="4">
        <f t="shared" si="1"/>
        <v>50</v>
      </c>
      <c r="G9" s="4">
        <f t="shared" si="2"/>
        <v>100</v>
      </c>
    </row>
    <row r="10" spans="1:12" ht="17.100000000000001" customHeight="1">
      <c r="A10" s="15" t="s">
        <v>104</v>
      </c>
      <c r="B10" s="11">
        <v>2</v>
      </c>
      <c r="C10" s="11">
        <v>2</v>
      </c>
      <c r="D10" s="11">
        <v>2</v>
      </c>
      <c r="E10" s="4">
        <f t="shared" si="0"/>
        <v>50</v>
      </c>
      <c r="F10" s="4">
        <f t="shared" si="1"/>
        <v>50</v>
      </c>
      <c r="G10" s="4">
        <f t="shared" si="2"/>
        <v>100</v>
      </c>
      <c r="H10" s="19" t="s">
        <v>112</v>
      </c>
      <c r="L10" s="19"/>
    </row>
    <row r="11" spans="1:12" ht="17.100000000000001" customHeight="1">
      <c r="A11" s="5" t="s">
        <v>5</v>
      </c>
      <c r="B11" s="11">
        <v>37</v>
      </c>
      <c r="C11" s="11">
        <v>37</v>
      </c>
      <c r="D11" s="11">
        <v>37</v>
      </c>
      <c r="E11" s="4">
        <f t="shared" si="0"/>
        <v>50</v>
      </c>
      <c r="F11" s="4">
        <f t="shared" si="1"/>
        <v>50</v>
      </c>
      <c r="G11" s="4">
        <f t="shared" si="2"/>
        <v>100</v>
      </c>
      <c r="L11" s="19"/>
    </row>
    <row r="12" spans="1:12" ht="17.100000000000001" customHeight="1">
      <c r="A12" s="5" t="s">
        <v>58</v>
      </c>
      <c r="B12" s="11">
        <v>23</v>
      </c>
      <c r="C12" s="11">
        <v>23</v>
      </c>
      <c r="D12" s="11">
        <v>23</v>
      </c>
      <c r="E12" s="4">
        <f t="shared" si="0"/>
        <v>50</v>
      </c>
      <c r="F12" s="4">
        <f t="shared" si="1"/>
        <v>50</v>
      </c>
      <c r="G12" s="4">
        <f t="shared" si="2"/>
        <v>100</v>
      </c>
      <c r="L12" s="19"/>
    </row>
    <row r="13" spans="1:12" ht="17.100000000000001" customHeight="1">
      <c r="A13" s="5" t="s">
        <v>122</v>
      </c>
      <c r="B13" s="11">
        <v>2</v>
      </c>
      <c r="C13" s="11">
        <v>2</v>
      </c>
      <c r="D13" s="11">
        <v>2</v>
      </c>
      <c r="E13" s="4">
        <f t="shared" si="0"/>
        <v>50</v>
      </c>
      <c r="F13" s="4">
        <f t="shared" si="1"/>
        <v>50</v>
      </c>
      <c r="G13" s="4">
        <f t="shared" si="2"/>
        <v>100</v>
      </c>
      <c r="L13" s="19"/>
    </row>
    <row r="14" spans="1:12" ht="17.100000000000001" customHeight="1">
      <c r="A14" s="5" t="s">
        <v>4</v>
      </c>
      <c r="B14" s="11">
        <v>16</v>
      </c>
      <c r="C14" s="11">
        <v>16</v>
      </c>
      <c r="D14" s="11">
        <v>16</v>
      </c>
      <c r="E14" s="4">
        <f t="shared" si="0"/>
        <v>50</v>
      </c>
      <c r="F14" s="4">
        <f t="shared" si="1"/>
        <v>50</v>
      </c>
      <c r="G14" s="4">
        <f t="shared" si="2"/>
        <v>100</v>
      </c>
      <c r="L14" s="19"/>
    </row>
    <row r="15" spans="1:12" ht="17.100000000000001" customHeight="1">
      <c r="A15" s="5" t="s">
        <v>29</v>
      </c>
      <c r="B15" s="11">
        <v>10</v>
      </c>
      <c r="C15" s="11">
        <v>8</v>
      </c>
      <c r="D15" s="11">
        <v>9</v>
      </c>
      <c r="E15" s="4">
        <f t="shared" si="0"/>
        <v>40</v>
      </c>
      <c r="F15" s="4">
        <f t="shared" si="1"/>
        <v>45</v>
      </c>
      <c r="G15" s="4">
        <f t="shared" si="2"/>
        <v>85</v>
      </c>
      <c r="J15" s="1">
        <v>1</v>
      </c>
    </row>
    <row r="16" spans="1:12" ht="17.100000000000001" customHeight="1">
      <c r="A16" s="5" t="s">
        <v>15</v>
      </c>
      <c r="B16" s="11">
        <v>9</v>
      </c>
      <c r="C16" s="11">
        <v>7</v>
      </c>
      <c r="D16" s="11">
        <v>7</v>
      </c>
      <c r="E16" s="4">
        <f t="shared" si="0"/>
        <v>38.888888888888893</v>
      </c>
      <c r="F16" s="4">
        <f t="shared" si="1"/>
        <v>38.888888888888893</v>
      </c>
      <c r="G16" s="4">
        <f t="shared" si="2"/>
        <v>77.777777777777786</v>
      </c>
      <c r="J16" s="1">
        <v>2</v>
      </c>
    </row>
    <row r="17" spans="1:10" ht="17.100000000000001" customHeight="1">
      <c r="A17" s="5" t="s">
        <v>59</v>
      </c>
      <c r="B17" s="11">
        <v>10</v>
      </c>
      <c r="C17" s="11">
        <v>10</v>
      </c>
      <c r="D17" s="11">
        <v>10</v>
      </c>
      <c r="E17" s="4">
        <f t="shared" si="0"/>
        <v>50</v>
      </c>
      <c r="F17" s="4">
        <f t="shared" si="1"/>
        <v>50</v>
      </c>
      <c r="G17" s="4">
        <f t="shared" si="2"/>
        <v>100</v>
      </c>
    </row>
    <row r="18" spans="1:10" ht="17.100000000000001" customHeight="1">
      <c r="A18" s="5" t="s">
        <v>13</v>
      </c>
      <c r="B18" s="11">
        <v>39</v>
      </c>
      <c r="C18" s="11">
        <v>37</v>
      </c>
      <c r="D18" s="11">
        <v>37</v>
      </c>
      <c r="E18" s="4">
        <f t="shared" si="0"/>
        <v>47.435897435897431</v>
      </c>
      <c r="F18" s="4">
        <f t="shared" si="1"/>
        <v>47.435897435897431</v>
      </c>
      <c r="G18" s="4">
        <f t="shared" si="2"/>
        <v>94.871794871794862</v>
      </c>
      <c r="J18" s="1">
        <v>2</v>
      </c>
    </row>
    <row r="19" spans="1:10" ht="17.100000000000001" customHeight="1">
      <c r="A19" s="5" t="s">
        <v>60</v>
      </c>
      <c r="B19" s="11">
        <v>15</v>
      </c>
      <c r="C19" s="11">
        <v>15</v>
      </c>
      <c r="D19" s="11">
        <v>15</v>
      </c>
      <c r="E19" s="4">
        <f t="shared" si="0"/>
        <v>50</v>
      </c>
      <c r="F19" s="4">
        <f t="shared" si="1"/>
        <v>50</v>
      </c>
      <c r="G19" s="4">
        <f t="shared" si="2"/>
        <v>100</v>
      </c>
    </row>
    <row r="20" spans="1:10" ht="17.100000000000001" customHeight="1">
      <c r="A20" s="5" t="s">
        <v>3</v>
      </c>
      <c r="B20" s="11">
        <v>5</v>
      </c>
      <c r="C20" s="11">
        <v>5</v>
      </c>
      <c r="D20" s="11">
        <v>5</v>
      </c>
      <c r="E20" s="4">
        <f t="shared" si="0"/>
        <v>50</v>
      </c>
      <c r="F20" s="4">
        <f t="shared" si="1"/>
        <v>50</v>
      </c>
      <c r="G20" s="4">
        <f t="shared" si="2"/>
        <v>100</v>
      </c>
    </row>
    <row r="21" spans="1:10" ht="17.100000000000001" customHeight="1">
      <c r="A21" s="5" t="s">
        <v>8</v>
      </c>
      <c r="B21" s="11">
        <v>13</v>
      </c>
      <c r="C21" s="11">
        <v>13</v>
      </c>
      <c r="D21" s="11">
        <v>13</v>
      </c>
      <c r="E21" s="4">
        <f t="shared" si="0"/>
        <v>50</v>
      </c>
      <c r="F21" s="4">
        <f t="shared" si="1"/>
        <v>50</v>
      </c>
      <c r="G21" s="4">
        <f t="shared" si="2"/>
        <v>100</v>
      </c>
    </row>
    <row r="22" spans="1:10" ht="17.100000000000001" customHeight="1">
      <c r="A22" s="5" t="s">
        <v>86</v>
      </c>
      <c r="B22" s="11">
        <v>5</v>
      </c>
      <c r="C22" s="11">
        <v>5</v>
      </c>
      <c r="D22" s="11">
        <v>5</v>
      </c>
      <c r="E22" s="4">
        <f t="shared" si="0"/>
        <v>50</v>
      </c>
      <c r="F22" s="4">
        <f t="shared" si="1"/>
        <v>50</v>
      </c>
      <c r="G22" s="4">
        <f t="shared" si="2"/>
        <v>100</v>
      </c>
    </row>
    <row r="23" spans="1:10" ht="17.100000000000001" customHeight="1">
      <c r="A23" s="5" t="s">
        <v>14</v>
      </c>
      <c r="B23" s="11">
        <v>10</v>
      </c>
      <c r="C23" s="23">
        <v>6</v>
      </c>
      <c r="D23" s="11">
        <v>8</v>
      </c>
      <c r="E23" s="4">
        <f t="shared" si="0"/>
        <v>30</v>
      </c>
      <c r="F23" s="4">
        <f t="shared" si="1"/>
        <v>40</v>
      </c>
      <c r="G23" s="4">
        <f t="shared" si="2"/>
        <v>70</v>
      </c>
      <c r="J23" s="1">
        <v>2</v>
      </c>
    </row>
    <row r="24" spans="1:10" ht="17.100000000000001" customHeight="1">
      <c r="A24" s="5" t="s">
        <v>91</v>
      </c>
      <c r="B24" s="11">
        <v>2</v>
      </c>
      <c r="C24" s="11">
        <v>2</v>
      </c>
      <c r="D24" s="11">
        <v>2</v>
      </c>
      <c r="E24" s="4">
        <f t="shared" si="0"/>
        <v>50</v>
      </c>
      <c r="F24" s="4">
        <f t="shared" si="1"/>
        <v>50</v>
      </c>
      <c r="G24" s="4">
        <f t="shared" si="2"/>
        <v>100</v>
      </c>
    </row>
    <row r="25" spans="1:10" ht="17.100000000000001" customHeight="1">
      <c r="A25" s="5" t="s">
        <v>84</v>
      </c>
      <c r="B25" s="11">
        <v>4</v>
      </c>
      <c r="C25" s="11">
        <v>4</v>
      </c>
      <c r="D25" s="11">
        <v>4</v>
      </c>
      <c r="E25" s="4">
        <f t="shared" si="0"/>
        <v>50</v>
      </c>
      <c r="F25" s="4">
        <f t="shared" si="1"/>
        <v>50</v>
      </c>
      <c r="G25" s="4">
        <f t="shared" si="2"/>
        <v>100</v>
      </c>
    </row>
    <row r="26" spans="1:10" ht="17.100000000000001" customHeight="1">
      <c r="A26" s="5" t="s">
        <v>93</v>
      </c>
      <c r="B26" s="11">
        <v>6</v>
      </c>
      <c r="C26" s="11">
        <v>6</v>
      </c>
      <c r="D26" s="11">
        <v>6</v>
      </c>
      <c r="E26" s="4">
        <f t="shared" si="0"/>
        <v>50</v>
      </c>
      <c r="F26" s="4">
        <f t="shared" si="1"/>
        <v>50</v>
      </c>
      <c r="G26" s="4">
        <f t="shared" si="2"/>
        <v>100</v>
      </c>
    </row>
    <row r="27" spans="1:10" ht="17.100000000000001" customHeight="1">
      <c r="A27" s="5" t="s">
        <v>30</v>
      </c>
      <c r="B27" s="11">
        <v>4</v>
      </c>
      <c r="C27" s="11">
        <v>4</v>
      </c>
      <c r="D27" s="11">
        <v>4</v>
      </c>
      <c r="E27" s="4">
        <f t="shared" si="0"/>
        <v>50</v>
      </c>
      <c r="F27" s="4">
        <f t="shared" si="1"/>
        <v>50</v>
      </c>
      <c r="G27" s="4">
        <f t="shared" si="2"/>
        <v>100</v>
      </c>
    </row>
    <row r="28" spans="1:10" ht="17.100000000000001" customHeight="1">
      <c r="A28" s="5" t="s">
        <v>32</v>
      </c>
      <c r="B28" s="11">
        <v>20</v>
      </c>
      <c r="C28" s="11">
        <v>20</v>
      </c>
      <c r="D28" s="11">
        <v>20</v>
      </c>
      <c r="E28" s="4">
        <f t="shared" si="0"/>
        <v>50</v>
      </c>
      <c r="F28" s="4">
        <f t="shared" si="1"/>
        <v>50</v>
      </c>
      <c r="G28" s="4">
        <f t="shared" si="2"/>
        <v>100</v>
      </c>
    </row>
    <row r="29" spans="1:10" ht="17.100000000000001" customHeight="1">
      <c r="A29" s="5" t="s">
        <v>61</v>
      </c>
      <c r="B29" s="11">
        <v>19</v>
      </c>
      <c r="C29" s="11">
        <v>18</v>
      </c>
      <c r="D29" s="11">
        <v>18</v>
      </c>
      <c r="E29" s="4">
        <f t="shared" si="0"/>
        <v>47.368421052631575</v>
      </c>
      <c r="F29" s="4">
        <f t="shared" si="1"/>
        <v>47.368421052631575</v>
      </c>
      <c r="G29" s="4">
        <f t="shared" si="2"/>
        <v>94.73684210526315</v>
      </c>
      <c r="J29" s="1">
        <v>1</v>
      </c>
    </row>
    <row r="30" spans="1:10" ht="17.100000000000001" customHeight="1">
      <c r="A30" s="5" t="s">
        <v>33</v>
      </c>
      <c r="B30" s="11">
        <v>8</v>
      </c>
      <c r="C30" s="11">
        <v>8</v>
      </c>
      <c r="D30" s="11">
        <v>8</v>
      </c>
      <c r="E30" s="4">
        <f t="shared" si="0"/>
        <v>50</v>
      </c>
      <c r="F30" s="4">
        <f t="shared" si="1"/>
        <v>50</v>
      </c>
      <c r="G30" s="4">
        <f t="shared" si="2"/>
        <v>100</v>
      </c>
      <c r="H30" s="19" t="s">
        <v>112</v>
      </c>
    </row>
    <row r="31" spans="1:10" ht="17.100000000000001" customHeight="1">
      <c r="A31" s="5" t="s">
        <v>34</v>
      </c>
      <c r="B31" s="11">
        <v>10</v>
      </c>
      <c r="C31" s="11">
        <v>10</v>
      </c>
      <c r="D31" s="11">
        <v>10</v>
      </c>
      <c r="E31" s="4">
        <f t="shared" si="0"/>
        <v>50</v>
      </c>
      <c r="F31" s="4">
        <f t="shared" si="1"/>
        <v>50</v>
      </c>
      <c r="G31" s="4">
        <f t="shared" si="2"/>
        <v>100</v>
      </c>
    </row>
    <row r="32" spans="1:10" ht="17.100000000000001" customHeight="1">
      <c r="A32" s="16" t="s">
        <v>53</v>
      </c>
      <c r="B32" s="11">
        <v>5</v>
      </c>
      <c r="C32" s="11">
        <v>5</v>
      </c>
      <c r="D32" s="11">
        <v>5</v>
      </c>
      <c r="E32" s="4">
        <f t="shared" si="0"/>
        <v>50</v>
      </c>
      <c r="F32" s="4">
        <f t="shared" si="1"/>
        <v>50</v>
      </c>
      <c r="G32" s="4">
        <f t="shared" si="2"/>
        <v>100</v>
      </c>
    </row>
    <row r="33" spans="1:10" ht="17.100000000000001" customHeight="1">
      <c r="A33" s="5" t="s">
        <v>35</v>
      </c>
      <c r="B33" s="11">
        <v>22</v>
      </c>
      <c r="C33" s="11">
        <v>20</v>
      </c>
      <c r="D33" s="11">
        <v>20</v>
      </c>
      <c r="E33" s="4">
        <f t="shared" si="0"/>
        <v>45.454545454545453</v>
      </c>
      <c r="F33" s="4">
        <f t="shared" si="1"/>
        <v>45.454545454545453</v>
      </c>
      <c r="G33" s="4">
        <f t="shared" si="2"/>
        <v>90.909090909090907</v>
      </c>
      <c r="H33" s="19" t="s">
        <v>149</v>
      </c>
      <c r="J33" s="1">
        <v>2</v>
      </c>
    </row>
    <row r="34" spans="1:10" ht="17.100000000000001" customHeight="1">
      <c r="A34" s="5" t="s">
        <v>83</v>
      </c>
      <c r="B34" s="11">
        <v>3</v>
      </c>
      <c r="C34" s="11">
        <v>3</v>
      </c>
      <c r="D34" s="11">
        <v>3</v>
      </c>
      <c r="E34" s="4">
        <f t="shared" si="0"/>
        <v>50</v>
      </c>
      <c r="F34" s="4">
        <f t="shared" si="1"/>
        <v>50</v>
      </c>
      <c r="G34" s="4">
        <f t="shared" si="2"/>
        <v>100</v>
      </c>
    </row>
    <row r="35" spans="1:10" ht="17.100000000000001" customHeight="1">
      <c r="A35" s="5" t="s">
        <v>36</v>
      </c>
      <c r="B35" s="11">
        <v>6</v>
      </c>
      <c r="C35" s="11">
        <v>6</v>
      </c>
      <c r="D35" s="11">
        <v>6</v>
      </c>
      <c r="E35" s="4">
        <f t="shared" si="0"/>
        <v>50</v>
      </c>
      <c r="F35" s="4">
        <f t="shared" si="1"/>
        <v>50</v>
      </c>
      <c r="G35" s="4">
        <f t="shared" si="2"/>
        <v>100</v>
      </c>
    </row>
    <row r="36" spans="1:10" ht="17.100000000000001" customHeight="1">
      <c r="A36" s="5" t="s">
        <v>37</v>
      </c>
      <c r="B36" s="11">
        <v>10</v>
      </c>
      <c r="C36" s="11">
        <v>10</v>
      </c>
      <c r="D36" s="11">
        <v>10</v>
      </c>
      <c r="E36" s="4">
        <f t="shared" si="0"/>
        <v>50</v>
      </c>
      <c r="F36" s="4">
        <f t="shared" si="1"/>
        <v>50</v>
      </c>
      <c r="G36" s="4">
        <f t="shared" si="2"/>
        <v>100</v>
      </c>
      <c r="H36" s="19" t="s">
        <v>112</v>
      </c>
    </row>
    <row r="37" spans="1:10" ht="17.100000000000001" customHeight="1">
      <c r="A37" s="5" t="s">
        <v>82</v>
      </c>
      <c r="B37" s="11">
        <v>24</v>
      </c>
      <c r="C37" s="11">
        <v>24</v>
      </c>
      <c r="D37" s="11">
        <v>24</v>
      </c>
      <c r="E37" s="4">
        <f t="shared" si="0"/>
        <v>50</v>
      </c>
      <c r="F37" s="4">
        <f t="shared" si="1"/>
        <v>50</v>
      </c>
      <c r="G37" s="4">
        <f t="shared" si="2"/>
        <v>100</v>
      </c>
      <c r="H37" s="19" t="s">
        <v>112</v>
      </c>
    </row>
    <row r="38" spans="1:10" ht="17.100000000000001" customHeight="1">
      <c r="A38" s="5" t="s">
        <v>39</v>
      </c>
      <c r="B38" s="11">
        <v>23</v>
      </c>
      <c r="C38" s="11">
        <v>20</v>
      </c>
      <c r="D38" s="11">
        <v>23</v>
      </c>
      <c r="E38" s="4">
        <f t="shared" si="0"/>
        <v>43.478260869565219</v>
      </c>
      <c r="F38" s="4">
        <f t="shared" si="1"/>
        <v>50</v>
      </c>
      <c r="G38" s="4">
        <f t="shared" si="2"/>
        <v>93.478260869565219</v>
      </c>
    </row>
    <row r="39" spans="1:10" ht="17.100000000000001" customHeight="1">
      <c r="A39" s="5" t="s">
        <v>81</v>
      </c>
      <c r="B39" s="11">
        <v>14</v>
      </c>
      <c r="C39" s="11">
        <v>14</v>
      </c>
      <c r="D39" s="11">
        <v>14</v>
      </c>
      <c r="E39" s="4">
        <f t="shared" si="0"/>
        <v>50</v>
      </c>
      <c r="F39" s="4">
        <f t="shared" si="1"/>
        <v>50</v>
      </c>
      <c r="G39" s="4">
        <f t="shared" si="2"/>
        <v>100</v>
      </c>
    </row>
    <row r="40" spans="1:10" ht="17.100000000000001" customHeight="1">
      <c r="A40" s="17" t="s">
        <v>31</v>
      </c>
      <c r="B40" s="11">
        <v>23</v>
      </c>
      <c r="C40" s="11">
        <v>23</v>
      </c>
      <c r="D40" s="11">
        <v>23</v>
      </c>
      <c r="E40" s="4">
        <f t="shared" si="0"/>
        <v>50</v>
      </c>
      <c r="F40" s="4">
        <f t="shared" si="1"/>
        <v>50</v>
      </c>
      <c r="G40" s="4">
        <f t="shared" si="2"/>
        <v>100</v>
      </c>
      <c r="H40" s="19" t="s">
        <v>112</v>
      </c>
    </row>
    <row r="41" spans="1:10" ht="17.100000000000001" customHeight="1">
      <c r="A41" s="5" t="s">
        <v>10</v>
      </c>
      <c r="B41" s="11">
        <v>53</v>
      </c>
      <c r="C41" s="23">
        <v>33</v>
      </c>
      <c r="D41" s="11">
        <v>51</v>
      </c>
      <c r="E41" s="4">
        <f t="shared" si="0"/>
        <v>31.132075471698112</v>
      </c>
      <c r="F41" s="4">
        <f t="shared" si="1"/>
        <v>48.113207547169814</v>
      </c>
      <c r="G41" s="4">
        <f t="shared" si="2"/>
        <v>79.245283018867923</v>
      </c>
      <c r="J41" s="1">
        <v>2</v>
      </c>
    </row>
    <row r="42" spans="1:10" ht="17.100000000000001" customHeight="1">
      <c r="A42" s="5" t="s">
        <v>40</v>
      </c>
      <c r="B42" s="11">
        <v>11</v>
      </c>
      <c r="C42" s="11">
        <v>11</v>
      </c>
      <c r="D42" s="11">
        <v>11</v>
      </c>
      <c r="E42" s="4">
        <f t="shared" si="0"/>
        <v>50</v>
      </c>
      <c r="F42" s="4">
        <f t="shared" si="1"/>
        <v>50</v>
      </c>
      <c r="G42" s="4">
        <f t="shared" si="2"/>
        <v>100</v>
      </c>
      <c r="H42" s="19" t="s">
        <v>112</v>
      </c>
    </row>
    <row r="43" spans="1:10" ht="17.100000000000001" customHeight="1">
      <c r="A43" s="5" t="s">
        <v>62</v>
      </c>
      <c r="B43" s="11">
        <v>8</v>
      </c>
      <c r="C43" s="11">
        <v>8</v>
      </c>
      <c r="D43" s="11">
        <v>8</v>
      </c>
      <c r="E43" s="4">
        <f t="shared" si="0"/>
        <v>50</v>
      </c>
      <c r="F43" s="4">
        <f t="shared" si="1"/>
        <v>50</v>
      </c>
      <c r="G43" s="4">
        <f t="shared" si="2"/>
        <v>100</v>
      </c>
    </row>
    <row r="44" spans="1:10" ht="17.100000000000001" customHeight="1">
      <c r="A44" s="5" t="s">
        <v>63</v>
      </c>
      <c r="B44" s="11">
        <v>4</v>
      </c>
      <c r="C44" s="11">
        <v>4</v>
      </c>
      <c r="D44" s="11">
        <v>4</v>
      </c>
      <c r="E44" s="4">
        <f t="shared" si="0"/>
        <v>50</v>
      </c>
      <c r="F44" s="4">
        <f t="shared" si="1"/>
        <v>50</v>
      </c>
      <c r="G44" s="4">
        <f t="shared" si="2"/>
        <v>100</v>
      </c>
    </row>
    <row r="45" spans="1:10" ht="17.100000000000001" customHeight="1">
      <c r="A45" s="5" t="s">
        <v>116</v>
      </c>
      <c r="B45" s="11">
        <v>14</v>
      </c>
      <c r="C45" s="11">
        <v>14</v>
      </c>
      <c r="D45" s="11">
        <v>14</v>
      </c>
      <c r="E45" s="4">
        <f t="shared" si="0"/>
        <v>50</v>
      </c>
      <c r="F45" s="4">
        <f t="shared" si="1"/>
        <v>50</v>
      </c>
      <c r="G45" s="4">
        <f t="shared" si="2"/>
        <v>100</v>
      </c>
    </row>
    <row r="46" spans="1:10" ht="17.100000000000001" customHeight="1">
      <c r="A46" s="5" t="s">
        <v>41</v>
      </c>
      <c r="B46" s="11">
        <v>25</v>
      </c>
      <c r="C46" s="11">
        <v>22</v>
      </c>
      <c r="D46" s="11">
        <v>22</v>
      </c>
      <c r="E46" s="4">
        <f t="shared" si="0"/>
        <v>44</v>
      </c>
      <c r="F46" s="4">
        <f t="shared" si="1"/>
        <v>44</v>
      </c>
      <c r="G46" s="4">
        <f t="shared" si="2"/>
        <v>88</v>
      </c>
      <c r="J46" s="1">
        <v>3</v>
      </c>
    </row>
    <row r="47" spans="1:10" ht="17.100000000000001" customHeight="1">
      <c r="A47" s="5" t="s">
        <v>64</v>
      </c>
      <c r="B47" s="11">
        <v>12</v>
      </c>
      <c r="C47" s="11">
        <v>10</v>
      </c>
      <c r="D47" s="11">
        <v>12</v>
      </c>
      <c r="E47" s="4">
        <f t="shared" si="0"/>
        <v>41.666666666666671</v>
      </c>
      <c r="F47" s="4">
        <f t="shared" si="1"/>
        <v>50</v>
      </c>
      <c r="G47" s="4">
        <f t="shared" si="2"/>
        <v>91.666666666666671</v>
      </c>
    </row>
    <row r="48" spans="1:10" ht="17.100000000000001" customHeight="1">
      <c r="A48" s="5" t="s">
        <v>42</v>
      </c>
      <c r="B48" s="11">
        <v>20</v>
      </c>
      <c r="C48" s="11">
        <v>20</v>
      </c>
      <c r="D48" s="11">
        <v>20</v>
      </c>
      <c r="E48" s="4">
        <f t="shared" si="0"/>
        <v>50</v>
      </c>
      <c r="F48" s="4">
        <f t="shared" si="1"/>
        <v>50</v>
      </c>
      <c r="G48" s="4">
        <f t="shared" si="2"/>
        <v>100</v>
      </c>
      <c r="H48" s="19" t="s">
        <v>112</v>
      </c>
    </row>
    <row r="49" spans="1:10" ht="17.100000000000001" customHeight="1">
      <c r="A49" s="5" t="s">
        <v>123</v>
      </c>
      <c r="B49" s="11">
        <v>2</v>
      </c>
      <c r="C49" s="11">
        <v>2</v>
      </c>
      <c r="D49" s="11">
        <v>2</v>
      </c>
      <c r="E49" s="4">
        <f t="shared" si="0"/>
        <v>50</v>
      </c>
      <c r="F49" s="4">
        <f t="shared" si="1"/>
        <v>50</v>
      </c>
      <c r="G49" s="4">
        <f t="shared" si="2"/>
        <v>100</v>
      </c>
    </row>
    <row r="50" spans="1:10" ht="17.100000000000001" customHeight="1">
      <c r="A50" s="5" t="s">
        <v>120</v>
      </c>
      <c r="B50" s="11">
        <v>21</v>
      </c>
      <c r="C50" s="11">
        <v>18</v>
      </c>
      <c r="D50" s="11">
        <v>18</v>
      </c>
      <c r="E50" s="4">
        <f t="shared" si="0"/>
        <v>42.857142857142854</v>
      </c>
      <c r="F50" s="4">
        <f t="shared" si="1"/>
        <v>42.857142857142854</v>
      </c>
      <c r="G50" s="4">
        <f t="shared" si="2"/>
        <v>85.714285714285708</v>
      </c>
      <c r="J50" s="1">
        <v>3</v>
      </c>
    </row>
    <row r="51" spans="1:10" ht="17.100000000000001" customHeight="1">
      <c r="A51" s="5" t="s">
        <v>87</v>
      </c>
      <c r="B51" s="11">
        <v>19</v>
      </c>
      <c r="C51" s="11">
        <v>18</v>
      </c>
      <c r="D51" s="11">
        <v>18</v>
      </c>
      <c r="E51" s="4">
        <f t="shared" si="0"/>
        <v>47.368421052631575</v>
      </c>
      <c r="F51" s="4">
        <f t="shared" si="1"/>
        <v>47.368421052631575</v>
      </c>
      <c r="G51" s="4">
        <f t="shared" si="2"/>
        <v>94.73684210526315</v>
      </c>
      <c r="J51" s="1">
        <v>1</v>
      </c>
    </row>
    <row r="52" spans="1:10" ht="17.100000000000001" customHeight="1">
      <c r="A52" s="5" t="s">
        <v>43</v>
      </c>
      <c r="B52" s="11">
        <v>10</v>
      </c>
      <c r="C52" s="11">
        <v>10</v>
      </c>
      <c r="D52" s="11">
        <v>10</v>
      </c>
      <c r="E52" s="4">
        <f t="shared" si="0"/>
        <v>50</v>
      </c>
      <c r="F52" s="4">
        <f t="shared" si="1"/>
        <v>50</v>
      </c>
      <c r="G52" s="4">
        <f t="shared" si="2"/>
        <v>100</v>
      </c>
      <c r="H52" s="19" t="s">
        <v>112</v>
      </c>
    </row>
    <row r="53" spans="1:10" ht="17.100000000000001" customHeight="1">
      <c r="A53" s="5" t="s">
        <v>99</v>
      </c>
      <c r="B53" s="11">
        <v>7</v>
      </c>
      <c r="C53" s="11">
        <v>7</v>
      </c>
      <c r="D53" s="11">
        <v>7</v>
      </c>
      <c r="E53" s="4">
        <f t="shared" si="0"/>
        <v>50</v>
      </c>
      <c r="F53" s="4">
        <f t="shared" si="1"/>
        <v>50</v>
      </c>
      <c r="G53" s="4">
        <f t="shared" si="2"/>
        <v>100</v>
      </c>
    </row>
    <row r="54" spans="1:10" ht="17.100000000000001" customHeight="1">
      <c r="A54" s="5" t="s">
        <v>44</v>
      </c>
      <c r="B54" s="11">
        <v>8</v>
      </c>
      <c r="C54" s="11">
        <v>8</v>
      </c>
      <c r="D54" s="11">
        <v>8</v>
      </c>
      <c r="E54" s="4">
        <f t="shared" si="0"/>
        <v>50</v>
      </c>
      <c r="F54" s="4">
        <f t="shared" si="1"/>
        <v>50</v>
      </c>
      <c r="G54" s="4">
        <f t="shared" si="2"/>
        <v>100</v>
      </c>
    </row>
    <row r="55" spans="1:10" ht="17.100000000000001" customHeight="1">
      <c r="A55" s="5" t="s">
        <v>45</v>
      </c>
      <c r="B55" s="11">
        <v>27</v>
      </c>
      <c r="C55" s="23">
        <v>23</v>
      </c>
      <c r="D55" s="11">
        <v>23</v>
      </c>
      <c r="E55" s="4">
        <f t="shared" si="0"/>
        <v>42.592592592592595</v>
      </c>
      <c r="F55" s="4">
        <f t="shared" si="1"/>
        <v>42.592592592592595</v>
      </c>
      <c r="G55" s="4">
        <f t="shared" si="2"/>
        <v>85.18518518518519</v>
      </c>
      <c r="J55" s="1">
        <v>4</v>
      </c>
    </row>
    <row r="56" spans="1:10" ht="17.100000000000001" customHeight="1">
      <c r="A56" s="5" t="s">
        <v>46</v>
      </c>
      <c r="B56" s="11">
        <v>42</v>
      </c>
      <c r="C56" s="11">
        <v>39</v>
      </c>
      <c r="D56" s="11">
        <v>39</v>
      </c>
      <c r="E56" s="4">
        <f t="shared" si="0"/>
        <v>46.428571428571431</v>
      </c>
      <c r="F56" s="4">
        <f t="shared" si="1"/>
        <v>46.428571428571431</v>
      </c>
      <c r="G56" s="4">
        <f t="shared" si="2"/>
        <v>92.857142857142861</v>
      </c>
      <c r="J56" s="1">
        <v>3</v>
      </c>
    </row>
    <row r="57" spans="1:10" ht="17.100000000000001" customHeight="1">
      <c r="A57" s="5" t="s">
        <v>124</v>
      </c>
      <c r="B57" s="11">
        <v>4</v>
      </c>
      <c r="C57" s="11">
        <v>4</v>
      </c>
      <c r="D57" s="11">
        <v>4</v>
      </c>
      <c r="E57" s="4">
        <f t="shared" si="0"/>
        <v>50</v>
      </c>
      <c r="F57" s="4">
        <f t="shared" si="1"/>
        <v>50</v>
      </c>
      <c r="G57" s="4">
        <f t="shared" si="2"/>
        <v>100</v>
      </c>
    </row>
    <row r="58" spans="1:10" ht="17.100000000000001" customHeight="1">
      <c r="A58" s="5" t="s">
        <v>125</v>
      </c>
      <c r="B58" s="11">
        <v>2</v>
      </c>
      <c r="C58" s="11">
        <v>2</v>
      </c>
      <c r="D58" s="11">
        <v>2</v>
      </c>
      <c r="E58" s="4">
        <f t="shared" si="0"/>
        <v>50</v>
      </c>
      <c r="F58" s="4">
        <f t="shared" si="1"/>
        <v>50</v>
      </c>
      <c r="G58" s="4">
        <f t="shared" si="2"/>
        <v>100</v>
      </c>
    </row>
    <row r="59" spans="1:10" ht="17.100000000000001" customHeight="1">
      <c r="A59" s="5" t="s">
        <v>47</v>
      </c>
      <c r="B59" s="11">
        <v>15</v>
      </c>
      <c r="C59" s="11">
        <v>11</v>
      </c>
      <c r="D59" s="11">
        <v>15</v>
      </c>
      <c r="E59" s="4">
        <f t="shared" si="0"/>
        <v>36.666666666666664</v>
      </c>
      <c r="F59" s="4">
        <f t="shared" si="1"/>
        <v>50</v>
      </c>
      <c r="G59" s="4">
        <f t="shared" si="2"/>
        <v>86.666666666666657</v>
      </c>
    </row>
    <row r="60" spans="1:10" ht="17.100000000000001" customHeight="1">
      <c r="A60" s="5" t="s">
        <v>48</v>
      </c>
      <c r="B60" s="11">
        <v>6</v>
      </c>
      <c r="C60" s="11">
        <v>6</v>
      </c>
      <c r="D60" s="11">
        <v>6</v>
      </c>
      <c r="E60" s="4">
        <f t="shared" si="0"/>
        <v>50</v>
      </c>
      <c r="F60" s="4">
        <f t="shared" si="1"/>
        <v>50</v>
      </c>
      <c r="G60" s="4">
        <f t="shared" si="2"/>
        <v>100</v>
      </c>
      <c r="H60" s="19" t="s">
        <v>112</v>
      </c>
    </row>
    <row r="61" spans="1:10" ht="17.100000000000001" customHeight="1">
      <c r="A61" s="5" t="s">
        <v>77</v>
      </c>
      <c r="B61" s="11">
        <v>3</v>
      </c>
      <c r="C61" s="11">
        <v>3</v>
      </c>
      <c r="D61" s="11">
        <v>3</v>
      </c>
      <c r="E61" s="4">
        <f t="shared" si="0"/>
        <v>50</v>
      </c>
      <c r="F61" s="4">
        <f t="shared" si="1"/>
        <v>50</v>
      </c>
      <c r="G61" s="4">
        <f t="shared" si="2"/>
        <v>100</v>
      </c>
      <c r="H61" s="19" t="s">
        <v>112</v>
      </c>
    </row>
    <row r="62" spans="1:10" ht="17.100000000000001" customHeight="1">
      <c r="A62" s="5" t="s">
        <v>0</v>
      </c>
      <c r="B62" s="11">
        <v>49</v>
      </c>
      <c r="C62" s="23">
        <v>30</v>
      </c>
      <c r="D62" s="11">
        <v>39</v>
      </c>
      <c r="E62" s="4">
        <f t="shared" si="0"/>
        <v>30.612244897959183</v>
      </c>
      <c r="F62" s="4">
        <f t="shared" si="1"/>
        <v>39.795918367346935</v>
      </c>
      <c r="G62" s="4">
        <f t="shared" si="2"/>
        <v>70.408163265306115</v>
      </c>
      <c r="J62" s="1">
        <v>10</v>
      </c>
    </row>
    <row r="63" spans="1:10" ht="17.100000000000001" customHeight="1">
      <c r="A63" s="5" t="s">
        <v>12</v>
      </c>
      <c r="B63" s="11">
        <v>66</v>
      </c>
      <c r="C63" s="11">
        <v>63</v>
      </c>
      <c r="D63" s="11">
        <v>64</v>
      </c>
      <c r="E63" s="4">
        <f t="shared" si="0"/>
        <v>47.727272727272727</v>
      </c>
      <c r="F63" s="4">
        <f t="shared" si="1"/>
        <v>48.484848484848484</v>
      </c>
      <c r="G63" s="4">
        <f t="shared" si="2"/>
        <v>96.212121212121218</v>
      </c>
      <c r="J63" s="1">
        <v>2</v>
      </c>
    </row>
    <row r="64" spans="1:10" ht="17.100000000000001" customHeight="1">
      <c r="A64" s="5" t="s">
        <v>65</v>
      </c>
      <c r="B64" s="11">
        <v>15</v>
      </c>
      <c r="C64" s="11">
        <v>15</v>
      </c>
      <c r="D64" s="11">
        <v>15</v>
      </c>
      <c r="E64" s="4">
        <f t="shared" si="0"/>
        <v>50</v>
      </c>
      <c r="F64" s="4">
        <f t="shared" si="1"/>
        <v>50</v>
      </c>
      <c r="G64" s="4">
        <f t="shared" si="2"/>
        <v>100</v>
      </c>
    </row>
    <row r="65" spans="1:10" ht="17.100000000000001" customHeight="1">
      <c r="A65" s="5" t="s">
        <v>49</v>
      </c>
      <c r="B65" s="11">
        <v>13</v>
      </c>
      <c r="C65" s="11">
        <v>13</v>
      </c>
      <c r="D65" s="11">
        <v>13</v>
      </c>
      <c r="E65" s="4">
        <f t="shared" si="0"/>
        <v>50</v>
      </c>
      <c r="F65" s="4">
        <f t="shared" si="1"/>
        <v>50</v>
      </c>
      <c r="G65" s="4">
        <f t="shared" si="2"/>
        <v>100</v>
      </c>
    </row>
    <row r="66" spans="1:10" ht="17.100000000000001" customHeight="1">
      <c r="A66" s="5" t="s">
        <v>76</v>
      </c>
      <c r="B66" s="11">
        <v>8</v>
      </c>
      <c r="C66" s="11">
        <v>8</v>
      </c>
      <c r="D66" s="11">
        <v>8</v>
      </c>
      <c r="E66" s="4">
        <f t="shared" si="0"/>
        <v>50</v>
      </c>
      <c r="F66" s="4">
        <f t="shared" si="1"/>
        <v>50</v>
      </c>
      <c r="G66" s="4">
        <f t="shared" si="2"/>
        <v>100</v>
      </c>
      <c r="H66" s="19" t="s">
        <v>112</v>
      </c>
    </row>
    <row r="67" spans="1:10" ht="17.100000000000001" customHeight="1">
      <c r="A67" s="5" t="s">
        <v>50</v>
      </c>
      <c r="B67" s="11">
        <v>5</v>
      </c>
      <c r="C67" s="11">
        <v>5</v>
      </c>
      <c r="D67" s="11">
        <v>5</v>
      </c>
      <c r="E67" s="4">
        <f t="shared" si="0"/>
        <v>50</v>
      </c>
      <c r="F67" s="4">
        <f t="shared" si="1"/>
        <v>50</v>
      </c>
      <c r="G67" s="4">
        <f t="shared" si="2"/>
        <v>100</v>
      </c>
    </row>
    <row r="68" spans="1:10" ht="17.100000000000001" customHeight="1">
      <c r="A68" s="5" t="s">
        <v>51</v>
      </c>
      <c r="B68" s="11">
        <v>17</v>
      </c>
      <c r="C68" s="11">
        <v>14</v>
      </c>
      <c r="D68" s="11">
        <v>15</v>
      </c>
      <c r="E68" s="4">
        <f t="shared" si="0"/>
        <v>41.17647058823529</v>
      </c>
      <c r="F68" s="4">
        <f t="shared" si="1"/>
        <v>44.117647058823529</v>
      </c>
      <c r="G68" s="4">
        <f t="shared" si="2"/>
        <v>85.294117647058812</v>
      </c>
      <c r="J68" s="1">
        <v>2</v>
      </c>
    </row>
    <row r="69" spans="1:10" ht="17.100000000000001" customHeight="1">
      <c r="A69" s="5" t="s">
        <v>126</v>
      </c>
      <c r="B69" s="11">
        <v>2</v>
      </c>
      <c r="C69" s="11">
        <v>2</v>
      </c>
      <c r="D69" s="11">
        <v>2</v>
      </c>
      <c r="E69" s="4">
        <f t="shared" ref="E69:E104" si="3">C69/B69*50</f>
        <v>50</v>
      </c>
      <c r="F69" s="4">
        <f t="shared" ref="F69:F104" si="4">D69/B69*50</f>
        <v>50</v>
      </c>
      <c r="G69" s="4">
        <f t="shared" ref="G69:G105" si="5">SUM(E69:F69)</f>
        <v>100</v>
      </c>
    </row>
    <row r="70" spans="1:10" ht="17.100000000000001" customHeight="1">
      <c r="A70" s="5" t="s">
        <v>66</v>
      </c>
      <c r="B70" s="11">
        <v>8</v>
      </c>
      <c r="C70" s="11">
        <v>8</v>
      </c>
      <c r="D70" s="11">
        <v>8</v>
      </c>
      <c r="E70" s="4">
        <f t="shared" si="3"/>
        <v>50</v>
      </c>
      <c r="F70" s="4">
        <f t="shared" si="4"/>
        <v>50</v>
      </c>
      <c r="G70" s="4">
        <f t="shared" si="5"/>
        <v>100</v>
      </c>
    </row>
    <row r="71" spans="1:10" ht="17.100000000000001" customHeight="1">
      <c r="A71" s="5" t="s">
        <v>52</v>
      </c>
      <c r="B71" s="11">
        <v>13</v>
      </c>
      <c r="C71" s="11">
        <v>12</v>
      </c>
      <c r="D71" s="11">
        <v>12</v>
      </c>
      <c r="E71" s="4">
        <f t="shared" si="3"/>
        <v>46.153846153846153</v>
      </c>
      <c r="F71" s="4">
        <f t="shared" si="4"/>
        <v>46.153846153846153</v>
      </c>
      <c r="G71" s="4">
        <f t="shared" si="5"/>
        <v>92.307692307692307</v>
      </c>
      <c r="J71" s="1">
        <v>1</v>
      </c>
    </row>
    <row r="72" spans="1:10" ht="17.100000000000001" customHeight="1">
      <c r="A72" s="5" t="s">
        <v>75</v>
      </c>
      <c r="B72" s="11">
        <v>3</v>
      </c>
      <c r="C72" s="11">
        <v>3</v>
      </c>
      <c r="D72" s="11">
        <v>3</v>
      </c>
      <c r="E72" s="4">
        <f t="shared" si="3"/>
        <v>50</v>
      </c>
      <c r="F72" s="4">
        <f t="shared" si="4"/>
        <v>50</v>
      </c>
      <c r="G72" s="4">
        <f t="shared" si="5"/>
        <v>100</v>
      </c>
    </row>
    <row r="73" spans="1:10" ht="17.100000000000001" customHeight="1">
      <c r="A73" s="5" t="s">
        <v>74</v>
      </c>
      <c r="B73" s="11">
        <v>8</v>
      </c>
      <c r="C73" s="11">
        <v>8</v>
      </c>
      <c r="D73" s="11">
        <v>8</v>
      </c>
      <c r="E73" s="4">
        <f t="shared" si="3"/>
        <v>50</v>
      </c>
      <c r="F73" s="4">
        <f t="shared" si="4"/>
        <v>50</v>
      </c>
      <c r="G73" s="4">
        <f t="shared" si="5"/>
        <v>100</v>
      </c>
    </row>
    <row r="74" spans="1:10" ht="17.100000000000001" customHeight="1">
      <c r="A74" s="5" t="s">
        <v>54</v>
      </c>
      <c r="B74" s="11">
        <v>18</v>
      </c>
      <c r="C74" s="11">
        <v>18</v>
      </c>
      <c r="D74" s="11">
        <v>18</v>
      </c>
      <c r="E74" s="4">
        <f t="shared" si="3"/>
        <v>50</v>
      </c>
      <c r="F74" s="4">
        <f t="shared" si="4"/>
        <v>50</v>
      </c>
      <c r="G74" s="4">
        <f t="shared" si="5"/>
        <v>100</v>
      </c>
    </row>
    <row r="75" spans="1:10" ht="17.100000000000001" customHeight="1">
      <c r="A75" s="5" t="s">
        <v>7</v>
      </c>
      <c r="B75" s="11">
        <v>6</v>
      </c>
      <c r="C75" s="11">
        <v>5</v>
      </c>
      <c r="D75" s="11">
        <v>6</v>
      </c>
      <c r="E75" s="4">
        <f t="shared" si="3"/>
        <v>41.666666666666671</v>
      </c>
      <c r="F75" s="4">
        <f t="shared" si="4"/>
        <v>50</v>
      </c>
      <c r="G75" s="4">
        <f t="shared" si="5"/>
        <v>91.666666666666671</v>
      </c>
    </row>
    <row r="76" spans="1:10" ht="17.100000000000001" customHeight="1">
      <c r="A76" s="18" t="s">
        <v>38</v>
      </c>
      <c r="B76" s="11">
        <v>17</v>
      </c>
      <c r="C76" s="11">
        <v>17</v>
      </c>
      <c r="D76" s="11">
        <v>17</v>
      </c>
      <c r="E76" s="4">
        <f t="shared" si="3"/>
        <v>50</v>
      </c>
      <c r="F76" s="4">
        <f t="shared" si="4"/>
        <v>50</v>
      </c>
      <c r="G76" s="4">
        <f t="shared" si="5"/>
        <v>100</v>
      </c>
      <c r="H76" s="19" t="s">
        <v>112</v>
      </c>
    </row>
    <row r="77" spans="1:10" ht="17.100000000000001" customHeight="1">
      <c r="A77" s="5" t="s">
        <v>1</v>
      </c>
      <c r="B77" s="11">
        <v>43</v>
      </c>
      <c r="C77" s="11">
        <v>41</v>
      </c>
      <c r="D77" s="11">
        <v>42</v>
      </c>
      <c r="E77" s="4">
        <f t="shared" si="3"/>
        <v>47.674418604651166</v>
      </c>
      <c r="F77" s="4">
        <f t="shared" si="4"/>
        <v>48.837209302325576</v>
      </c>
      <c r="G77" s="4">
        <f t="shared" si="5"/>
        <v>96.511627906976742</v>
      </c>
      <c r="J77" s="1">
        <v>1</v>
      </c>
    </row>
    <row r="78" spans="1:10" ht="17.100000000000001" customHeight="1">
      <c r="A78" s="5" t="s">
        <v>68</v>
      </c>
      <c r="B78" s="11">
        <v>38</v>
      </c>
      <c r="C78" s="11">
        <v>37</v>
      </c>
      <c r="D78" s="11">
        <v>37</v>
      </c>
      <c r="E78" s="4">
        <f t="shared" si="3"/>
        <v>48.684210526315788</v>
      </c>
      <c r="F78" s="4">
        <f t="shared" si="4"/>
        <v>48.684210526315788</v>
      </c>
      <c r="G78" s="4">
        <f t="shared" si="5"/>
        <v>97.368421052631575</v>
      </c>
      <c r="J78" s="1">
        <v>1</v>
      </c>
    </row>
    <row r="79" spans="1:10" ht="17.100000000000001" customHeight="1">
      <c r="A79" s="5" t="s">
        <v>55</v>
      </c>
      <c r="B79" s="11">
        <v>35</v>
      </c>
      <c r="C79" s="11">
        <v>35</v>
      </c>
      <c r="D79" s="11">
        <v>35</v>
      </c>
      <c r="E79" s="4">
        <f t="shared" si="3"/>
        <v>50</v>
      </c>
      <c r="F79" s="4">
        <f t="shared" si="4"/>
        <v>50</v>
      </c>
      <c r="G79" s="4">
        <f t="shared" si="5"/>
        <v>100</v>
      </c>
    </row>
    <row r="80" spans="1:10" ht="17.100000000000001" customHeight="1">
      <c r="A80" s="5" t="s">
        <v>73</v>
      </c>
      <c r="B80" s="11">
        <v>5</v>
      </c>
      <c r="C80" s="11">
        <v>5</v>
      </c>
      <c r="D80" s="11">
        <v>5</v>
      </c>
      <c r="E80" s="4">
        <f t="shared" si="3"/>
        <v>50</v>
      </c>
      <c r="F80" s="4">
        <f t="shared" si="4"/>
        <v>50</v>
      </c>
      <c r="G80" s="4">
        <f t="shared" si="5"/>
        <v>100</v>
      </c>
    </row>
    <row r="81" spans="1:10" ht="17.100000000000001" customHeight="1">
      <c r="A81" s="5" t="s">
        <v>121</v>
      </c>
      <c r="B81" s="11">
        <v>2</v>
      </c>
      <c r="C81" s="11">
        <v>2</v>
      </c>
      <c r="D81" s="11">
        <v>2</v>
      </c>
      <c r="E81" s="4">
        <f t="shared" si="3"/>
        <v>50</v>
      </c>
      <c r="F81" s="4">
        <f t="shared" si="4"/>
        <v>50</v>
      </c>
      <c r="G81" s="4">
        <f t="shared" si="5"/>
        <v>100</v>
      </c>
    </row>
    <row r="82" spans="1:10" ht="17.100000000000001" customHeight="1">
      <c r="A82" s="5" t="s">
        <v>69</v>
      </c>
      <c r="B82" s="11">
        <v>28</v>
      </c>
      <c r="C82" s="11">
        <v>28</v>
      </c>
      <c r="D82" s="11">
        <v>28</v>
      </c>
      <c r="E82" s="4">
        <f t="shared" si="3"/>
        <v>50</v>
      </c>
      <c r="F82" s="4">
        <f t="shared" si="4"/>
        <v>50</v>
      </c>
      <c r="G82" s="4">
        <f t="shared" si="5"/>
        <v>100</v>
      </c>
      <c r="H82" s="19" t="s">
        <v>112</v>
      </c>
    </row>
    <row r="83" spans="1:10" ht="17.100000000000001" customHeight="1">
      <c r="A83" s="5" t="s">
        <v>2</v>
      </c>
      <c r="B83" s="11">
        <v>75</v>
      </c>
      <c r="C83" s="11">
        <v>69</v>
      </c>
      <c r="D83" s="11">
        <v>74</v>
      </c>
      <c r="E83" s="4">
        <f t="shared" si="3"/>
        <v>46</v>
      </c>
      <c r="F83" s="4">
        <f t="shared" si="4"/>
        <v>49.333333333333336</v>
      </c>
      <c r="G83" s="4">
        <f t="shared" si="5"/>
        <v>95.333333333333343</v>
      </c>
      <c r="J83" s="1">
        <v>1</v>
      </c>
    </row>
    <row r="84" spans="1:10" ht="17.100000000000001" customHeight="1">
      <c r="A84" s="5" t="s">
        <v>89</v>
      </c>
      <c r="B84" s="11">
        <v>2</v>
      </c>
      <c r="C84" s="11">
        <v>2</v>
      </c>
      <c r="D84" s="11">
        <v>2</v>
      </c>
      <c r="E84" s="4">
        <f t="shared" si="3"/>
        <v>50</v>
      </c>
      <c r="F84" s="4">
        <f t="shared" si="4"/>
        <v>50</v>
      </c>
      <c r="G84" s="4">
        <f t="shared" si="5"/>
        <v>100</v>
      </c>
    </row>
    <row r="85" spans="1:10" ht="17.100000000000001" customHeight="1">
      <c r="A85" s="5" t="s">
        <v>56</v>
      </c>
      <c r="B85" s="11">
        <v>14</v>
      </c>
      <c r="C85" s="11">
        <v>14</v>
      </c>
      <c r="D85" s="11">
        <v>14</v>
      </c>
      <c r="E85" s="4">
        <f t="shared" si="3"/>
        <v>50</v>
      </c>
      <c r="F85" s="4">
        <f t="shared" si="4"/>
        <v>50</v>
      </c>
      <c r="G85" s="4">
        <f t="shared" si="5"/>
        <v>100</v>
      </c>
    </row>
    <row r="86" spans="1:10" ht="17.100000000000001" customHeight="1">
      <c r="A86" s="5" t="s">
        <v>9</v>
      </c>
      <c r="B86" s="11">
        <v>38</v>
      </c>
      <c r="C86" s="11">
        <v>22</v>
      </c>
      <c r="D86" s="11">
        <v>37</v>
      </c>
      <c r="E86" s="4">
        <f t="shared" si="3"/>
        <v>28.947368421052634</v>
      </c>
      <c r="F86" s="4">
        <f t="shared" si="4"/>
        <v>48.684210526315788</v>
      </c>
      <c r="G86" s="4">
        <f t="shared" si="5"/>
        <v>77.631578947368425</v>
      </c>
      <c r="H86" s="19"/>
      <c r="J86" s="1">
        <v>1</v>
      </c>
    </row>
    <row r="87" spans="1:10" ht="17.100000000000001" customHeight="1">
      <c r="A87" s="5" t="s">
        <v>88</v>
      </c>
      <c r="B87" s="11">
        <v>4</v>
      </c>
      <c r="C87" s="11">
        <v>4</v>
      </c>
      <c r="D87" s="11">
        <v>4</v>
      </c>
      <c r="E87" s="4">
        <f t="shared" si="3"/>
        <v>50</v>
      </c>
      <c r="F87" s="4">
        <f t="shared" si="4"/>
        <v>50</v>
      </c>
      <c r="G87" s="4">
        <f t="shared" si="5"/>
        <v>100</v>
      </c>
    </row>
    <row r="88" spans="1:10" ht="17.100000000000001" customHeight="1">
      <c r="A88" s="5" t="s">
        <v>70</v>
      </c>
      <c r="B88" s="11">
        <v>25</v>
      </c>
      <c r="C88" s="11">
        <v>25</v>
      </c>
      <c r="D88" s="11">
        <v>25</v>
      </c>
      <c r="E88" s="4">
        <f t="shared" si="3"/>
        <v>50</v>
      </c>
      <c r="F88" s="4">
        <f t="shared" si="4"/>
        <v>50</v>
      </c>
      <c r="G88" s="4">
        <f t="shared" si="5"/>
        <v>100</v>
      </c>
    </row>
    <row r="89" spans="1:10" ht="17.100000000000001" customHeight="1">
      <c r="A89" s="20" t="s">
        <v>108</v>
      </c>
      <c r="B89" s="11">
        <v>19</v>
      </c>
      <c r="C89" s="11">
        <v>17</v>
      </c>
      <c r="D89" s="11">
        <v>17</v>
      </c>
      <c r="E89" s="4">
        <f t="shared" si="3"/>
        <v>44.736842105263158</v>
      </c>
      <c r="F89" s="4">
        <f t="shared" si="4"/>
        <v>44.736842105263158</v>
      </c>
      <c r="G89" s="4">
        <f t="shared" si="5"/>
        <v>89.473684210526315</v>
      </c>
      <c r="J89" s="1">
        <v>2</v>
      </c>
    </row>
    <row r="90" spans="1:10" ht="17.100000000000001" customHeight="1">
      <c r="A90" s="20" t="s">
        <v>132</v>
      </c>
      <c r="B90" s="11">
        <v>13</v>
      </c>
      <c r="C90" s="11">
        <v>13</v>
      </c>
      <c r="D90" s="11">
        <v>13</v>
      </c>
      <c r="E90" s="4">
        <f t="shared" ref="E90:E96" si="6">C90/B90*50</f>
        <v>50</v>
      </c>
      <c r="F90" s="4">
        <f t="shared" ref="F90:F96" si="7">D90/B90*50</f>
        <v>50</v>
      </c>
      <c r="G90" s="4">
        <f t="shared" ref="G90:G96" si="8">SUM(E90:F90)</f>
        <v>100</v>
      </c>
    </row>
    <row r="91" spans="1:10" ht="17.100000000000001" customHeight="1">
      <c r="A91" s="20" t="s">
        <v>133</v>
      </c>
      <c r="B91" s="11">
        <v>3</v>
      </c>
      <c r="C91" s="11">
        <v>3</v>
      </c>
      <c r="D91" s="11">
        <v>3</v>
      </c>
      <c r="E91" s="4">
        <f t="shared" si="6"/>
        <v>50</v>
      </c>
      <c r="F91" s="4">
        <f t="shared" si="7"/>
        <v>50</v>
      </c>
      <c r="G91" s="4">
        <f t="shared" si="8"/>
        <v>100</v>
      </c>
    </row>
    <row r="92" spans="1:10" ht="17.100000000000001" customHeight="1">
      <c r="A92" s="20" t="s">
        <v>134</v>
      </c>
      <c r="B92" s="11">
        <v>4</v>
      </c>
      <c r="C92" s="11">
        <v>3</v>
      </c>
      <c r="D92" s="11">
        <v>4</v>
      </c>
      <c r="E92" s="4">
        <f t="shared" si="6"/>
        <v>37.5</v>
      </c>
      <c r="F92" s="4">
        <f t="shared" si="7"/>
        <v>50</v>
      </c>
      <c r="G92" s="4">
        <f t="shared" si="8"/>
        <v>87.5</v>
      </c>
    </row>
    <row r="93" spans="1:10" ht="17.100000000000001" customHeight="1">
      <c r="A93" s="20" t="s">
        <v>135</v>
      </c>
      <c r="B93" s="11">
        <v>3</v>
      </c>
      <c r="C93" s="11">
        <v>3</v>
      </c>
      <c r="D93" s="11">
        <v>3</v>
      </c>
      <c r="E93" s="4">
        <f t="shared" si="6"/>
        <v>50</v>
      </c>
      <c r="F93" s="4">
        <f t="shared" si="7"/>
        <v>50</v>
      </c>
      <c r="G93" s="4">
        <f t="shared" si="8"/>
        <v>100</v>
      </c>
    </row>
    <row r="94" spans="1:10" ht="17.100000000000001" customHeight="1">
      <c r="A94" s="20" t="s">
        <v>141</v>
      </c>
      <c r="B94" s="11">
        <v>12</v>
      </c>
      <c r="C94" s="11">
        <v>12</v>
      </c>
      <c r="D94" s="11">
        <v>12</v>
      </c>
      <c r="E94" s="4">
        <f t="shared" si="6"/>
        <v>50</v>
      </c>
      <c r="F94" s="4">
        <f t="shared" si="7"/>
        <v>50</v>
      </c>
      <c r="G94" s="4">
        <f t="shared" si="8"/>
        <v>100</v>
      </c>
    </row>
    <row r="95" spans="1:10" ht="17.100000000000001" customHeight="1">
      <c r="A95" s="20" t="s">
        <v>143</v>
      </c>
      <c r="B95" s="11">
        <v>7</v>
      </c>
      <c r="C95" s="11">
        <v>7</v>
      </c>
      <c r="D95" s="11">
        <v>7</v>
      </c>
      <c r="E95" s="4">
        <f t="shared" si="6"/>
        <v>50</v>
      </c>
      <c r="F95" s="4">
        <f t="shared" si="7"/>
        <v>50</v>
      </c>
      <c r="G95" s="4">
        <f t="shared" si="8"/>
        <v>100</v>
      </c>
    </row>
    <row r="96" spans="1:10" ht="16.5" customHeight="1">
      <c r="A96" s="20" t="s">
        <v>144</v>
      </c>
      <c r="B96" s="11">
        <v>9</v>
      </c>
      <c r="C96" s="11">
        <v>9</v>
      </c>
      <c r="D96" s="11">
        <v>9</v>
      </c>
      <c r="E96" s="4">
        <f t="shared" si="6"/>
        <v>50</v>
      </c>
      <c r="F96" s="4">
        <f t="shared" si="7"/>
        <v>50</v>
      </c>
      <c r="G96" s="4">
        <f t="shared" si="8"/>
        <v>100</v>
      </c>
    </row>
    <row r="97" spans="1:11" ht="17.100000000000001" customHeight="1">
      <c r="A97" s="20" t="s">
        <v>109</v>
      </c>
      <c r="B97" s="11">
        <v>2</v>
      </c>
      <c r="C97" s="11">
        <v>2</v>
      </c>
      <c r="D97" s="11">
        <v>2</v>
      </c>
      <c r="E97" s="4">
        <f t="shared" si="3"/>
        <v>50</v>
      </c>
      <c r="F97" s="4">
        <f t="shared" si="4"/>
        <v>50</v>
      </c>
      <c r="G97" s="4">
        <f t="shared" si="5"/>
        <v>100</v>
      </c>
      <c r="K97" s="19"/>
    </row>
    <row r="98" spans="1:11" ht="17.100000000000001" customHeight="1">
      <c r="A98" s="20" t="s">
        <v>129</v>
      </c>
      <c r="B98" s="11">
        <v>7</v>
      </c>
      <c r="C98" s="11">
        <v>6</v>
      </c>
      <c r="D98" s="11">
        <v>6</v>
      </c>
      <c r="E98" s="4">
        <f t="shared" si="3"/>
        <v>42.857142857142854</v>
      </c>
      <c r="F98" s="4">
        <f t="shared" si="4"/>
        <v>42.857142857142854</v>
      </c>
      <c r="G98" s="4">
        <f t="shared" si="5"/>
        <v>85.714285714285708</v>
      </c>
      <c r="J98" s="1">
        <v>1</v>
      </c>
      <c r="K98" s="19"/>
    </row>
    <row r="99" spans="1:11" ht="17.100000000000001" customHeight="1">
      <c r="A99" s="20" t="s">
        <v>111</v>
      </c>
      <c r="B99" s="11">
        <v>2</v>
      </c>
      <c r="C99" s="11">
        <v>2</v>
      </c>
      <c r="D99" s="11">
        <v>2</v>
      </c>
      <c r="E99" s="4">
        <f t="shared" si="3"/>
        <v>50</v>
      </c>
      <c r="F99" s="4">
        <f t="shared" si="4"/>
        <v>50</v>
      </c>
      <c r="G99" s="4">
        <f t="shared" si="5"/>
        <v>100</v>
      </c>
      <c r="K99" s="19"/>
    </row>
    <row r="100" spans="1:11" ht="17.100000000000001" customHeight="1">
      <c r="A100" s="20" t="s">
        <v>119</v>
      </c>
      <c r="B100" s="11">
        <v>4</v>
      </c>
      <c r="C100" s="11">
        <v>4</v>
      </c>
      <c r="D100" s="11">
        <v>4</v>
      </c>
      <c r="E100" s="4">
        <f t="shared" si="3"/>
        <v>50</v>
      </c>
      <c r="F100" s="4">
        <f t="shared" si="4"/>
        <v>50</v>
      </c>
      <c r="G100" s="4">
        <f t="shared" si="5"/>
        <v>100</v>
      </c>
      <c r="K100" s="19"/>
    </row>
    <row r="101" spans="1:11" ht="17.100000000000001" customHeight="1">
      <c r="A101" s="21" t="s">
        <v>130</v>
      </c>
      <c r="B101" s="22">
        <v>3</v>
      </c>
      <c r="C101" s="11">
        <v>3</v>
      </c>
      <c r="D101" s="22">
        <v>3</v>
      </c>
      <c r="E101" s="4">
        <f t="shared" si="3"/>
        <v>50</v>
      </c>
      <c r="F101" s="4">
        <f t="shared" si="4"/>
        <v>50</v>
      </c>
      <c r="G101" s="4">
        <f t="shared" si="5"/>
        <v>100</v>
      </c>
      <c r="K101" s="19"/>
    </row>
    <row r="102" spans="1:11" ht="17.100000000000001" customHeight="1">
      <c r="A102" s="21" t="s">
        <v>131</v>
      </c>
      <c r="B102" s="22">
        <v>6</v>
      </c>
      <c r="C102" s="11">
        <v>5</v>
      </c>
      <c r="D102" s="22">
        <v>6</v>
      </c>
      <c r="E102" s="4">
        <f t="shared" si="3"/>
        <v>41.666666666666671</v>
      </c>
      <c r="F102" s="4">
        <f t="shared" si="4"/>
        <v>50</v>
      </c>
      <c r="G102" s="4">
        <f t="shared" si="5"/>
        <v>91.666666666666671</v>
      </c>
      <c r="K102" s="19"/>
    </row>
    <row r="103" spans="1:11" ht="17.100000000000001" customHeight="1">
      <c r="A103" s="20" t="s">
        <v>117</v>
      </c>
      <c r="B103" s="11">
        <v>5</v>
      </c>
      <c r="C103" s="11">
        <v>2</v>
      </c>
      <c r="D103" s="11">
        <v>4</v>
      </c>
      <c r="E103" s="4">
        <f t="shared" si="3"/>
        <v>20</v>
      </c>
      <c r="F103" s="4">
        <f t="shared" si="4"/>
        <v>40</v>
      </c>
      <c r="G103" s="4">
        <f t="shared" si="5"/>
        <v>60</v>
      </c>
      <c r="J103" s="1">
        <v>1</v>
      </c>
    </row>
    <row r="104" spans="1:11" ht="17.100000000000001" customHeight="1">
      <c r="A104" s="20" t="s">
        <v>113</v>
      </c>
      <c r="B104" s="11">
        <v>1</v>
      </c>
      <c r="C104" s="11">
        <v>1</v>
      </c>
      <c r="D104" s="11">
        <v>1</v>
      </c>
      <c r="E104" s="4">
        <f t="shared" si="3"/>
        <v>50</v>
      </c>
      <c r="F104" s="4">
        <f t="shared" si="4"/>
        <v>50</v>
      </c>
      <c r="G104" s="4">
        <f t="shared" si="5"/>
        <v>100</v>
      </c>
    </row>
    <row r="105" spans="1:11" s="6" customFormat="1" ht="17.100000000000001" customHeight="1">
      <c r="A105" s="6" t="s">
        <v>94</v>
      </c>
      <c r="B105" s="8">
        <f>SUM(B6:B104)</f>
        <v>1481</v>
      </c>
      <c r="C105" s="8">
        <f>B105-77</f>
        <v>1404</v>
      </c>
      <c r="D105" s="8">
        <f>B105-54</f>
        <v>1427</v>
      </c>
      <c r="E105" s="7">
        <f>C105/B105*50</f>
        <v>47.400405131667796</v>
      </c>
      <c r="F105" s="7">
        <f>D105/B105*50</f>
        <v>48.176907494935854</v>
      </c>
      <c r="G105" s="12">
        <f t="shared" si="5"/>
        <v>95.577312626603657</v>
      </c>
    </row>
    <row r="106" spans="1:11" ht="8.4499999999999993" customHeight="1"/>
    <row r="107" spans="1:11">
      <c r="C107" s="14"/>
      <c r="D107" s="14"/>
      <c r="G107" s="1" t="s">
        <v>71</v>
      </c>
    </row>
    <row r="109" spans="1:11" s="9" customFormat="1" ht="18">
      <c r="A109" s="9" t="s">
        <v>97</v>
      </c>
      <c r="C109" s="9" t="s">
        <v>96</v>
      </c>
      <c r="E109" s="10" t="s">
        <v>95</v>
      </c>
    </row>
    <row r="114" spans="1:8" ht="17.100000000000001" customHeight="1">
      <c r="A114" s="5" t="s">
        <v>85</v>
      </c>
      <c r="B114" s="11">
        <v>1</v>
      </c>
      <c r="C114" s="11">
        <v>1</v>
      </c>
      <c r="D114" s="11">
        <v>1</v>
      </c>
      <c r="E114" s="4">
        <f t="shared" ref="E114:E129" si="9">C114/B114*50</f>
        <v>50</v>
      </c>
      <c r="F114" s="4">
        <f t="shared" ref="F114:F129" si="10">D114/B114*50</f>
        <v>50</v>
      </c>
      <c r="G114" s="4">
        <f t="shared" ref="G114:G129" si="11">SUM(E114:F114)</f>
        <v>100</v>
      </c>
    </row>
    <row r="115" spans="1:8" ht="17.100000000000001" customHeight="1">
      <c r="A115" s="5" t="s">
        <v>90</v>
      </c>
      <c r="B115" s="11">
        <v>1</v>
      </c>
      <c r="C115" s="11">
        <v>1</v>
      </c>
      <c r="D115" s="11">
        <v>1</v>
      </c>
      <c r="E115" s="4">
        <f t="shared" si="9"/>
        <v>50</v>
      </c>
      <c r="F115" s="4">
        <f t="shared" si="10"/>
        <v>50</v>
      </c>
      <c r="G115" s="4">
        <f t="shared" si="11"/>
        <v>100</v>
      </c>
      <c r="H115" s="19" t="s">
        <v>112</v>
      </c>
    </row>
    <row r="116" spans="1:8" ht="17.100000000000001" customHeight="1">
      <c r="A116" s="5" t="s">
        <v>127</v>
      </c>
      <c r="B116" s="11">
        <v>1</v>
      </c>
      <c r="C116" s="11">
        <v>1</v>
      </c>
      <c r="D116" s="11">
        <v>1</v>
      </c>
      <c r="E116" s="4">
        <f t="shared" si="9"/>
        <v>50</v>
      </c>
      <c r="F116" s="4">
        <f t="shared" si="10"/>
        <v>50</v>
      </c>
      <c r="G116" s="4">
        <f t="shared" si="11"/>
        <v>100</v>
      </c>
    </row>
    <row r="117" spans="1:8" ht="17.100000000000001" customHeight="1">
      <c r="A117" s="5" t="s">
        <v>67</v>
      </c>
      <c r="B117" s="11">
        <v>1</v>
      </c>
      <c r="C117" s="11">
        <v>1</v>
      </c>
      <c r="D117" s="11">
        <v>1</v>
      </c>
      <c r="E117" s="4">
        <f t="shared" si="9"/>
        <v>50</v>
      </c>
      <c r="F117" s="4">
        <f t="shared" si="10"/>
        <v>50</v>
      </c>
      <c r="G117" s="4">
        <f t="shared" si="11"/>
        <v>100</v>
      </c>
    </row>
    <row r="118" spans="1:8" ht="17.100000000000001" customHeight="1">
      <c r="A118" s="20" t="s">
        <v>128</v>
      </c>
      <c r="B118" s="11">
        <v>1</v>
      </c>
      <c r="C118" s="11">
        <v>1</v>
      </c>
      <c r="D118" s="11">
        <v>1</v>
      </c>
      <c r="E118" s="4">
        <f t="shared" si="9"/>
        <v>50</v>
      </c>
      <c r="F118" s="4">
        <f t="shared" si="10"/>
        <v>50</v>
      </c>
      <c r="G118" s="4">
        <f t="shared" si="11"/>
        <v>100</v>
      </c>
    </row>
    <row r="119" spans="1:8" ht="17.100000000000001" customHeight="1">
      <c r="A119" s="20" t="s">
        <v>136</v>
      </c>
      <c r="B119" s="11">
        <v>1</v>
      </c>
      <c r="C119" s="11">
        <v>1</v>
      </c>
      <c r="D119" s="11">
        <v>1</v>
      </c>
      <c r="E119" s="4">
        <f t="shared" si="9"/>
        <v>50</v>
      </c>
      <c r="F119" s="4">
        <f t="shared" si="10"/>
        <v>50</v>
      </c>
      <c r="G119" s="4">
        <f t="shared" si="11"/>
        <v>100</v>
      </c>
    </row>
    <row r="120" spans="1:8" ht="17.100000000000001" customHeight="1">
      <c r="A120" s="20" t="s">
        <v>137</v>
      </c>
      <c r="B120" s="11">
        <v>1</v>
      </c>
      <c r="C120" s="11">
        <v>1</v>
      </c>
      <c r="D120" s="11">
        <v>1</v>
      </c>
      <c r="E120" s="4">
        <f t="shared" si="9"/>
        <v>50</v>
      </c>
      <c r="F120" s="4">
        <f t="shared" si="10"/>
        <v>50</v>
      </c>
      <c r="G120" s="4">
        <f t="shared" si="11"/>
        <v>100</v>
      </c>
    </row>
    <row r="121" spans="1:8" ht="17.100000000000001" customHeight="1">
      <c r="A121" s="20" t="s">
        <v>138</v>
      </c>
      <c r="B121" s="11">
        <v>1</v>
      </c>
      <c r="C121" s="11">
        <v>1</v>
      </c>
      <c r="D121" s="11">
        <v>1</v>
      </c>
      <c r="E121" s="4">
        <f t="shared" si="9"/>
        <v>50</v>
      </c>
      <c r="F121" s="4">
        <f t="shared" si="10"/>
        <v>50</v>
      </c>
      <c r="G121" s="4">
        <f t="shared" si="11"/>
        <v>100</v>
      </c>
    </row>
    <row r="122" spans="1:8" ht="17.100000000000001" customHeight="1">
      <c r="A122" s="20" t="s">
        <v>139</v>
      </c>
      <c r="B122" s="11">
        <v>1</v>
      </c>
      <c r="C122" s="11">
        <v>1</v>
      </c>
      <c r="D122" s="11">
        <v>1</v>
      </c>
      <c r="E122" s="4">
        <f t="shared" si="9"/>
        <v>50</v>
      </c>
      <c r="F122" s="4">
        <f t="shared" si="10"/>
        <v>50</v>
      </c>
      <c r="G122" s="4">
        <f t="shared" si="11"/>
        <v>100</v>
      </c>
    </row>
    <row r="123" spans="1:8" ht="17.100000000000001" customHeight="1">
      <c r="A123" s="20" t="s">
        <v>140</v>
      </c>
      <c r="B123" s="11">
        <v>1</v>
      </c>
      <c r="C123" s="11">
        <v>1</v>
      </c>
      <c r="D123" s="11">
        <v>1</v>
      </c>
      <c r="E123" s="4">
        <f t="shared" si="9"/>
        <v>50</v>
      </c>
      <c r="F123" s="4">
        <f t="shared" si="10"/>
        <v>50</v>
      </c>
      <c r="G123" s="4">
        <f t="shared" si="11"/>
        <v>100</v>
      </c>
    </row>
    <row r="124" spans="1:8" ht="17.100000000000001" customHeight="1">
      <c r="A124" s="20" t="s">
        <v>142</v>
      </c>
      <c r="B124" s="11">
        <v>1</v>
      </c>
      <c r="C124" s="11">
        <v>1</v>
      </c>
      <c r="D124" s="11">
        <v>1</v>
      </c>
      <c r="E124" s="4">
        <f t="shared" si="9"/>
        <v>50</v>
      </c>
      <c r="F124" s="4">
        <f t="shared" si="10"/>
        <v>50</v>
      </c>
      <c r="G124" s="4">
        <f t="shared" si="11"/>
        <v>100</v>
      </c>
    </row>
    <row r="125" spans="1:8" ht="17.100000000000001" customHeight="1">
      <c r="A125" s="20" t="s">
        <v>145</v>
      </c>
      <c r="B125" s="11">
        <v>1</v>
      </c>
      <c r="C125" s="11">
        <v>1</v>
      </c>
      <c r="D125" s="11">
        <v>1</v>
      </c>
      <c r="E125" s="4">
        <f t="shared" si="9"/>
        <v>50</v>
      </c>
      <c r="F125" s="4">
        <f t="shared" si="10"/>
        <v>50</v>
      </c>
      <c r="G125" s="4">
        <f t="shared" si="11"/>
        <v>100</v>
      </c>
    </row>
    <row r="126" spans="1:8" ht="17.100000000000001" customHeight="1">
      <c r="A126" s="20" t="s">
        <v>146</v>
      </c>
      <c r="B126" s="11">
        <v>1</v>
      </c>
      <c r="C126" s="11">
        <v>1</v>
      </c>
      <c r="D126" s="11">
        <v>1</v>
      </c>
      <c r="E126" s="4">
        <f t="shared" si="9"/>
        <v>50</v>
      </c>
      <c r="F126" s="4">
        <f t="shared" si="10"/>
        <v>50</v>
      </c>
      <c r="G126" s="4">
        <f t="shared" si="11"/>
        <v>100</v>
      </c>
    </row>
    <row r="127" spans="1:8" ht="17.100000000000001" customHeight="1">
      <c r="A127" s="20" t="s">
        <v>147</v>
      </c>
      <c r="B127" s="11">
        <v>1</v>
      </c>
      <c r="C127" s="11">
        <v>1</v>
      </c>
      <c r="D127" s="11">
        <v>1</v>
      </c>
      <c r="E127" s="4">
        <f t="shared" si="9"/>
        <v>50</v>
      </c>
      <c r="F127" s="4">
        <f t="shared" si="10"/>
        <v>50</v>
      </c>
      <c r="G127" s="4">
        <f t="shared" si="11"/>
        <v>100</v>
      </c>
    </row>
    <row r="128" spans="1:8" ht="17.100000000000001" customHeight="1">
      <c r="A128" s="20" t="s">
        <v>148</v>
      </c>
      <c r="B128" s="11">
        <v>1</v>
      </c>
      <c r="C128" s="11">
        <v>1</v>
      </c>
      <c r="D128" s="11">
        <v>1</v>
      </c>
      <c r="E128" s="4">
        <f t="shared" si="9"/>
        <v>50</v>
      </c>
      <c r="F128" s="4">
        <f t="shared" si="10"/>
        <v>50</v>
      </c>
      <c r="G128" s="4">
        <f t="shared" si="11"/>
        <v>100</v>
      </c>
    </row>
    <row r="129" spans="1:11" ht="17.100000000000001" customHeight="1">
      <c r="A129" s="21" t="s">
        <v>114</v>
      </c>
      <c r="B129" s="22">
        <v>1</v>
      </c>
      <c r="C129" s="11">
        <v>1</v>
      </c>
      <c r="D129" s="22">
        <v>1</v>
      </c>
      <c r="E129" s="4">
        <f t="shared" si="9"/>
        <v>50</v>
      </c>
      <c r="F129" s="4">
        <f t="shared" si="10"/>
        <v>50</v>
      </c>
      <c r="G129" s="4">
        <f t="shared" si="11"/>
        <v>100</v>
      </c>
      <c r="K129" s="19"/>
    </row>
  </sheetData>
  <autoFilter ref="A6:G105" xr:uid="{00000000-0009-0000-0000-000000000000}">
    <sortState xmlns:xlrd2="http://schemas.microsoft.com/office/spreadsheetml/2017/richdata2" ref="A7:G82">
      <sortCondition ref="A6"/>
    </sortState>
  </autoFilter>
  <mergeCells count="5">
    <mergeCell ref="A1:G1"/>
    <mergeCell ref="A3:G3"/>
    <mergeCell ref="A4:A5"/>
    <mergeCell ref="B4:D4"/>
    <mergeCell ref="E4:G4"/>
  </mergeCells>
  <phoneticPr fontId="1" type="noConversion"/>
  <conditionalFormatting sqref="E7:F104 E114:F129">
    <cfRule type="cellIs" dxfId="11" priority="2" operator="lessThan">
      <formula>35</formula>
    </cfRule>
  </conditionalFormatting>
  <conditionalFormatting sqref="E70:F70">
    <cfRule type="cellIs" dxfId="10" priority="3" operator="lessThan">
      <formula>40</formula>
    </cfRule>
    <cfRule type="cellIs" dxfId="9" priority="4" operator="lessThan">
      <formula>40</formula>
    </cfRule>
  </conditionalFormatting>
  <conditionalFormatting sqref="G7:G104 G114:G129">
    <cfRule type="cellIs" dxfId="8" priority="1" operator="lessThan">
      <formula>85</formula>
    </cfRule>
  </conditionalFormatting>
  <conditionalFormatting sqref="G70">
    <cfRule type="cellIs" dxfId="7" priority="5" operator="lessThan">
      <formula>85</formula>
    </cfRule>
    <cfRule type="cellIs" dxfId="6" priority="6" operator="lessThan">
      <formula>85</formula>
    </cfRule>
  </conditionalFormatting>
  <printOptions horizontalCentered="1"/>
  <pageMargins left="0.19685039370078741" right="0.19685039370078741" top="0.78740157480314965" bottom="0.59055118110236227" header="0.31496062992125984" footer="0.31496062992125984"/>
  <pageSetup paperSize="9" scale="41" fitToHeight="7" orientation="portrait" r:id="rId1"/>
  <headerFooter>
    <oddHeader>&amp;R&amp;P/&amp;N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8"/>
  <sheetViews>
    <sheetView zoomScale="90" zoomScaleNormal="90" workbookViewId="0">
      <pane xSplit="1" ySplit="5" topLeftCell="B93" activePane="bottomRight" state="frozen"/>
      <selection pane="topRight" activeCell="B1" sqref="B1"/>
      <selection pane="bottomLeft" activeCell="A6" sqref="A6"/>
      <selection pane="bottomRight" activeCell="D104" sqref="D104"/>
    </sheetView>
  </sheetViews>
  <sheetFormatPr defaultColWidth="9" defaultRowHeight="16.5"/>
  <cols>
    <col min="1" max="7" width="12.625" style="1" customWidth="1"/>
    <col min="8" max="16384" width="9" style="1"/>
  </cols>
  <sheetData>
    <row r="1" spans="1:12" ht="37.5" customHeight="1">
      <c r="A1" s="129" t="s">
        <v>16</v>
      </c>
      <c r="B1" s="130"/>
      <c r="C1" s="130"/>
      <c r="D1" s="130"/>
      <c r="E1" s="130"/>
      <c r="F1" s="130"/>
      <c r="G1" s="130"/>
    </row>
    <row r="2" spans="1:12" ht="6" customHeight="1"/>
    <row r="3" spans="1:12" ht="27.75" customHeight="1">
      <c r="A3" s="131" t="s">
        <v>17</v>
      </c>
      <c r="B3" s="131"/>
      <c r="C3" s="131"/>
      <c r="D3" s="131"/>
      <c r="E3" s="131"/>
      <c r="F3" s="131"/>
      <c r="G3" s="131"/>
    </row>
    <row r="4" spans="1:12" ht="34.5" customHeight="1">
      <c r="A4" s="132" t="s">
        <v>18</v>
      </c>
      <c r="B4" s="134" t="s">
        <v>19</v>
      </c>
      <c r="C4" s="134"/>
      <c r="D4" s="134"/>
      <c r="E4" s="134" t="s">
        <v>20</v>
      </c>
      <c r="F4" s="134"/>
      <c r="G4" s="134"/>
    </row>
    <row r="5" spans="1:12" ht="34.5" customHeight="1">
      <c r="A5" s="133"/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12" ht="8.4499999999999993" hidden="1" customHeight="1">
      <c r="A6" s="3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</row>
    <row r="7" spans="1:12" ht="17.100000000000001" customHeight="1">
      <c r="A7" s="5" t="s">
        <v>27</v>
      </c>
      <c r="B7" s="11">
        <v>8</v>
      </c>
      <c r="C7" s="11"/>
      <c r="D7" s="11">
        <v>7</v>
      </c>
      <c r="E7" s="4">
        <f t="shared" ref="E7:E65" si="0">C7/B7*50</f>
        <v>0</v>
      </c>
      <c r="F7" s="4">
        <f t="shared" ref="F7:F65" si="1">D7/B7*50</f>
        <v>43.75</v>
      </c>
      <c r="G7" s="4">
        <f t="shared" ref="G7:G65" si="2">SUM(E7:F7)</f>
        <v>43.75</v>
      </c>
      <c r="H7" s="19" t="s">
        <v>112</v>
      </c>
    </row>
    <row r="8" spans="1:12" ht="17.100000000000001" customHeight="1">
      <c r="A8" s="5" t="s">
        <v>92</v>
      </c>
      <c r="B8" s="11">
        <v>61</v>
      </c>
      <c r="C8" s="11"/>
      <c r="D8" s="11">
        <v>57</v>
      </c>
      <c r="E8" s="4">
        <f t="shared" si="0"/>
        <v>0</v>
      </c>
      <c r="F8" s="4">
        <f t="shared" si="1"/>
        <v>46.721311475409841</v>
      </c>
      <c r="G8" s="4">
        <f t="shared" si="2"/>
        <v>46.721311475409841</v>
      </c>
    </row>
    <row r="9" spans="1:12" ht="17.100000000000001" customHeight="1">
      <c r="A9" s="5" t="s">
        <v>57</v>
      </c>
      <c r="B9" s="11">
        <v>59</v>
      </c>
      <c r="C9" s="11"/>
      <c r="D9" s="11">
        <v>59</v>
      </c>
      <c r="E9" s="4">
        <f t="shared" si="0"/>
        <v>0</v>
      </c>
      <c r="F9" s="4">
        <f t="shared" si="1"/>
        <v>50</v>
      </c>
      <c r="G9" s="4">
        <f t="shared" si="2"/>
        <v>50</v>
      </c>
    </row>
    <row r="10" spans="1:12" ht="17.100000000000001" customHeight="1">
      <c r="A10" s="15" t="s">
        <v>104</v>
      </c>
      <c r="B10" s="11">
        <v>10</v>
      </c>
      <c r="C10" s="11"/>
      <c r="D10" s="11">
        <v>10</v>
      </c>
      <c r="E10" s="4">
        <f t="shared" si="0"/>
        <v>0</v>
      </c>
      <c r="F10" s="4">
        <f t="shared" si="1"/>
        <v>50</v>
      </c>
      <c r="G10" s="4">
        <f t="shared" si="2"/>
        <v>50</v>
      </c>
      <c r="H10" s="19" t="s">
        <v>112</v>
      </c>
      <c r="L10" s="19"/>
    </row>
    <row r="11" spans="1:12" ht="17.100000000000001" customHeight="1">
      <c r="A11" s="5" t="s">
        <v>5</v>
      </c>
      <c r="B11" s="11">
        <v>24</v>
      </c>
      <c r="C11" s="11"/>
      <c r="D11" s="11">
        <v>22</v>
      </c>
      <c r="E11" s="4">
        <f t="shared" si="0"/>
        <v>0</v>
      </c>
      <c r="F11" s="4">
        <f t="shared" si="1"/>
        <v>45.833333333333329</v>
      </c>
      <c r="G11" s="4">
        <f t="shared" si="2"/>
        <v>45.833333333333329</v>
      </c>
      <c r="L11" s="19"/>
    </row>
    <row r="12" spans="1:12" ht="17.100000000000001" customHeight="1">
      <c r="A12" s="5" t="s">
        <v>58</v>
      </c>
      <c r="B12" s="11">
        <v>45</v>
      </c>
      <c r="C12" s="11"/>
      <c r="D12" s="11">
        <v>45</v>
      </c>
      <c r="E12" s="4">
        <f t="shared" si="0"/>
        <v>0</v>
      </c>
      <c r="F12" s="4">
        <f t="shared" si="1"/>
        <v>50</v>
      </c>
      <c r="G12" s="4">
        <f t="shared" si="2"/>
        <v>50</v>
      </c>
      <c r="L12" s="19"/>
    </row>
    <row r="13" spans="1:12" ht="17.100000000000001" customHeight="1">
      <c r="A13" s="5" t="s">
        <v>28</v>
      </c>
      <c r="B13" s="11">
        <v>17</v>
      </c>
      <c r="C13" s="11"/>
      <c r="D13" s="11">
        <v>15</v>
      </c>
      <c r="E13" s="4">
        <f t="shared" si="0"/>
        <v>0</v>
      </c>
      <c r="F13" s="4">
        <f t="shared" si="1"/>
        <v>44.117647058823529</v>
      </c>
      <c r="G13" s="4">
        <f t="shared" si="2"/>
        <v>44.117647058823529</v>
      </c>
      <c r="L13" s="19"/>
    </row>
    <row r="14" spans="1:12" ht="17.100000000000001" customHeight="1">
      <c r="A14" s="5" t="s">
        <v>4</v>
      </c>
      <c r="B14" s="11">
        <v>23</v>
      </c>
      <c r="C14" s="11"/>
      <c r="D14" s="11">
        <v>23</v>
      </c>
      <c r="E14" s="4">
        <f t="shared" si="0"/>
        <v>0</v>
      </c>
      <c r="F14" s="4">
        <f t="shared" si="1"/>
        <v>50</v>
      </c>
      <c r="G14" s="4">
        <f t="shared" si="2"/>
        <v>50</v>
      </c>
      <c r="L14" s="19"/>
    </row>
    <row r="15" spans="1:12" ht="17.100000000000001" customHeight="1">
      <c r="A15" s="5" t="s">
        <v>29</v>
      </c>
      <c r="B15" s="11">
        <v>10</v>
      </c>
      <c r="C15" s="11"/>
      <c r="D15" s="11">
        <v>8</v>
      </c>
      <c r="E15" s="4">
        <f t="shared" si="0"/>
        <v>0</v>
      </c>
      <c r="F15" s="4">
        <f t="shared" si="1"/>
        <v>40</v>
      </c>
      <c r="G15" s="4">
        <f t="shared" si="2"/>
        <v>40</v>
      </c>
    </row>
    <row r="16" spans="1:12" ht="17.100000000000001" customHeight="1">
      <c r="A16" s="5" t="s">
        <v>15</v>
      </c>
      <c r="B16" s="11">
        <v>7</v>
      </c>
      <c r="C16" s="11"/>
      <c r="D16" s="11">
        <v>7</v>
      </c>
      <c r="E16" s="4">
        <f t="shared" si="0"/>
        <v>0</v>
      </c>
      <c r="F16" s="4">
        <f t="shared" si="1"/>
        <v>50</v>
      </c>
      <c r="G16" s="4">
        <f t="shared" si="2"/>
        <v>50</v>
      </c>
    </row>
    <row r="17" spans="1:8" ht="17.100000000000001" customHeight="1">
      <c r="A17" s="5" t="s">
        <v>59</v>
      </c>
      <c r="B17" s="11">
        <v>5</v>
      </c>
      <c r="C17" s="11"/>
      <c r="D17" s="11">
        <v>5</v>
      </c>
      <c r="E17" s="4">
        <f t="shared" si="0"/>
        <v>0</v>
      </c>
      <c r="F17" s="4">
        <f t="shared" si="1"/>
        <v>50</v>
      </c>
      <c r="G17" s="4">
        <f t="shared" si="2"/>
        <v>50</v>
      </c>
    </row>
    <row r="18" spans="1:8" ht="17.100000000000001" customHeight="1">
      <c r="A18" s="5" t="s">
        <v>13</v>
      </c>
      <c r="B18" s="11">
        <v>33</v>
      </c>
      <c r="C18" s="11"/>
      <c r="D18" s="11">
        <v>24</v>
      </c>
      <c r="E18" s="4">
        <f t="shared" si="0"/>
        <v>0</v>
      </c>
      <c r="F18" s="4">
        <f t="shared" si="1"/>
        <v>36.363636363636367</v>
      </c>
      <c r="G18" s="4">
        <f t="shared" si="2"/>
        <v>36.363636363636367</v>
      </c>
    </row>
    <row r="19" spans="1:8" ht="17.100000000000001" customHeight="1">
      <c r="A19" s="5" t="s">
        <v>60</v>
      </c>
      <c r="B19" s="11">
        <v>18</v>
      </c>
      <c r="C19" s="11"/>
      <c r="D19" s="11">
        <v>17</v>
      </c>
      <c r="E19" s="4">
        <f t="shared" si="0"/>
        <v>0</v>
      </c>
      <c r="F19" s="4">
        <f t="shared" si="1"/>
        <v>47.222222222222221</v>
      </c>
      <c r="G19" s="4">
        <f t="shared" si="2"/>
        <v>47.222222222222221</v>
      </c>
    </row>
    <row r="20" spans="1:8" ht="17.100000000000001" customHeight="1">
      <c r="A20" s="5" t="s">
        <v>3</v>
      </c>
      <c r="B20" s="11">
        <v>4</v>
      </c>
      <c r="C20" s="11"/>
      <c r="D20" s="11">
        <v>4</v>
      </c>
      <c r="E20" s="4">
        <f t="shared" si="0"/>
        <v>0</v>
      </c>
      <c r="F20" s="4">
        <f t="shared" si="1"/>
        <v>50</v>
      </c>
      <c r="G20" s="4">
        <f t="shared" si="2"/>
        <v>50</v>
      </c>
    </row>
    <row r="21" spans="1:8" ht="17.100000000000001" customHeight="1">
      <c r="A21" s="5" t="s">
        <v>8</v>
      </c>
      <c r="B21" s="11">
        <v>5</v>
      </c>
      <c r="C21" s="11"/>
      <c r="D21" s="11">
        <v>3</v>
      </c>
      <c r="E21" s="4">
        <f t="shared" si="0"/>
        <v>0</v>
      </c>
      <c r="F21" s="4">
        <f t="shared" si="1"/>
        <v>30</v>
      </c>
      <c r="G21" s="4">
        <f t="shared" si="2"/>
        <v>30</v>
      </c>
    </row>
    <row r="22" spans="1:8" ht="17.100000000000001" customHeight="1">
      <c r="A22" s="5" t="s">
        <v>86</v>
      </c>
      <c r="B22" s="11">
        <v>5</v>
      </c>
      <c r="C22" s="11"/>
      <c r="D22" s="11">
        <v>5</v>
      </c>
      <c r="E22" s="4">
        <f t="shared" si="0"/>
        <v>0</v>
      </c>
      <c r="F22" s="4">
        <f t="shared" si="1"/>
        <v>50</v>
      </c>
      <c r="G22" s="4">
        <f t="shared" si="2"/>
        <v>50</v>
      </c>
    </row>
    <row r="23" spans="1:8" ht="17.100000000000001" customHeight="1">
      <c r="A23" s="5" t="s">
        <v>14</v>
      </c>
      <c r="B23" s="11">
        <v>19</v>
      </c>
      <c r="C23" s="11"/>
      <c r="D23" s="11">
        <v>16</v>
      </c>
      <c r="E23" s="4">
        <f t="shared" si="0"/>
        <v>0</v>
      </c>
      <c r="F23" s="4">
        <f t="shared" si="1"/>
        <v>42.105263157894733</v>
      </c>
      <c r="G23" s="4">
        <f t="shared" si="2"/>
        <v>42.105263157894733</v>
      </c>
    </row>
    <row r="24" spans="1:8" ht="17.100000000000001" customHeight="1">
      <c r="A24" s="5" t="s">
        <v>91</v>
      </c>
      <c r="B24" s="11">
        <v>2</v>
      </c>
      <c r="C24" s="11"/>
      <c r="D24" s="11">
        <v>2</v>
      </c>
      <c r="E24" s="4">
        <f t="shared" si="0"/>
        <v>0</v>
      </c>
      <c r="F24" s="4">
        <f t="shared" si="1"/>
        <v>50</v>
      </c>
      <c r="G24" s="4">
        <f t="shared" si="2"/>
        <v>50</v>
      </c>
    </row>
    <row r="25" spans="1:8" ht="17.100000000000001" customHeight="1">
      <c r="A25" s="5" t="s">
        <v>85</v>
      </c>
      <c r="B25" s="11">
        <v>3</v>
      </c>
      <c r="C25" s="11"/>
      <c r="D25" s="11">
        <v>3</v>
      </c>
      <c r="E25" s="4">
        <f t="shared" si="0"/>
        <v>0</v>
      </c>
      <c r="F25" s="4">
        <f t="shared" si="1"/>
        <v>50</v>
      </c>
      <c r="G25" s="4">
        <f t="shared" si="2"/>
        <v>50</v>
      </c>
    </row>
    <row r="26" spans="1:8" ht="17.100000000000001" customHeight="1">
      <c r="A26" s="5" t="s">
        <v>84</v>
      </c>
      <c r="B26" s="11">
        <v>3</v>
      </c>
      <c r="C26" s="11"/>
      <c r="D26" s="11">
        <v>3</v>
      </c>
      <c r="E26" s="4">
        <f t="shared" si="0"/>
        <v>0</v>
      </c>
      <c r="F26" s="4">
        <f t="shared" si="1"/>
        <v>50</v>
      </c>
      <c r="G26" s="4">
        <f t="shared" si="2"/>
        <v>50</v>
      </c>
    </row>
    <row r="27" spans="1:8" ht="17.100000000000001" customHeight="1">
      <c r="A27" s="5" t="s">
        <v>90</v>
      </c>
      <c r="B27" s="11">
        <v>5</v>
      </c>
      <c r="C27" s="11"/>
      <c r="D27" s="11">
        <v>5</v>
      </c>
      <c r="E27" s="4">
        <f t="shared" si="0"/>
        <v>0</v>
      </c>
      <c r="F27" s="4">
        <f t="shared" si="1"/>
        <v>50</v>
      </c>
      <c r="G27" s="4">
        <f t="shared" si="2"/>
        <v>50</v>
      </c>
      <c r="H27" s="19" t="s">
        <v>112</v>
      </c>
    </row>
    <row r="28" spans="1:8" ht="17.100000000000001" customHeight="1">
      <c r="A28" s="5" t="s">
        <v>93</v>
      </c>
      <c r="B28" s="11">
        <v>6</v>
      </c>
      <c r="C28" s="11"/>
      <c r="D28" s="11">
        <v>6</v>
      </c>
      <c r="E28" s="4">
        <f t="shared" si="0"/>
        <v>0</v>
      </c>
      <c r="F28" s="4">
        <f t="shared" si="1"/>
        <v>50</v>
      </c>
      <c r="G28" s="4">
        <f t="shared" si="2"/>
        <v>50</v>
      </c>
    </row>
    <row r="29" spans="1:8" ht="17.100000000000001" customHeight="1">
      <c r="A29" s="5" t="s">
        <v>30</v>
      </c>
      <c r="B29" s="11">
        <v>4</v>
      </c>
      <c r="C29" s="11"/>
      <c r="D29" s="11">
        <v>4</v>
      </c>
      <c r="E29" s="4">
        <f t="shared" si="0"/>
        <v>0</v>
      </c>
      <c r="F29" s="4">
        <f t="shared" si="1"/>
        <v>50</v>
      </c>
      <c r="G29" s="4">
        <f t="shared" si="2"/>
        <v>50</v>
      </c>
    </row>
    <row r="30" spans="1:8" ht="17.100000000000001" customHeight="1">
      <c r="A30" s="5" t="s">
        <v>32</v>
      </c>
      <c r="B30" s="11">
        <v>22</v>
      </c>
      <c r="C30" s="11"/>
      <c r="D30" s="11">
        <v>22</v>
      </c>
      <c r="E30" s="4">
        <f t="shared" si="0"/>
        <v>0</v>
      </c>
      <c r="F30" s="4">
        <f t="shared" si="1"/>
        <v>50</v>
      </c>
      <c r="G30" s="4">
        <f t="shared" si="2"/>
        <v>50</v>
      </c>
    </row>
    <row r="31" spans="1:8" ht="17.100000000000001" customHeight="1">
      <c r="A31" s="5" t="s">
        <v>61</v>
      </c>
      <c r="B31" s="11">
        <v>13</v>
      </c>
      <c r="C31" s="11"/>
      <c r="D31" s="11">
        <v>13</v>
      </c>
      <c r="E31" s="4">
        <f t="shared" si="0"/>
        <v>0</v>
      </c>
      <c r="F31" s="4">
        <f t="shared" si="1"/>
        <v>50</v>
      </c>
      <c r="G31" s="4">
        <f t="shared" si="2"/>
        <v>50</v>
      </c>
    </row>
    <row r="32" spans="1:8" ht="17.100000000000001" customHeight="1">
      <c r="A32" s="5" t="s">
        <v>33</v>
      </c>
      <c r="B32" s="11">
        <v>7</v>
      </c>
      <c r="C32" s="11"/>
      <c r="D32" s="11">
        <v>7</v>
      </c>
      <c r="E32" s="4">
        <f t="shared" si="0"/>
        <v>0</v>
      </c>
      <c r="F32" s="4">
        <f t="shared" si="1"/>
        <v>50</v>
      </c>
      <c r="G32" s="4">
        <f t="shared" si="2"/>
        <v>50</v>
      </c>
      <c r="H32" s="19" t="s">
        <v>112</v>
      </c>
    </row>
    <row r="33" spans="1:8" ht="17.100000000000001" customHeight="1">
      <c r="A33" s="5" t="s">
        <v>34</v>
      </c>
      <c r="B33" s="11">
        <v>6</v>
      </c>
      <c r="C33" s="11"/>
      <c r="D33" s="11">
        <v>6</v>
      </c>
      <c r="E33" s="4">
        <f t="shared" si="0"/>
        <v>0</v>
      </c>
      <c r="F33" s="4">
        <f t="shared" si="1"/>
        <v>50</v>
      </c>
      <c r="G33" s="4">
        <f t="shared" si="2"/>
        <v>50</v>
      </c>
    </row>
    <row r="34" spans="1:8" ht="17.100000000000001" customHeight="1">
      <c r="A34" s="16" t="s">
        <v>53</v>
      </c>
      <c r="B34" s="11">
        <v>4</v>
      </c>
      <c r="C34" s="11"/>
      <c r="D34" s="11">
        <v>4</v>
      </c>
      <c r="E34" s="4">
        <f t="shared" si="0"/>
        <v>0</v>
      </c>
      <c r="F34" s="4">
        <f t="shared" si="1"/>
        <v>50</v>
      </c>
      <c r="G34" s="4">
        <f t="shared" si="2"/>
        <v>50</v>
      </c>
    </row>
    <row r="35" spans="1:8" ht="17.100000000000001" customHeight="1">
      <c r="A35" s="5" t="s">
        <v>35</v>
      </c>
      <c r="B35" s="11">
        <v>12</v>
      </c>
      <c r="C35" s="11"/>
      <c r="D35" s="11">
        <v>11</v>
      </c>
      <c r="E35" s="4">
        <f t="shared" si="0"/>
        <v>0</v>
      </c>
      <c r="F35" s="4">
        <f t="shared" si="1"/>
        <v>45.833333333333329</v>
      </c>
      <c r="G35" s="4">
        <f t="shared" si="2"/>
        <v>45.833333333333329</v>
      </c>
    </row>
    <row r="36" spans="1:8" ht="17.100000000000001" customHeight="1">
      <c r="A36" s="5" t="s">
        <v>83</v>
      </c>
      <c r="B36" s="11">
        <v>4</v>
      </c>
      <c r="C36" s="11"/>
      <c r="D36" s="11">
        <v>4</v>
      </c>
      <c r="E36" s="4">
        <f t="shared" si="0"/>
        <v>0</v>
      </c>
      <c r="F36" s="4">
        <f t="shared" si="1"/>
        <v>50</v>
      </c>
      <c r="G36" s="4">
        <f t="shared" si="2"/>
        <v>50</v>
      </c>
    </row>
    <row r="37" spans="1:8" ht="17.100000000000001" customHeight="1">
      <c r="A37" s="5" t="s">
        <v>36</v>
      </c>
      <c r="B37" s="11">
        <v>9</v>
      </c>
      <c r="C37" s="11"/>
      <c r="D37" s="11">
        <v>9</v>
      </c>
      <c r="E37" s="4">
        <f t="shared" si="0"/>
        <v>0</v>
      </c>
      <c r="F37" s="4">
        <f t="shared" si="1"/>
        <v>50</v>
      </c>
      <c r="G37" s="4">
        <f t="shared" si="2"/>
        <v>50</v>
      </c>
    </row>
    <row r="38" spans="1:8" ht="17.100000000000001" customHeight="1">
      <c r="A38" s="5" t="s">
        <v>37</v>
      </c>
      <c r="B38" s="11">
        <v>11</v>
      </c>
      <c r="C38" s="11"/>
      <c r="D38" s="11">
        <v>11</v>
      </c>
      <c r="E38" s="4">
        <f t="shared" si="0"/>
        <v>0</v>
      </c>
      <c r="F38" s="4">
        <f t="shared" si="1"/>
        <v>50</v>
      </c>
      <c r="G38" s="4">
        <f t="shared" si="2"/>
        <v>50</v>
      </c>
      <c r="H38" s="19" t="s">
        <v>112</v>
      </c>
    </row>
    <row r="39" spans="1:8" ht="17.100000000000001" customHeight="1">
      <c r="A39" s="5" t="s">
        <v>82</v>
      </c>
      <c r="B39" s="11">
        <v>21</v>
      </c>
      <c r="C39" s="11"/>
      <c r="D39" s="11">
        <v>21</v>
      </c>
      <c r="E39" s="4">
        <f t="shared" si="0"/>
        <v>0</v>
      </c>
      <c r="F39" s="4">
        <f t="shared" si="1"/>
        <v>50</v>
      </c>
      <c r="G39" s="4">
        <f t="shared" si="2"/>
        <v>50</v>
      </c>
      <c r="H39" s="19" t="s">
        <v>112</v>
      </c>
    </row>
    <row r="40" spans="1:8" ht="17.100000000000001" customHeight="1">
      <c r="A40" s="5" t="s">
        <v>39</v>
      </c>
      <c r="B40" s="11">
        <v>22</v>
      </c>
      <c r="C40" s="11"/>
      <c r="D40" s="11">
        <v>22</v>
      </c>
      <c r="E40" s="4">
        <f t="shared" si="0"/>
        <v>0</v>
      </c>
      <c r="F40" s="4">
        <f t="shared" si="1"/>
        <v>50</v>
      </c>
      <c r="G40" s="4">
        <f t="shared" si="2"/>
        <v>50</v>
      </c>
    </row>
    <row r="41" spans="1:8" ht="17.100000000000001" customHeight="1">
      <c r="A41" s="5" t="s">
        <v>81</v>
      </c>
      <c r="B41" s="11">
        <v>21</v>
      </c>
      <c r="C41" s="11"/>
      <c r="D41" s="11">
        <v>21</v>
      </c>
      <c r="E41" s="4">
        <f t="shared" si="0"/>
        <v>0</v>
      </c>
      <c r="F41" s="4">
        <f t="shared" si="1"/>
        <v>50</v>
      </c>
      <c r="G41" s="4">
        <f t="shared" si="2"/>
        <v>50</v>
      </c>
    </row>
    <row r="42" spans="1:8" ht="17.100000000000001" customHeight="1">
      <c r="A42" s="17" t="s">
        <v>31</v>
      </c>
      <c r="B42" s="11">
        <v>22</v>
      </c>
      <c r="C42" s="11"/>
      <c r="D42" s="11">
        <v>22</v>
      </c>
      <c r="E42" s="4">
        <f t="shared" si="0"/>
        <v>0</v>
      </c>
      <c r="F42" s="4">
        <f t="shared" si="1"/>
        <v>50</v>
      </c>
      <c r="G42" s="4">
        <f t="shared" si="2"/>
        <v>50</v>
      </c>
      <c r="H42" s="19" t="s">
        <v>112</v>
      </c>
    </row>
    <row r="43" spans="1:8" ht="17.100000000000001" customHeight="1">
      <c r="A43" s="5" t="s">
        <v>10</v>
      </c>
      <c r="B43" s="11">
        <v>43</v>
      </c>
      <c r="C43" s="11"/>
      <c r="D43" s="11">
        <v>37</v>
      </c>
      <c r="E43" s="4">
        <f t="shared" si="0"/>
        <v>0</v>
      </c>
      <c r="F43" s="4">
        <f t="shared" si="1"/>
        <v>43.02325581395349</v>
      </c>
      <c r="G43" s="4">
        <f t="shared" si="2"/>
        <v>43.02325581395349</v>
      </c>
    </row>
    <row r="44" spans="1:8" ht="17.100000000000001" customHeight="1">
      <c r="A44" s="5" t="s">
        <v>40</v>
      </c>
      <c r="B44" s="11">
        <v>14</v>
      </c>
      <c r="C44" s="11"/>
      <c r="D44" s="11">
        <v>14</v>
      </c>
      <c r="E44" s="4">
        <f t="shared" si="0"/>
        <v>0</v>
      </c>
      <c r="F44" s="4">
        <f t="shared" si="1"/>
        <v>50</v>
      </c>
      <c r="G44" s="4">
        <f t="shared" si="2"/>
        <v>50</v>
      </c>
      <c r="H44" s="19" t="s">
        <v>112</v>
      </c>
    </row>
    <row r="45" spans="1:8" ht="17.100000000000001" customHeight="1">
      <c r="A45" s="5" t="s">
        <v>62</v>
      </c>
      <c r="B45" s="11">
        <v>12</v>
      </c>
      <c r="C45" s="11"/>
      <c r="D45" s="11">
        <v>12</v>
      </c>
      <c r="E45" s="4">
        <f t="shared" si="0"/>
        <v>0</v>
      </c>
      <c r="F45" s="4">
        <f t="shared" si="1"/>
        <v>50</v>
      </c>
      <c r="G45" s="4">
        <f t="shared" si="2"/>
        <v>50</v>
      </c>
    </row>
    <row r="46" spans="1:8" ht="17.100000000000001" customHeight="1">
      <c r="A46" s="5" t="s">
        <v>63</v>
      </c>
      <c r="B46" s="11">
        <v>4</v>
      </c>
      <c r="C46" s="11"/>
      <c r="D46" s="11">
        <v>4</v>
      </c>
      <c r="E46" s="4">
        <f t="shared" si="0"/>
        <v>0</v>
      </c>
      <c r="F46" s="4">
        <f t="shared" si="1"/>
        <v>50</v>
      </c>
      <c r="G46" s="4">
        <f t="shared" si="2"/>
        <v>50</v>
      </c>
    </row>
    <row r="47" spans="1:8" ht="17.100000000000001" customHeight="1">
      <c r="A47" s="5" t="s">
        <v>116</v>
      </c>
      <c r="B47" s="11">
        <v>18</v>
      </c>
      <c r="C47" s="11"/>
      <c r="D47" s="11">
        <v>18</v>
      </c>
      <c r="E47" s="4">
        <f t="shared" si="0"/>
        <v>0</v>
      </c>
      <c r="F47" s="4">
        <f t="shared" si="1"/>
        <v>50</v>
      </c>
      <c r="G47" s="4">
        <f t="shared" si="2"/>
        <v>50</v>
      </c>
    </row>
    <row r="48" spans="1:8" ht="17.100000000000001" customHeight="1">
      <c r="A48" s="5" t="s">
        <v>41</v>
      </c>
      <c r="B48" s="11">
        <v>20</v>
      </c>
      <c r="C48" s="11"/>
      <c r="D48" s="11">
        <v>20</v>
      </c>
      <c r="E48" s="4">
        <f t="shared" si="0"/>
        <v>0</v>
      </c>
      <c r="F48" s="4">
        <f t="shared" si="1"/>
        <v>50</v>
      </c>
      <c r="G48" s="4">
        <f t="shared" si="2"/>
        <v>50</v>
      </c>
    </row>
    <row r="49" spans="1:8" ht="17.100000000000001" customHeight="1">
      <c r="A49" s="5" t="s">
        <v>64</v>
      </c>
      <c r="B49" s="11">
        <v>25</v>
      </c>
      <c r="C49" s="11"/>
      <c r="D49" s="11">
        <v>19</v>
      </c>
      <c r="E49" s="4">
        <f t="shared" si="0"/>
        <v>0</v>
      </c>
      <c r="F49" s="4">
        <f t="shared" si="1"/>
        <v>38</v>
      </c>
      <c r="G49" s="4">
        <f t="shared" si="2"/>
        <v>38</v>
      </c>
    </row>
    <row r="50" spans="1:8" ht="17.100000000000001" customHeight="1">
      <c r="A50" s="5" t="s">
        <v>42</v>
      </c>
      <c r="B50" s="11">
        <v>16</v>
      </c>
      <c r="C50" s="11"/>
      <c r="D50" s="11">
        <v>16</v>
      </c>
      <c r="E50" s="4">
        <f t="shared" si="0"/>
        <v>0</v>
      </c>
      <c r="F50" s="4">
        <f t="shared" si="1"/>
        <v>50</v>
      </c>
      <c r="G50" s="4">
        <f t="shared" si="2"/>
        <v>50</v>
      </c>
      <c r="H50" s="19" t="s">
        <v>112</v>
      </c>
    </row>
    <row r="51" spans="1:8" ht="17.100000000000001" customHeight="1">
      <c r="A51" s="5" t="s">
        <v>80</v>
      </c>
      <c r="B51" s="11">
        <v>5</v>
      </c>
      <c r="C51" s="11"/>
      <c r="D51" s="11">
        <v>2</v>
      </c>
      <c r="E51" s="4">
        <f t="shared" si="0"/>
        <v>0</v>
      </c>
      <c r="F51" s="4">
        <f t="shared" si="1"/>
        <v>20</v>
      </c>
      <c r="G51" s="4">
        <f t="shared" si="2"/>
        <v>20</v>
      </c>
    </row>
    <row r="52" spans="1:8" ht="17.100000000000001" customHeight="1">
      <c r="A52" s="5" t="s">
        <v>11</v>
      </c>
      <c r="B52" s="11">
        <v>20</v>
      </c>
      <c r="C52" s="11"/>
      <c r="D52" s="11">
        <v>17</v>
      </c>
      <c r="E52" s="4">
        <f t="shared" si="0"/>
        <v>0</v>
      </c>
      <c r="F52" s="4">
        <f t="shared" si="1"/>
        <v>42.5</v>
      </c>
      <c r="G52" s="4">
        <f t="shared" si="2"/>
        <v>42.5</v>
      </c>
    </row>
    <row r="53" spans="1:8" ht="17.100000000000001" customHeight="1">
      <c r="A53" s="5" t="s">
        <v>87</v>
      </c>
      <c r="B53" s="11">
        <v>5</v>
      </c>
      <c r="C53" s="11"/>
      <c r="D53" s="11">
        <v>5</v>
      </c>
      <c r="E53" s="4">
        <f t="shared" si="0"/>
        <v>0</v>
      </c>
      <c r="F53" s="4">
        <f t="shared" si="1"/>
        <v>50</v>
      </c>
      <c r="G53" s="4">
        <f t="shared" si="2"/>
        <v>50</v>
      </c>
    </row>
    <row r="54" spans="1:8" ht="17.100000000000001" customHeight="1">
      <c r="A54" s="5" t="s">
        <v>43</v>
      </c>
      <c r="B54" s="11">
        <v>10</v>
      </c>
      <c r="C54" s="11"/>
      <c r="D54" s="11">
        <v>10</v>
      </c>
      <c r="E54" s="4">
        <f t="shared" si="0"/>
        <v>0</v>
      </c>
      <c r="F54" s="4">
        <f t="shared" si="1"/>
        <v>50</v>
      </c>
      <c r="G54" s="4">
        <f t="shared" si="2"/>
        <v>50</v>
      </c>
      <c r="H54" s="19" t="s">
        <v>112</v>
      </c>
    </row>
    <row r="55" spans="1:8" ht="17.100000000000001" customHeight="1">
      <c r="A55" s="5" t="s">
        <v>106</v>
      </c>
      <c r="B55" s="11">
        <v>11</v>
      </c>
      <c r="C55" s="11"/>
      <c r="D55" s="11">
        <v>11</v>
      </c>
      <c r="E55" s="4">
        <f t="shared" si="0"/>
        <v>0</v>
      </c>
      <c r="F55" s="4">
        <f t="shared" si="1"/>
        <v>50</v>
      </c>
      <c r="G55" s="4">
        <f t="shared" si="2"/>
        <v>50</v>
      </c>
    </row>
    <row r="56" spans="1:8" ht="17.100000000000001" customHeight="1">
      <c r="A56" s="5" t="s">
        <v>44</v>
      </c>
      <c r="B56" s="11">
        <v>16</v>
      </c>
      <c r="C56" s="11"/>
      <c r="D56" s="11">
        <v>14</v>
      </c>
      <c r="E56" s="4">
        <f t="shared" si="0"/>
        <v>0</v>
      </c>
      <c r="F56" s="4">
        <f t="shared" si="1"/>
        <v>43.75</v>
      </c>
      <c r="G56" s="4">
        <f t="shared" si="2"/>
        <v>43.75</v>
      </c>
    </row>
    <row r="57" spans="1:8" ht="17.100000000000001" customHeight="1">
      <c r="A57" s="5" t="s">
        <v>45</v>
      </c>
      <c r="B57" s="11">
        <v>31</v>
      </c>
      <c r="C57" s="11"/>
      <c r="D57" s="11">
        <v>30</v>
      </c>
      <c r="E57" s="4">
        <f t="shared" si="0"/>
        <v>0</v>
      </c>
      <c r="F57" s="4">
        <f t="shared" si="1"/>
        <v>48.387096774193552</v>
      </c>
      <c r="G57" s="4">
        <f t="shared" si="2"/>
        <v>48.387096774193552</v>
      </c>
    </row>
    <row r="58" spans="1:8" ht="17.100000000000001" customHeight="1">
      <c r="A58" s="5" t="s">
        <v>46</v>
      </c>
      <c r="B58" s="11">
        <v>47</v>
      </c>
      <c r="C58" s="11"/>
      <c r="D58" s="11">
        <v>37</v>
      </c>
      <c r="E58" s="4">
        <f t="shared" si="0"/>
        <v>0</v>
      </c>
      <c r="F58" s="4">
        <f t="shared" si="1"/>
        <v>39.361702127659576</v>
      </c>
      <c r="G58" s="4">
        <f t="shared" si="2"/>
        <v>39.361702127659576</v>
      </c>
    </row>
    <row r="59" spans="1:8" ht="17.100000000000001" customHeight="1">
      <c r="A59" s="5" t="s">
        <v>79</v>
      </c>
      <c r="B59" s="11">
        <v>1</v>
      </c>
      <c r="C59" s="11"/>
      <c r="D59" s="11">
        <v>1</v>
      </c>
      <c r="E59" s="4">
        <f t="shared" si="0"/>
        <v>0</v>
      </c>
      <c r="F59" s="4">
        <f t="shared" si="1"/>
        <v>50</v>
      </c>
      <c r="G59" s="4">
        <f t="shared" si="2"/>
        <v>50</v>
      </c>
    </row>
    <row r="60" spans="1:8" ht="17.100000000000001" customHeight="1">
      <c r="A60" s="5" t="s">
        <v>78</v>
      </c>
      <c r="B60" s="11">
        <v>3</v>
      </c>
      <c r="C60" s="11"/>
      <c r="D60" s="11">
        <v>3</v>
      </c>
      <c r="E60" s="4">
        <f t="shared" si="0"/>
        <v>0</v>
      </c>
      <c r="F60" s="4">
        <f t="shared" si="1"/>
        <v>50</v>
      </c>
      <c r="G60" s="4">
        <f t="shared" si="2"/>
        <v>50</v>
      </c>
    </row>
    <row r="61" spans="1:8" ht="17.100000000000001" customHeight="1">
      <c r="A61" s="5" t="s">
        <v>47</v>
      </c>
      <c r="B61" s="11">
        <v>14</v>
      </c>
      <c r="C61" s="11"/>
      <c r="D61" s="11">
        <v>13</v>
      </c>
      <c r="E61" s="4">
        <f t="shared" si="0"/>
        <v>0</v>
      </c>
      <c r="F61" s="4">
        <f t="shared" si="1"/>
        <v>46.428571428571431</v>
      </c>
      <c r="G61" s="4">
        <f t="shared" si="2"/>
        <v>46.428571428571431</v>
      </c>
    </row>
    <row r="62" spans="1:8" ht="17.100000000000001" customHeight="1">
      <c r="A62" s="5" t="s">
        <v>48</v>
      </c>
      <c r="B62" s="11">
        <v>5</v>
      </c>
      <c r="C62" s="11"/>
      <c r="D62" s="11">
        <v>5</v>
      </c>
      <c r="E62" s="4">
        <f t="shared" si="0"/>
        <v>0</v>
      </c>
      <c r="F62" s="4">
        <f t="shared" si="1"/>
        <v>50</v>
      </c>
      <c r="G62" s="4">
        <f t="shared" si="2"/>
        <v>50</v>
      </c>
      <c r="H62" s="19" t="s">
        <v>112</v>
      </c>
    </row>
    <row r="63" spans="1:8" ht="17.100000000000001" customHeight="1">
      <c r="A63" s="5" t="s">
        <v>77</v>
      </c>
      <c r="B63" s="11">
        <v>2</v>
      </c>
      <c r="C63" s="11"/>
      <c r="D63" s="11">
        <v>2</v>
      </c>
      <c r="E63" s="4">
        <f t="shared" si="0"/>
        <v>0</v>
      </c>
      <c r="F63" s="4">
        <f t="shared" si="1"/>
        <v>50</v>
      </c>
      <c r="G63" s="4">
        <f t="shared" si="2"/>
        <v>50</v>
      </c>
      <c r="H63" s="19" t="s">
        <v>112</v>
      </c>
    </row>
    <row r="64" spans="1:8" ht="17.100000000000001" customHeight="1">
      <c r="A64" s="5" t="s">
        <v>0</v>
      </c>
      <c r="B64" s="11">
        <v>29</v>
      </c>
      <c r="C64" s="11"/>
      <c r="D64" s="11">
        <v>20</v>
      </c>
      <c r="E64" s="4">
        <f t="shared" si="0"/>
        <v>0</v>
      </c>
      <c r="F64" s="4">
        <f t="shared" si="1"/>
        <v>34.482758620689658</v>
      </c>
      <c r="G64" s="4">
        <f t="shared" si="2"/>
        <v>34.482758620689658</v>
      </c>
    </row>
    <row r="65" spans="1:8" ht="17.100000000000001" customHeight="1">
      <c r="A65" s="5" t="s">
        <v>12</v>
      </c>
      <c r="B65" s="11">
        <v>63</v>
      </c>
      <c r="C65" s="11"/>
      <c r="D65" s="11">
        <v>62</v>
      </c>
      <c r="E65" s="4">
        <f t="shared" si="0"/>
        <v>0</v>
      </c>
      <c r="F65" s="4">
        <f t="shared" si="1"/>
        <v>49.206349206349202</v>
      </c>
      <c r="G65" s="4">
        <f t="shared" si="2"/>
        <v>49.206349206349202</v>
      </c>
    </row>
    <row r="66" spans="1:8" ht="17.100000000000001" customHeight="1">
      <c r="A66" s="5" t="s">
        <v>65</v>
      </c>
      <c r="B66" s="11">
        <v>9</v>
      </c>
      <c r="C66" s="11"/>
      <c r="D66" s="11">
        <v>9</v>
      </c>
      <c r="E66" s="4">
        <f t="shared" ref="E66:E92" si="3">C66/B66*50</f>
        <v>0</v>
      </c>
      <c r="F66" s="4">
        <f t="shared" ref="F66:F92" si="4">D66/B66*50</f>
        <v>50</v>
      </c>
      <c r="G66" s="4">
        <f t="shared" ref="G66:G104" si="5">SUM(E66:F66)</f>
        <v>50</v>
      </c>
    </row>
    <row r="67" spans="1:8" ht="17.100000000000001" customHeight="1">
      <c r="A67" s="5" t="s">
        <v>49</v>
      </c>
      <c r="B67" s="11">
        <v>13</v>
      </c>
      <c r="C67" s="11"/>
      <c r="D67" s="11">
        <v>13</v>
      </c>
      <c r="E67" s="4">
        <f t="shared" si="3"/>
        <v>0</v>
      </c>
      <c r="F67" s="4">
        <f t="shared" si="4"/>
        <v>50</v>
      </c>
      <c r="G67" s="4">
        <f t="shared" si="5"/>
        <v>50</v>
      </c>
    </row>
    <row r="68" spans="1:8" ht="17.100000000000001" customHeight="1">
      <c r="A68" s="5" t="s">
        <v>76</v>
      </c>
      <c r="B68" s="11">
        <v>7</v>
      </c>
      <c r="C68" s="11"/>
      <c r="D68" s="11">
        <v>7</v>
      </c>
      <c r="E68" s="4">
        <f t="shared" si="3"/>
        <v>0</v>
      </c>
      <c r="F68" s="4">
        <f t="shared" si="4"/>
        <v>50</v>
      </c>
      <c r="G68" s="4">
        <f t="shared" si="5"/>
        <v>50</v>
      </c>
      <c r="H68" s="19" t="s">
        <v>112</v>
      </c>
    </row>
    <row r="69" spans="1:8" ht="17.100000000000001" customHeight="1">
      <c r="A69" s="5" t="s">
        <v>50</v>
      </c>
      <c r="B69" s="11">
        <v>6</v>
      </c>
      <c r="C69" s="11"/>
      <c r="D69" s="11">
        <v>6</v>
      </c>
      <c r="E69" s="4">
        <f t="shared" si="3"/>
        <v>0</v>
      </c>
      <c r="F69" s="4">
        <f t="shared" si="4"/>
        <v>50</v>
      </c>
      <c r="G69" s="4">
        <f t="shared" si="5"/>
        <v>50</v>
      </c>
    </row>
    <row r="70" spans="1:8" ht="17.100000000000001" customHeight="1">
      <c r="A70" s="5" t="s">
        <v>51</v>
      </c>
      <c r="B70" s="11">
        <v>13</v>
      </c>
      <c r="C70" s="11"/>
      <c r="D70" s="11">
        <v>12</v>
      </c>
      <c r="E70" s="4">
        <f t="shared" si="3"/>
        <v>0</v>
      </c>
      <c r="F70" s="4">
        <f t="shared" si="4"/>
        <v>46.153846153846153</v>
      </c>
      <c r="G70" s="4">
        <f t="shared" si="5"/>
        <v>46.153846153846153</v>
      </c>
    </row>
    <row r="71" spans="1:8" ht="17.100000000000001" customHeight="1">
      <c r="A71" s="5" t="s">
        <v>6</v>
      </c>
      <c r="B71" s="11">
        <v>1</v>
      </c>
      <c r="C71" s="11"/>
      <c r="D71" s="11">
        <v>1</v>
      </c>
      <c r="E71" s="4">
        <f t="shared" si="3"/>
        <v>0</v>
      </c>
      <c r="F71" s="4">
        <f t="shared" si="4"/>
        <v>50</v>
      </c>
      <c r="G71" s="4">
        <f t="shared" si="5"/>
        <v>50</v>
      </c>
    </row>
    <row r="72" spans="1:8" ht="17.100000000000001" customHeight="1">
      <c r="A72" s="5" t="s">
        <v>66</v>
      </c>
      <c r="B72" s="11">
        <v>3</v>
      </c>
      <c r="C72" s="11"/>
      <c r="D72" s="11">
        <v>3</v>
      </c>
      <c r="E72" s="4">
        <f t="shared" si="3"/>
        <v>0</v>
      </c>
      <c r="F72" s="4">
        <f t="shared" si="4"/>
        <v>50</v>
      </c>
      <c r="G72" s="4">
        <f t="shared" si="5"/>
        <v>50</v>
      </c>
    </row>
    <row r="73" spans="1:8" ht="17.100000000000001" customHeight="1">
      <c r="A73" s="5" t="s">
        <v>52</v>
      </c>
      <c r="B73" s="11">
        <v>19</v>
      </c>
      <c r="C73" s="11"/>
      <c r="D73" s="11">
        <v>18</v>
      </c>
      <c r="E73" s="4">
        <f t="shared" si="3"/>
        <v>0</v>
      </c>
      <c r="F73" s="4">
        <f t="shared" si="4"/>
        <v>47.368421052631575</v>
      </c>
      <c r="G73" s="4">
        <f t="shared" si="5"/>
        <v>47.368421052631575</v>
      </c>
    </row>
    <row r="74" spans="1:8" ht="17.100000000000001" customHeight="1">
      <c r="A74" s="5" t="s">
        <v>75</v>
      </c>
      <c r="B74" s="11">
        <v>5</v>
      </c>
      <c r="C74" s="11"/>
      <c r="D74" s="11">
        <v>5</v>
      </c>
      <c r="E74" s="4">
        <f t="shared" si="3"/>
        <v>0</v>
      </c>
      <c r="F74" s="4">
        <f t="shared" si="4"/>
        <v>50</v>
      </c>
      <c r="G74" s="4">
        <f t="shared" si="5"/>
        <v>50</v>
      </c>
    </row>
    <row r="75" spans="1:8" ht="17.100000000000001" customHeight="1">
      <c r="A75" s="5" t="s">
        <v>74</v>
      </c>
      <c r="B75" s="11">
        <v>8</v>
      </c>
      <c r="C75" s="11"/>
      <c r="D75" s="11">
        <v>8</v>
      </c>
      <c r="E75" s="4">
        <f t="shared" si="3"/>
        <v>0</v>
      </c>
      <c r="F75" s="4">
        <f t="shared" si="4"/>
        <v>50</v>
      </c>
      <c r="G75" s="4">
        <f t="shared" si="5"/>
        <v>50</v>
      </c>
    </row>
    <row r="76" spans="1:8" ht="17.100000000000001" customHeight="1">
      <c r="A76" s="5" t="s">
        <v>105</v>
      </c>
      <c r="B76" s="11">
        <v>1</v>
      </c>
      <c r="C76" s="11"/>
      <c r="D76" s="11">
        <v>1</v>
      </c>
      <c r="E76" s="4">
        <f t="shared" si="3"/>
        <v>0</v>
      </c>
      <c r="F76" s="4">
        <f t="shared" si="4"/>
        <v>50</v>
      </c>
      <c r="G76" s="4">
        <f t="shared" si="5"/>
        <v>50</v>
      </c>
    </row>
    <row r="77" spans="1:8" ht="17.100000000000001" customHeight="1">
      <c r="A77" s="5" t="s">
        <v>54</v>
      </c>
      <c r="B77" s="11">
        <v>18</v>
      </c>
      <c r="C77" s="11"/>
      <c r="D77" s="11">
        <v>18</v>
      </c>
      <c r="E77" s="4">
        <f t="shared" si="3"/>
        <v>0</v>
      </c>
      <c r="F77" s="4">
        <f t="shared" si="4"/>
        <v>50</v>
      </c>
      <c r="G77" s="4">
        <f t="shared" si="5"/>
        <v>50</v>
      </c>
    </row>
    <row r="78" spans="1:8" ht="17.100000000000001" customHeight="1">
      <c r="A78" s="5" t="s">
        <v>67</v>
      </c>
      <c r="B78" s="11">
        <v>8</v>
      </c>
      <c r="C78" s="11"/>
      <c r="D78" s="11">
        <v>7</v>
      </c>
      <c r="E78" s="4">
        <f t="shared" si="3"/>
        <v>0</v>
      </c>
      <c r="F78" s="4">
        <f t="shared" si="4"/>
        <v>43.75</v>
      </c>
      <c r="G78" s="4">
        <f t="shared" si="5"/>
        <v>43.75</v>
      </c>
    </row>
    <row r="79" spans="1:8" ht="17.100000000000001" customHeight="1">
      <c r="A79" s="5" t="s">
        <v>7</v>
      </c>
      <c r="B79" s="11">
        <v>3</v>
      </c>
      <c r="C79" s="11"/>
      <c r="D79" s="11">
        <v>1</v>
      </c>
      <c r="E79" s="4">
        <f t="shared" si="3"/>
        <v>0</v>
      </c>
      <c r="F79" s="4">
        <f t="shared" si="4"/>
        <v>16.666666666666664</v>
      </c>
      <c r="G79" s="4">
        <f t="shared" si="5"/>
        <v>16.666666666666664</v>
      </c>
    </row>
    <row r="80" spans="1:8" ht="17.100000000000001" customHeight="1">
      <c r="A80" s="18" t="s">
        <v>38</v>
      </c>
      <c r="B80" s="11">
        <v>17</v>
      </c>
      <c r="C80" s="11"/>
      <c r="D80" s="11">
        <v>17</v>
      </c>
      <c r="E80" s="4">
        <f t="shared" si="3"/>
        <v>0</v>
      </c>
      <c r="F80" s="4">
        <f t="shared" si="4"/>
        <v>50</v>
      </c>
      <c r="G80" s="4">
        <f t="shared" si="5"/>
        <v>50</v>
      </c>
      <c r="H80" s="19" t="s">
        <v>112</v>
      </c>
    </row>
    <row r="81" spans="1:11" ht="17.100000000000001" customHeight="1">
      <c r="A81" s="5" t="s">
        <v>1</v>
      </c>
      <c r="B81" s="11">
        <v>40</v>
      </c>
      <c r="C81" s="11"/>
      <c r="D81" s="11">
        <v>33</v>
      </c>
      <c r="E81" s="4">
        <f t="shared" si="3"/>
        <v>0</v>
      </c>
      <c r="F81" s="4">
        <f t="shared" si="4"/>
        <v>41.25</v>
      </c>
      <c r="G81" s="4">
        <f t="shared" si="5"/>
        <v>41.25</v>
      </c>
    </row>
    <row r="82" spans="1:11" ht="17.100000000000001" customHeight="1">
      <c r="A82" s="5" t="s">
        <v>68</v>
      </c>
      <c r="B82" s="11">
        <v>32</v>
      </c>
      <c r="C82" s="11"/>
      <c r="D82" s="11">
        <v>32</v>
      </c>
      <c r="E82" s="4">
        <f t="shared" si="3"/>
        <v>0</v>
      </c>
      <c r="F82" s="4">
        <f t="shared" si="4"/>
        <v>50</v>
      </c>
      <c r="G82" s="4">
        <f t="shared" si="5"/>
        <v>50</v>
      </c>
    </row>
    <row r="83" spans="1:11" ht="17.100000000000001" customHeight="1">
      <c r="A83" s="5" t="s">
        <v>55</v>
      </c>
      <c r="B83" s="11">
        <v>31</v>
      </c>
      <c r="C83" s="11"/>
      <c r="D83" s="11">
        <v>31</v>
      </c>
      <c r="E83" s="4">
        <f t="shared" si="3"/>
        <v>0</v>
      </c>
      <c r="F83" s="4">
        <f t="shared" si="4"/>
        <v>50</v>
      </c>
      <c r="G83" s="4">
        <f t="shared" si="5"/>
        <v>50</v>
      </c>
    </row>
    <row r="84" spans="1:11" ht="17.100000000000001" customHeight="1">
      <c r="A84" s="5" t="s">
        <v>73</v>
      </c>
      <c r="B84" s="11">
        <v>6</v>
      </c>
      <c r="C84" s="11"/>
      <c r="D84" s="11">
        <v>6</v>
      </c>
      <c r="E84" s="4">
        <f t="shared" si="3"/>
        <v>0</v>
      </c>
      <c r="F84" s="4">
        <f t="shared" si="4"/>
        <v>50</v>
      </c>
      <c r="G84" s="4">
        <f t="shared" si="5"/>
        <v>50</v>
      </c>
    </row>
    <row r="85" spans="1:11" ht="17.100000000000001" customHeight="1">
      <c r="A85" s="5" t="s">
        <v>72</v>
      </c>
      <c r="B85" s="11">
        <v>1</v>
      </c>
      <c r="C85" s="11"/>
      <c r="D85" s="11">
        <v>1</v>
      </c>
      <c r="E85" s="4">
        <f t="shared" si="3"/>
        <v>0</v>
      </c>
      <c r="F85" s="4">
        <f t="shared" si="4"/>
        <v>50</v>
      </c>
      <c r="G85" s="4">
        <f t="shared" si="5"/>
        <v>50</v>
      </c>
    </row>
    <row r="86" spans="1:11" ht="17.100000000000001" customHeight="1">
      <c r="A86" s="5" t="s">
        <v>69</v>
      </c>
      <c r="B86" s="11">
        <v>34</v>
      </c>
      <c r="C86" s="11"/>
      <c r="D86" s="11">
        <v>34</v>
      </c>
      <c r="E86" s="4">
        <f t="shared" si="3"/>
        <v>0</v>
      </c>
      <c r="F86" s="4">
        <f t="shared" si="4"/>
        <v>50</v>
      </c>
      <c r="G86" s="4">
        <f t="shared" si="5"/>
        <v>50</v>
      </c>
      <c r="H86" s="19" t="s">
        <v>112</v>
      </c>
    </row>
    <row r="87" spans="1:11" ht="17.100000000000001" customHeight="1">
      <c r="A87" s="5" t="s">
        <v>2</v>
      </c>
      <c r="B87" s="11">
        <v>59</v>
      </c>
      <c r="C87" s="11"/>
      <c r="D87" s="11">
        <v>57</v>
      </c>
      <c r="E87" s="4">
        <f t="shared" si="3"/>
        <v>0</v>
      </c>
      <c r="F87" s="4">
        <f t="shared" si="4"/>
        <v>48.305084745762713</v>
      </c>
      <c r="G87" s="4">
        <f t="shared" si="5"/>
        <v>48.305084745762713</v>
      </c>
    </row>
    <row r="88" spans="1:11" ht="17.100000000000001" customHeight="1">
      <c r="A88" s="5" t="s">
        <v>89</v>
      </c>
      <c r="B88" s="11">
        <v>5</v>
      </c>
      <c r="C88" s="11"/>
      <c r="D88" s="11">
        <v>5</v>
      </c>
      <c r="E88" s="4">
        <f t="shared" si="3"/>
        <v>0</v>
      </c>
      <c r="F88" s="4">
        <f t="shared" si="4"/>
        <v>50</v>
      </c>
      <c r="G88" s="4">
        <f t="shared" si="5"/>
        <v>50</v>
      </c>
    </row>
    <row r="89" spans="1:11" ht="17.100000000000001" customHeight="1">
      <c r="A89" s="5" t="s">
        <v>56</v>
      </c>
      <c r="B89" s="11">
        <v>10</v>
      </c>
      <c r="C89" s="11"/>
      <c r="D89" s="11">
        <v>10</v>
      </c>
      <c r="E89" s="4">
        <f t="shared" si="3"/>
        <v>0</v>
      </c>
      <c r="F89" s="4">
        <f t="shared" si="4"/>
        <v>50</v>
      </c>
      <c r="G89" s="4">
        <f t="shared" si="5"/>
        <v>50</v>
      </c>
    </row>
    <row r="90" spans="1:11" ht="17.100000000000001" customHeight="1">
      <c r="A90" s="5" t="s">
        <v>9</v>
      </c>
      <c r="B90" s="11">
        <v>43</v>
      </c>
      <c r="C90" s="11"/>
      <c r="D90" s="11">
        <v>42</v>
      </c>
      <c r="E90" s="4">
        <f t="shared" si="3"/>
        <v>0</v>
      </c>
      <c r="F90" s="4">
        <f t="shared" si="4"/>
        <v>48.837209302325576</v>
      </c>
      <c r="G90" s="4">
        <f t="shared" si="5"/>
        <v>48.837209302325576</v>
      </c>
      <c r="H90" s="19"/>
    </row>
    <row r="91" spans="1:11" ht="17.100000000000001" customHeight="1">
      <c r="A91" s="5" t="s">
        <v>88</v>
      </c>
      <c r="B91" s="11">
        <v>3</v>
      </c>
      <c r="C91" s="11"/>
      <c r="D91" s="11">
        <v>3</v>
      </c>
      <c r="E91" s="4">
        <f t="shared" si="3"/>
        <v>0</v>
      </c>
      <c r="F91" s="4">
        <f t="shared" si="4"/>
        <v>50</v>
      </c>
      <c r="G91" s="4">
        <f t="shared" si="5"/>
        <v>50</v>
      </c>
    </row>
    <row r="92" spans="1:11" ht="17.100000000000001" customHeight="1">
      <c r="A92" s="5" t="s">
        <v>70</v>
      </c>
      <c r="B92" s="11">
        <v>26</v>
      </c>
      <c r="C92" s="11"/>
      <c r="D92" s="11">
        <v>26</v>
      </c>
      <c r="E92" s="4">
        <f t="shared" si="3"/>
        <v>0</v>
      </c>
      <c r="F92" s="4">
        <f t="shared" si="4"/>
        <v>50</v>
      </c>
      <c r="G92" s="4">
        <f t="shared" si="5"/>
        <v>50</v>
      </c>
    </row>
    <row r="93" spans="1:11" ht="17.100000000000001" customHeight="1">
      <c r="A93" s="20" t="s">
        <v>107</v>
      </c>
      <c r="B93" s="11">
        <v>3</v>
      </c>
      <c r="C93" s="11"/>
      <c r="D93" s="11">
        <v>2</v>
      </c>
      <c r="E93" s="4">
        <f t="shared" ref="E93:E103" si="6">C93/B93*50</f>
        <v>0</v>
      </c>
      <c r="F93" s="4">
        <f t="shared" ref="F93:F103" si="7">D93/B93*50</f>
        <v>33.333333333333329</v>
      </c>
      <c r="G93" s="4">
        <f t="shared" ref="G93:G103" si="8">SUM(E93:F93)</f>
        <v>33.333333333333329</v>
      </c>
    </row>
    <row r="94" spans="1:11" ht="17.100000000000001" customHeight="1">
      <c r="A94" s="20" t="s">
        <v>108</v>
      </c>
      <c r="B94" s="11">
        <v>15</v>
      </c>
      <c r="C94" s="11"/>
      <c r="D94" s="11">
        <v>13</v>
      </c>
      <c r="E94" s="4">
        <f t="shared" si="6"/>
        <v>0</v>
      </c>
      <c r="F94" s="4">
        <f t="shared" si="7"/>
        <v>43.333333333333336</v>
      </c>
      <c r="G94" s="4">
        <f t="shared" si="8"/>
        <v>43.333333333333336</v>
      </c>
    </row>
    <row r="95" spans="1:11" ht="17.100000000000001" customHeight="1">
      <c r="A95" s="20" t="s">
        <v>109</v>
      </c>
      <c r="B95" s="11">
        <v>33</v>
      </c>
      <c r="C95" s="11"/>
      <c r="D95" s="11">
        <v>31</v>
      </c>
      <c r="E95" s="4">
        <f t="shared" si="6"/>
        <v>0</v>
      </c>
      <c r="F95" s="4">
        <f t="shared" si="7"/>
        <v>46.969696969696969</v>
      </c>
      <c r="G95" s="4">
        <f t="shared" si="8"/>
        <v>46.969696969696969</v>
      </c>
      <c r="K95" s="19"/>
    </row>
    <row r="96" spans="1:11" ht="17.100000000000001" customHeight="1">
      <c r="A96" s="20" t="s">
        <v>110</v>
      </c>
      <c r="B96" s="11">
        <v>2</v>
      </c>
      <c r="C96" s="11"/>
      <c r="D96" s="11">
        <v>1</v>
      </c>
      <c r="E96" s="4">
        <f t="shared" si="6"/>
        <v>0</v>
      </c>
      <c r="F96" s="4">
        <f t="shared" si="7"/>
        <v>25</v>
      </c>
      <c r="G96" s="4">
        <f t="shared" si="8"/>
        <v>25</v>
      </c>
      <c r="K96" s="19"/>
    </row>
    <row r="97" spans="1:11" ht="17.100000000000001" customHeight="1">
      <c r="A97" s="20" t="s">
        <v>111</v>
      </c>
      <c r="B97" s="11">
        <v>2</v>
      </c>
      <c r="C97" s="11"/>
      <c r="D97" s="11">
        <v>1</v>
      </c>
      <c r="E97" s="4">
        <f t="shared" si="6"/>
        <v>0</v>
      </c>
      <c r="F97" s="4">
        <f t="shared" si="7"/>
        <v>25</v>
      </c>
      <c r="G97" s="4">
        <f t="shared" si="8"/>
        <v>25</v>
      </c>
      <c r="K97" s="19"/>
    </row>
    <row r="98" spans="1:11" ht="17.100000000000001" customHeight="1">
      <c r="A98" s="20" t="s">
        <v>119</v>
      </c>
      <c r="B98" s="11">
        <v>2</v>
      </c>
      <c r="C98" s="11"/>
      <c r="D98" s="11">
        <v>1</v>
      </c>
      <c r="E98" s="4">
        <f t="shared" si="6"/>
        <v>0</v>
      </c>
      <c r="F98" s="4">
        <f t="shared" si="7"/>
        <v>25</v>
      </c>
      <c r="G98" s="4">
        <f t="shared" si="8"/>
        <v>25</v>
      </c>
      <c r="K98" s="19"/>
    </row>
    <row r="99" spans="1:11" ht="17.100000000000001" customHeight="1">
      <c r="A99" s="21" t="s">
        <v>114</v>
      </c>
      <c r="B99" s="22">
        <v>2</v>
      </c>
      <c r="C99" s="11"/>
      <c r="D99" s="22">
        <v>2</v>
      </c>
      <c r="E99" s="4">
        <f t="shared" ref="E99:E101" si="9">C99/B99*50</f>
        <v>0</v>
      </c>
      <c r="F99" s="4">
        <f t="shared" ref="F99:F101" si="10">D99/B99*50</f>
        <v>50</v>
      </c>
      <c r="G99" s="4">
        <f t="shared" ref="G99:G101" si="11">SUM(E99:F99)</f>
        <v>50</v>
      </c>
      <c r="K99" s="19"/>
    </row>
    <row r="100" spans="1:11" ht="17.100000000000001" customHeight="1">
      <c r="A100" s="21" t="s">
        <v>115</v>
      </c>
      <c r="B100" s="22">
        <v>1</v>
      </c>
      <c r="C100" s="11"/>
      <c r="D100" s="22">
        <v>1</v>
      </c>
      <c r="E100" s="4">
        <f t="shared" si="9"/>
        <v>0</v>
      </c>
      <c r="F100" s="4">
        <f t="shared" si="10"/>
        <v>50</v>
      </c>
      <c r="G100" s="4">
        <f t="shared" si="11"/>
        <v>50</v>
      </c>
      <c r="K100" s="19"/>
    </row>
    <row r="101" spans="1:11" ht="17.100000000000001" customHeight="1">
      <c r="A101" s="21" t="s">
        <v>118</v>
      </c>
      <c r="B101" s="22">
        <v>1</v>
      </c>
      <c r="C101" s="11"/>
      <c r="D101" s="22">
        <v>1</v>
      </c>
      <c r="E101" s="4">
        <f t="shared" si="9"/>
        <v>0</v>
      </c>
      <c r="F101" s="4">
        <f t="shared" si="10"/>
        <v>50</v>
      </c>
      <c r="G101" s="4">
        <f t="shared" si="11"/>
        <v>50</v>
      </c>
      <c r="K101" s="19"/>
    </row>
    <row r="102" spans="1:11" ht="17.100000000000001" customHeight="1">
      <c r="A102" s="20" t="s">
        <v>117</v>
      </c>
      <c r="B102" s="11">
        <v>2</v>
      </c>
      <c r="C102" s="11"/>
      <c r="D102" s="11">
        <v>2</v>
      </c>
      <c r="E102" s="4">
        <f t="shared" si="6"/>
        <v>0</v>
      </c>
      <c r="F102" s="4">
        <f t="shared" si="7"/>
        <v>50</v>
      </c>
      <c r="G102" s="4">
        <f t="shared" si="8"/>
        <v>50</v>
      </c>
    </row>
    <row r="103" spans="1:11" ht="17.100000000000001" customHeight="1">
      <c r="A103" s="20" t="s">
        <v>113</v>
      </c>
      <c r="B103" s="11">
        <v>1</v>
      </c>
      <c r="C103" s="11"/>
      <c r="D103" s="11">
        <v>1</v>
      </c>
      <c r="E103" s="4">
        <f t="shared" si="6"/>
        <v>0</v>
      </c>
      <c r="F103" s="4">
        <f t="shared" si="7"/>
        <v>50</v>
      </c>
      <c r="G103" s="4">
        <f t="shared" si="8"/>
        <v>50</v>
      </c>
    </row>
    <row r="104" spans="1:11" s="6" customFormat="1" ht="17.100000000000001" customHeight="1">
      <c r="A104" s="6" t="s">
        <v>94</v>
      </c>
      <c r="B104" s="8">
        <v>1449</v>
      </c>
      <c r="C104" s="8">
        <f>B104-77</f>
        <v>1372</v>
      </c>
      <c r="D104" s="8">
        <f>B104-53</f>
        <v>1396</v>
      </c>
      <c r="E104" s="7">
        <f>C104/B104*50</f>
        <v>47.342995169082123</v>
      </c>
      <c r="F104" s="7">
        <f>D104/B104*50</f>
        <v>48.171152518978602</v>
      </c>
      <c r="G104" s="12">
        <f t="shared" si="5"/>
        <v>95.514147688060717</v>
      </c>
    </row>
    <row r="105" spans="1:11" ht="8.4499999999999993" customHeight="1"/>
    <row r="106" spans="1:11">
      <c r="C106" s="14"/>
      <c r="D106" s="14"/>
      <c r="G106" s="1" t="s">
        <v>71</v>
      </c>
    </row>
    <row r="108" spans="1:11" s="9" customFormat="1" ht="18">
      <c r="A108" s="9" t="s">
        <v>97</v>
      </c>
      <c r="C108" s="9" t="s">
        <v>96</v>
      </c>
      <c r="E108" s="10" t="s">
        <v>95</v>
      </c>
    </row>
  </sheetData>
  <autoFilter ref="A6:G6" xr:uid="{00000000-0009-0000-0000-000001000000}">
    <sortState xmlns:xlrd2="http://schemas.microsoft.com/office/spreadsheetml/2017/richdata2" ref="A7:G82">
      <sortCondition ref="A6"/>
    </sortState>
  </autoFilter>
  <mergeCells count="5">
    <mergeCell ref="A1:G1"/>
    <mergeCell ref="A3:G3"/>
    <mergeCell ref="A4:A5"/>
    <mergeCell ref="B4:D4"/>
    <mergeCell ref="E4:G4"/>
  </mergeCells>
  <phoneticPr fontId="1" type="noConversion"/>
  <conditionalFormatting sqref="E7:F103">
    <cfRule type="cellIs" dxfId="5" priority="2" operator="lessThan">
      <formula>35</formula>
    </cfRule>
  </conditionalFormatting>
  <conditionalFormatting sqref="E72:F72">
    <cfRule type="cellIs" dxfId="4" priority="3" operator="lessThan">
      <formula>40</formula>
    </cfRule>
    <cfRule type="cellIs" dxfId="3" priority="4" operator="lessThan">
      <formula>40</formula>
    </cfRule>
  </conditionalFormatting>
  <conditionalFormatting sqref="G7:G103">
    <cfRule type="cellIs" dxfId="2" priority="1" operator="lessThan">
      <formula>85</formula>
    </cfRule>
  </conditionalFormatting>
  <conditionalFormatting sqref="G72">
    <cfRule type="cellIs" dxfId="1" priority="5" operator="lessThan">
      <formula>85</formula>
    </cfRule>
    <cfRule type="cellIs" dxfId="0" priority="6" operator="lessThan">
      <formula>85</formula>
    </cfRule>
  </conditionalFormatting>
  <printOptions horizontalCentered="1"/>
  <pageMargins left="0.19685039370078741" right="0.19685039370078741" top="0.78740157480314965" bottom="0.59055118110236227" header="0.31496062992125984" footer="0.31496062992125984"/>
  <pageSetup paperSize="9" fitToHeight="7" orientation="portrait" r:id="rId1"/>
  <headerFooter>
    <oddHeader>&amp;R&amp;P/&amp;N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workbookViewId="0">
      <selection activeCell="G32" sqref="G32"/>
    </sheetView>
  </sheetViews>
  <sheetFormatPr defaultRowHeight="16.5"/>
  <sheetData>
    <row r="1" spans="1:8">
      <c r="A1" s="1"/>
      <c r="B1" s="24" t="s">
        <v>150</v>
      </c>
      <c r="C1" s="138" t="s">
        <v>151</v>
      </c>
      <c r="D1" s="136"/>
      <c r="E1" s="141" t="s">
        <v>152</v>
      </c>
      <c r="F1" s="142"/>
      <c r="G1" s="142"/>
      <c r="H1" s="142"/>
    </row>
    <row r="2" spans="1:8">
      <c r="A2" s="1"/>
      <c r="B2" s="24"/>
      <c r="C2" s="24" t="s">
        <v>163</v>
      </c>
      <c r="D2" s="24" t="s">
        <v>242</v>
      </c>
      <c r="E2" s="138" t="s">
        <v>163</v>
      </c>
      <c r="F2" s="139"/>
      <c r="G2" s="138" t="s">
        <v>242</v>
      </c>
      <c r="H2" s="136"/>
    </row>
    <row r="3" spans="1:8">
      <c r="A3" s="1"/>
      <c r="B3" s="25" t="s">
        <v>153</v>
      </c>
      <c r="C3" s="26">
        <v>1481</v>
      </c>
      <c r="D3" s="26">
        <v>1172</v>
      </c>
      <c r="E3" s="140" t="s">
        <v>164</v>
      </c>
      <c r="F3" s="136"/>
      <c r="G3" s="140" t="s">
        <v>164</v>
      </c>
      <c r="H3" s="136"/>
    </row>
    <row r="4" spans="1:8">
      <c r="A4" s="1"/>
      <c r="B4" s="25" t="s">
        <v>154</v>
      </c>
      <c r="C4" s="26">
        <v>4</v>
      </c>
      <c r="D4" s="26"/>
      <c r="E4" s="135">
        <v>2.7000000000000001E-3</v>
      </c>
      <c r="F4" s="137"/>
      <c r="G4" s="135"/>
      <c r="H4" s="136"/>
    </row>
    <row r="5" spans="1:8">
      <c r="A5" s="1"/>
      <c r="B5" s="25" t="s">
        <v>155</v>
      </c>
      <c r="C5" s="26">
        <v>54</v>
      </c>
      <c r="D5" s="26"/>
      <c r="E5" s="135">
        <v>3.5799999999999998E-2</v>
      </c>
      <c r="F5" s="137"/>
      <c r="G5" s="135"/>
      <c r="H5" s="136"/>
    </row>
    <row r="6" spans="1:8">
      <c r="A6" s="1"/>
      <c r="B6" s="25" t="s">
        <v>156</v>
      </c>
      <c r="C6" s="26">
        <v>57</v>
      </c>
      <c r="D6" s="26"/>
      <c r="E6" s="135">
        <v>3.85E-2</v>
      </c>
      <c r="F6" s="137"/>
      <c r="G6" s="135"/>
      <c r="H6" s="136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B25" s="1"/>
      <c r="C25" s="1"/>
      <c r="D25" s="1"/>
      <c r="E25" s="1"/>
      <c r="F25" s="1"/>
      <c r="G25" s="1"/>
      <c r="H25" s="1"/>
    </row>
  </sheetData>
  <mergeCells count="12">
    <mergeCell ref="G5:H5"/>
    <mergeCell ref="G6:H6"/>
    <mergeCell ref="E5:F5"/>
    <mergeCell ref="E6:F6"/>
    <mergeCell ref="C1:D1"/>
    <mergeCell ref="E2:F2"/>
    <mergeCell ref="G2:H2"/>
    <mergeCell ref="G3:H3"/>
    <mergeCell ref="G4:H4"/>
    <mergeCell ref="E3:F3"/>
    <mergeCell ref="E4:F4"/>
    <mergeCell ref="E1:H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5C81-D6F1-4C50-96D2-1A5EAFC5986E}">
  <dimension ref="A1:I78"/>
  <sheetViews>
    <sheetView workbookViewId="0">
      <pane xSplit="5" ySplit="3" topLeftCell="F64" activePane="bottomRight" state="frozen"/>
      <selection pane="topRight" activeCell="F1" sqref="F1"/>
      <selection pane="bottomLeft" activeCell="A4" sqref="A4"/>
      <selection pane="bottomRight" activeCell="G65" sqref="G65"/>
    </sheetView>
  </sheetViews>
  <sheetFormatPr defaultRowHeight="16.5"/>
  <cols>
    <col min="1" max="1" width="5.875" style="36" customWidth="1"/>
    <col min="2" max="2" width="13.5" style="36" customWidth="1"/>
    <col min="3" max="3" width="11.75" style="36" bestFit="1" customWidth="1"/>
    <col min="4" max="4" width="22.625" style="36" bestFit="1" customWidth="1"/>
    <col min="5" max="5" width="10.375" style="36" customWidth="1"/>
    <col min="6" max="6" width="46.375" style="36" customWidth="1"/>
    <col min="7" max="7" width="63.125" style="36" customWidth="1"/>
    <col min="8" max="8" width="8.625" style="36" customWidth="1"/>
    <col min="9" max="9" width="16.125" style="36" bestFit="1" customWidth="1"/>
  </cols>
  <sheetData>
    <row r="1" spans="1:9" ht="22.5">
      <c r="A1" s="143" t="s">
        <v>396</v>
      </c>
      <c r="B1" s="143"/>
      <c r="C1" s="143"/>
      <c r="D1" s="143"/>
      <c r="E1" s="143"/>
      <c r="F1" s="143"/>
      <c r="G1" s="143"/>
      <c r="H1" s="143"/>
      <c r="I1" s="143"/>
    </row>
    <row r="2" spans="1:9">
      <c r="C2" s="36" t="s">
        <v>395</v>
      </c>
      <c r="I2" s="46">
        <v>46177</v>
      </c>
    </row>
    <row r="3" spans="1:9">
      <c r="A3" s="51" t="s">
        <v>252</v>
      </c>
      <c r="B3" s="51" t="s">
        <v>157</v>
      </c>
      <c r="C3" s="51" t="s">
        <v>165</v>
      </c>
      <c r="D3" s="51" t="s">
        <v>166</v>
      </c>
      <c r="E3" s="51" t="s">
        <v>315</v>
      </c>
      <c r="F3" s="51" t="s">
        <v>250</v>
      </c>
      <c r="G3" s="51" t="s">
        <v>253</v>
      </c>
      <c r="H3" s="51" t="s">
        <v>317</v>
      </c>
      <c r="I3" s="51" t="s">
        <v>251</v>
      </c>
    </row>
    <row r="4" spans="1:9" ht="50.25">
      <c r="A4" s="13">
        <v>1</v>
      </c>
      <c r="B4" s="13" t="s">
        <v>161</v>
      </c>
      <c r="C4" s="58" t="s">
        <v>450</v>
      </c>
      <c r="D4" s="13" t="s">
        <v>265</v>
      </c>
      <c r="E4" s="13" t="s">
        <v>452</v>
      </c>
      <c r="F4" s="58" t="s">
        <v>491</v>
      </c>
      <c r="G4" s="13" t="s">
        <v>451</v>
      </c>
      <c r="H4" s="13" t="s">
        <v>337</v>
      </c>
      <c r="I4" s="49">
        <v>46057</v>
      </c>
    </row>
    <row r="5" spans="1:9" ht="33">
      <c r="A5" s="13">
        <v>2</v>
      </c>
      <c r="B5" s="13" t="s">
        <v>161</v>
      </c>
      <c r="C5" s="58" t="s">
        <v>258</v>
      </c>
      <c r="D5" s="13" t="s">
        <v>454</v>
      </c>
      <c r="E5" s="13" t="s">
        <v>337</v>
      </c>
      <c r="F5" s="58" t="s">
        <v>455</v>
      </c>
      <c r="G5" s="13" t="s">
        <v>456</v>
      </c>
      <c r="H5" s="13" t="s">
        <v>337</v>
      </c>
      <c r="I5" s="49">
        <v>46092</v>
      </c>
    </row>
    <row r="6" spans="1:9" ht="49.5">
      <c r="A6" s="13">
        <v>3</v>
      </c>
      <c r="B6" s="13" t="s">
        <v>158</v>
      </c>
      <c r="C6" s="58" t="s">
        <v>167</v>
      </c>
      <c r="D6" s="13" t="s">
        <v>102</v>
      </c>
      <c r="E6" s="13" t="s">
        <v>452</v>
      </c>
      <c r="F6" s="58" t="s">
        <v>453</v>
      </c>
      <c r="G6" s="13" t="s">
        <v>451</v>
      </c>
      <c r="H6" s="13" t="s">
        <v>337</v>
      </c>
      <c r="I6" s="49">
        <v>46094</v>
      </c>
    </row>
    <row r="7" spans="1:9" ht="52.5">
      <c r="A7" s="13">
        <v>4</v>
      </c>
      <c r="B7" s="13" t="s">
        <v>101</v>
      </c>
      <c r="C7" s="58" t="s">
        <v>255</v>
      </c>
      <c r="D7" s="13" t="s">
        <v>256</v>
      </c>
      <c r="E7" s="13" t="s">
        <v>452</v>
      </c>
      <c r="F7" s="58" t="s">
        <v>492</v>
      </c>
      <c r="G7" s="13" t="s">
        <v>451</v>
      </c>
      <c r="H7" s="13" t="s">
        <v>337</v>
      </c>
      <c r="I7" s="49">
        <v>46098</v>
      </c>
    </row>
    <row r="8" spans="1:9" ht="33">
      <c r="A8" s="13">
        <v>5</v>
      </c>
      <c r="B8" s="13" t="s">
        <v>279</v>
      </c>
      <c r="C8" s="13" t="s">
        <v>280</v>
      </c>
      <c r="D8" s="13" t="s">
        <v>281</v>
      </c>
      <c r="E8" s="13" t="s">
        <v>316</v>
      </c>
      <c r="F8" s="40" t="s">
        <v>282</v>
      </c>
      <c r="G8" s="40" t="s">
        <v>477</v>
      </c>
      <c r="H8" s="13" t="s">
        <v>337</v>
      </c>
      <c r="I8" s="49">
        <v>46119</v>
      </c>
    </row>
    <row r="9" spans="1:9" ht="49.5">
      <c r="A9" s="13">
        <v>6</v>
      </c>
      <c r="B9" s="13" t="s">
        <v>161</v>
      </c>
      <c r="C9" s="13" t="s">
        <v>276</v>
      </c>
      <c r="D9" s="13" t="s">
        <v>277</v>
      </c>
      <c r="E9" s="13" t="s">
        <v>316</v>
      </c>
      <c r="F9" s="40" t="s">
        <v>457</v>
      </c>
      <c r="G9" s="40" t="s">
        <v>458</v>
      </c>
      <c r="H9" s="13" t="s">
        <v>337</v>
      </c>
      <c r="I9" s="49">
        <v>46125</v>
      </c>
    </row>
    <row r="10" spans="1:9" ht="82.5">
      <c r="A10" s="13">
        <v>7</v>
      </c>
      <c r="B10" s="13" t="s">
        <v>158</v>
      </c>
      <c r="C10" s="13" t="s">
        <v>167</v>
      </c>
      <c r="D10" s="13" t="s">
        <v>102</v>
      </c>
      <c r="E10" s="13"/>
      <c r="F10" s="40" t="s">
        <v>291</v>
      </c>
      <c r="G10" s="40" t="s">
        <v>292</v>
      </c>
      <c r="H10" s="58" t="s">
        <v>316</v>
      </c>
      <c r="I10" s="48">
        <v>46126</v>
      </c>
    </row>
    <row r="11" spans="1:9">
      <c r="A11" s="13">
        <v>8</v>
      </c>
      <c r="B11" s="13" t="s">
        <v>158</v>
      </c>
      <c r="C11" s="13" t="s">
        <v>168</v>
      </c>
      <c r="D11" s="13" t="s">
        <v>169</v>
      </c>
      <c r="E11" s="13"/>
      <c r="F11" s="40" t="s">
        <v>273</v>
      </c>
      <c r="G11" s="40" t="s">
        <v>274</v>
      </c>
      <c r="H11" s="58" t="s">
        <v>316</v>
      </c>
      <c r="I11" s="49">
        <v>46132</v>
      </c>
    </row>
    <row r="12" spans="1:9" ht="99">
      <c r="A12" s="13">
        <v>9</v>
      </c>
      <c r="B12" s="13" t="s">
        <v>158</v>
      </c>
      <c r="C12" s="13" t="s">
        <v>244</v>
      </c>
      <c r="D12" s="13" t="s">
        <v>263</v>
      </c>
      <c r="E12" s="13"/>
      <c r="F12" s="40" t="s">
        <v>289</v>
      </c>
      <c r="G12" s="40" t="s">
        <v>460</v>
      </c>
      <c r="H12" s="58" t="s">
        <v>316</v>
      </c>
      <c r="I12" s="49">
        <v>46132</v>
      </c>
    </row>
    <row r="13" spans="1:9" ht="49.5">
      <c r="A13" s="13">
        <v>10</v>
      </c>
      <c r="B13" s="13" t="s">
        <v>162</v>
      </c>
      <c r="C13" s="13" t="s">
        <v>283</v>
      </c>
      <c r="D13" s="13" t="s">
        <v>284</v>
      </c>
      <c r="E13" s="13" t="s">
        <v>316</v>
      </c>
      <c r="F13" s="40" t="s">
        <v>285</v>
      </c>
      <c r="G13" s="40" t="s">
        <v>286</v>
      </c>
      <c r="H13" s="58" t="s">
        <v>316</v>
      </c>
      <c r="I13" s="48">
        <v>46133</v>
      </c>
    </row>
    <row r="14" spans="1:9">
      <c r="A14" s="13">
        <v>11</v>
      </c>
      <c r="B14" s="13" t="s">
        <v>98</v>
      </c>
      <c r="C14" s="13" t="s">
        <v>275</v>
      </c>
      <c r="D14" s="13" t="s">
        <v>270</v>
      </c>
      <c r="E14" s="13"/>
      <c r="F14" s="40" t="s">
        <v>271</v>
      </c>
      <c r="G14" s="40" t="s">
        <v>272</v>
      </c>
      <c r="H14" s="58" t="s">
        <v>316</v>
      </c>
      <c r="I14" s="49">
        <v>46133</v>
      </c>
    </row>
    <row r="15" spans="1:9" ht="33">
      <c r="A15" s="13">
        <v>12</v>
      </c>
      <c r="B15" s="13" t="s">
        <v>161</v>
      </c>
      <c r="C15" s="13" t="s">
        <v>276</v>
      </c>
      <c r="D15" s="13" t="s">
        <v>277</v>
      </c>
      <c r="E15" s="13" t="s">
        <v>316</v>
      </c>
      <c r="F15" s="40" t="s">
        <v>278</v>
      </c>
      <c r="G15" s="40" t="s">
        <v>480</v>
      </c>
      <c r="H15" s="58" t="s">
        <v>316</v>
      </c>
      <c r="I15" s="49">
        <v>46136</v>
      </c>
    </row>
    <row r="16" spans="1:9" ht="33.75">
      <c r="A16" s="13">
        <v>13</v>
      </c>
      <c r="B16" s="13" t="s">
        <v>100</v>
      </c>
      <c r="C16" s="13" t="s">
        <v>261</v>
      </c>
      <c r="D16" s="13" t="s">
        <v>262</v>
      </c>
      <c r="E16" s="13" t="s">
        <v>316</v>
      </c>
      <c r="F16" s="40" t="s">
        <v>493</v>
      </c>
      <c r="G16" s="40" t="s">
        <v>293</v>
      </c>
      <c r="H16" s="58" t="s">
        <v>316</v>
      </c>
      <c r="I16" s="49">
        <v>46138</v>
      </c>
    </row>
    <row r="17" spans="1:9" ht="49.5">
      <c r="A17" s="13">
        <v>14</v>
      </c>
      <c r="B17" s="13" t="s">
        <v>161</v>
      </c>
      <c r="C17" s="13" t="s">
        <v>258</v>
      </c>
      <c r="D17" s="13" t="s">
        <v>259</v>
      </c>
      <c r="E17" s="13"/>
      <c r="F17" s="40" t="s">
        <v>266</v>
      </c>
      <c r="G17" s="40" t="s">
        <v>260</v>
      </c>
      <c r="H17" s="58" t="s">
        <v>316</v>
      </c>
      <c r="I17" s="49">
        <v>46139</v>
      </c>
    </row>
    <row r="18" spans="1:9" ht="99.75">
      <c r="A18" s="13">
        <v>15</v>
      </c>
      <c r="B18" s="13" t="s">
        <v>8</v>
      </c>
      <c r="C18" s="13" t="s">
        <v>287</v>
      </c>
      <c r="D18" s="13" t="s">
        <v>288</v>
      </c>
      <c r="E18" s="13"/>
      <c r="F18" s="40" t="s">
        <v>290</v>
      </c>
      <c r="G18" s="40" t="s">
        <v>494</v>
      </c>
      <c r="H18" s="58" t="s">
        <v>316</v>
      </c>
      <c r="I18" s="49">
        <v>46139</v>
      </c>
    </row>
    <row r="19" spans="1:9" ht="33">
      <c r="A19" s="13">
        <v>16</v>
      </c>
      <c r="B19" s="13" t="s">
        <v>162</v>
      </c>
      <c r="C19" s="13" t="s">
        <v>268</v>
      </c>
      <c r="D19" s="13" t="s">
        <v>267</v>
      </c>
      <c r="E19" s="13"/>
      <c r="F19" s="40" t="s">
        <v>269</v>
      </c>
      <c r="G19" s="40" t="s">
        <v>459</v>
      </c>
      <c r="H19" s="58"/>
      <c r="I19" s="49">
        <v>46139</v>
      </c>
    </row>
    <row r="20" spans="1:9" ht="33">
      <c r="A20" s="13">
        <v>17</v>
      </c>
      <c r="B20" s="13" t="s">
        <v>161</v>
      </c>
      <c r="C20" s="58" t="s">
        <v>264</v>
      </c>
      <c r="D20" s="13" t="s">
        <v>265</v>
      </c>
      <c r="E20" s="13"/>
      <c r="F20" s="40" t="s">
        <v>295</v>
      </c>
      <c r="G20" s="40" t="s">
        <v>294</v>
      </c>
      <c r="H20" s="58" t="s">
        <v>316</v>
      </c>
      <c r="I20" s="49">
        <v>46140</v>
      </c>
    </row>
    <row r="21" spans="1:9">
      <c r="A21" s="13">
        <v>18</v>
      </c>
      <c r="B21" s="13" t="s">
        <v>101</v>
      </c>
      <c r="C21" s="13" t="s">
        <v>255</v>
      </c>
      <c r="D21" s="13" t="s">
        <v>256</v>
      </c>
      <c r="E21" s="13"/>
      <c r="F21" s="40" t="s">
        <v>314</v>
      </c>
      <c r="G21" s="40" t="s">
        <v>257</v>
      </c>
      <c r="H21" s="58"/>
      <c r="I21" s="48">
        <v>46140</v>
      </c>
    </row>
    <row r="22" spans="1:9" ht="33">
      <c r="A22" s="13">
        <v>19</v>
      </c>
      <c r="B22" s="13" t="s">
        <v>180</v>
      </c>
      <c r="C22" s="13" t="s">
        <v>320</v>
      </c>
      <c r="D22" s="13" t="s">
        <v>321</v>
      </c>
      <c r="E22" s="13" t="s">
        <v>316</v>
      </c>
      <c r="F22" s="40" t="s">
        <v>323</v>
      </c>
      <c r="G22" s="40" t="s">
        <v>322</v>
      </c>
      <c r="H22" s="58"/>
      <c r="I22" s="49">
        <v>46140</v>
      </c>
    </row>
    <row r="23" spans="1:9" ht="34.5">
      <c r="A23" s="13">
        <v>20</v>
      </c>
      <c r="B23" s="13" t="s">
        <v>100</v>
      </c>
      <c r="C23" s="13" t="s">
        <v>324</v>
      </c>
      <c r="D23" s="13" t="s">
        <v>262</v>
      </c>
      <c r="E23" s="13"/>
      <c r="F23" s="40" t="s">
        <v>495</v>
      </c>
      <c r="G23" s="40" t="s">
        <v>346</v>
      </c>
      <c r="H23" s="13" t="s">
        <v>337</v>
      </c>
      <c r="I23" s="49">
        <v>46149</v>
      </c>
    </row>
    <row r="24" spans="1:9" ht="49.5">
      <c r="A24" s="13">
        <v>21</v>
      </c>
      <c r="B24" s="13" t="s">
        <v>158</v>
      </c>
      <c r="C24" s="13" t="s">
        <v>167</v>
      </c>
      <c r="D24" s="13" t="s">
        <v>102</v>
      </c>
      <c r="E24" s="13" t="s">
        <v>337</v>
      </c>
      <c r="F24" s="40" t="s">
        <v>338</v>
      </c>
      <c r="G24" s="40" t="s">
        <v>339</v>
      </c>
      <c r="H24" s="13" t="s">
        <v>337</v>
      </c>
      <c r="I24" s="48">
        <v>46150</v>
      </c>
    </row>
    <row r="25" spans="1:9" ht="33">
      <c r="A25" s="13">
        <v>22</v>
      </c>
      <c r="B25" s="13" t="s">
        <v>98</v>
      </c>
      <c r="C25" s="13" t="s">
        <v>340</v>
      </c>
      <c r="D25" s="13" t="s">
        <v>270</v>
      </c>
      <c r="E25" s="13"/>
      <c r="F25" s="40" t="s">
        <v>341</v>
      </c>
      <c r="G25" s="40" t="s">
        <v>401</v>
      </c>
      <c r="H25" s="13" t="s">
        <v>337</v>
      </c>
      <c r="I25" s="49">
        <v>46154</v>
      </c>
    </row>
    <row r="26" spans="1:9" ht="33">
      <c r="A26" s="13">
        <v>23</v>
      </c>
      <c r="B26" s="13" t="s">
        <v>187</v>
      </c>
      <c r="C26" s="13" t="s">
        <v>342</v>
      </c>
      <c r="D26" s="13" t="s">
        <v>343</v>
      </c>
      <c r="E26" s="13" t="s">
        <v>316</v>
      </c>
      <c r="F26" s="40" t="s">
        <v>344</v>
      </c>
      <c r="G26" s="40" t="s">
        <v>345</v>
      </c>
      <c r="H26" s="13" t="s">
        <v>337</v>
      </c>
      <c r="I26" s="49">
        <v>46157</v>
      </c>
    </row>
    <row r="27" spans="1:9" ht="33">
      <c r="A27" s="13">
        <v>24</v>
      </c>
      <c r="B27" s="13" t="s">
        <v>217</v>
      </c>
      <c r="C27" s="13" t="s">
        <v>347</v>
      </c>
      <c r="D27" s="13" t="s">
        <v>348</v>
      </c>
      <c r="E27" s="13" t="s">
        <v>337</v>
      </c>
      <c r="F27" s="40" t="s">
        <v>349</v>
      </c>
      <c r="G27" s="40" t="s">
        <v>350</v>
      </c>
      <c r="H27" s="13" t="s">
        <v>337</v>
      </c>
      <c r="I27" s="48">
        <v>46154</v>
      </c>
    </row>
    <row r="28" spans="1:9" ht="33">
      <c r="A28" s="13">
        <v>25</v>
      </c>
      <c r="B28" s="13" t="s">
        <v>171</v>
      </c>
      <c r="C28" s="13" t="s">
        <v>351</v>
      </c>
      <c r="D28" s="13" t="s">
        <v>352</v>
      </c>
      <c r="E28" s="13" t="s">
        <v>337</v>
      </c>
      <c r="F28" s="40" t="s">
        <v>353</v>
      </c>
      <c r="G28" s="40" t="s">
        <v>362</v>
      </c>
      <c r="H28" s="13" t="s">
        <v>337</v>
      </c>
      <c r="I28" s="49">
        <v>46160</v>
      </c>
    </row>
    <row r="29" spans="1:9" ht="33">
      <c r="A29" s="13">
        <v>26</v>
      </c>
      <c r="B29" s="89" t="s">
        <v>98</v>
      </c>
      <c r="C29" s="13" t="s">
        <v>355</v>
      </c>
      <c r="D29" s="13" t="s">
        <v>270</v>
      </c>
      <c r="E29" s="13"/>
      <c r="F29" s="40" t="s">
        <v>356</v>
      </c>
      <c r="G29" s="40" t="s">
        <v>361</v>
      </c>
      <c r="H29" s="13" t="s">
        <v>337</v>
      </c>
      <c r="I29" s="49">
        <v>46157</v>
      </c>
    </row>
    <row r="30" spans="1:9" ht="33">
      <c r="A30" s="13">
        <v>27</v>
      </c>
      <c r="B30" s="89" t="s">
        <v>207</v>
      </c>
      <c r="C30" s="13" t="s">
        <v>357</v>
      </c>
      <c r="D30" s="13" t="s">
        <v>358</v>
      </c>
      <c r="E30" s="13"/>
      <c r="F30" s="40" t="s">
        <v>359</v>
      </c>
      <c r="G30" s="40" t="s">
        <v>363</v>
      </c>
      <c r="H30" s="13" t="s">
        <v>337</v>
      </c>
      <c r="I30" s="49">
        <v>46162</v>
      </c>
    </row>
    <row r="31" spans="1:9" ht="33">
      <c r="A31" s="13">
        <v>28</v>
      </c>
      <c r="B31" s="89" t="s">
        <v>101</v>
      </c>
      <c r="C31" s="13" t="s">
        <v>360</v>
      </c>
      <c r="D31" s="13" t="s">
        <v>256</v>
      </c>
      <c r="E31" s="13"/>
      <c r="F31" s="40" t="s">
        <v>365</v>
      </c>
      <c r="G31" s="40" t="s">
        <v>364</v>
      </c>
      <c r="H31" s="13" t="s">
        <v>337</v>
      </c>
      <c r="I31" s="49">
        <v>46163</v>
      </c>
    </row>
    <row r="32" spans="1:9" ht="33">
      <c r="A32" s="13">
        <v>29</v>
      </c>
      <c r="B32" s="13" t="s">
        <v>170</v>
      </c>
      <c r="C32" s="13" t="s">
        <v>375</v>
      </c>
      <c r="D32" s="13" t="s">
        <v>376</v>
      </c>
      <c r="E32" s="13"/>
      <c r="F32" s="40" t="s">
        <v>382</v>
      </c>
      <c r="G32" s="54" t="s">
        <v>377</v>
      </c>
      <c r="H32" s="13" t="s">
        <v>337</v>
      </c>
      <c r="I32" s="49">
        <v>46163</v>
      </c>
    </row>
    <row r="33" spans="1:9" ht="33">
      <c r="A33" s="13">
        <v>30</v>
      </c>
      <c r="B33" s="13" t="s">
        <v>110</v>
      </c>
      <c r="C33" s="13" t="s">
        <v>378</v>
      </c>
      <c r="D33" s="13" t="s">
        <v>379</v>
      </c>
      <c r="E33" s="13"/>
      <c r="F33" s="40" t="s">
        <v>383</v>
      </c>
      <c r="G33" s="40" t="s">
        <v>394</v>
      </c>
      <c r="H33" s="13" t="s">
        <v>337</v>
      </c>
      <c r="I33" s="49">
        <v>46164</v>
      </c>
    </row>
    <row r="34" spans="1:9" ht="49.5">
      <c r="A34" s="13">
        <v>31</v>
      </c>
      <c r="B34" s="13" t="s">
        <v>99</v>
      </c>
      <c r="C34" s="13" t="s">
        <v>380</v>
      </c>
      <c r="D34" s="13" t="s">
        <v>381</v>
      </c>
      <c r="E34" s="13"/>
      <c r="F34" s="40" t="s">
        <v>384</v>
      </c>
      <c r="G34" s="54" t="s">
        <v>377</v>
      </c>
      <c r="H34" s="13" t="s">
        <v>337</v>
      </c>
      <c r="I34" s="49">
        <v>46168</v>
      </c>
    </row>
    <row r="35" spans="1:9" ht="49.5">
      <c r="A35" s="13">
        <v>32</v>
      </c>
      <c r="B35" s="13" t="s">
        <v>217</v>
      </c>
      <c r="C35" s="13" t="s">
        <v>347</v>
      </c>
      <c r="D35" s="13" t="s">
        <v>348</v>
      </c>
      <c r="E35" s="13" t="s">
        <v>337</v>
      </c>
      <c r="F35" s="40" t="s">
        <v>404</v>
      </c>
      <c r="G35" s="40" t="s">
        <v>405</v>
      </c>
      <c r="H35" s="13" t="s">
        <v>337</v>
      </c>
      <c r="I35" s="49">
        <v>46169</v>
      </c>
    </row>
    <row r="36" spans="1:9" ht="18">
      <c r="A36" s="13">
        <v>33</v>
      </c>
      <c r="B36" s="13" t="s">
        <v>279</v>
      </c>
      <c r="C36" s="13" t="s">
        <v>399</v>
      </c>
      <c r="D36" s="13" t="s">
        <v>281</v>
      </c>
      <c r="E36" s="13"/>
      <c r="F36" s="40" t="s">
        <v>496</v>
      </c>
      <c r="G36" s="54" t="s">
        <v>401</v>
      </c>
      <c r="H36" s="13" t="s">
        <v>337</v>
      </c>
      <c r="I36" s="49">
        <v>46171</v>
      </c>
    </row>
    <row r="37" spans="1:9" ht="33">
      <c r="A37" s="13">
        <v>34</v>
      </c>
      <c r="B37" s="13" t="s">
        <v>158</v>
      </c>
      <c r="C37" s="13" t="s">
        <v>167</v>
      </c>
      <c r="D37" s="13" t="s">
        <v>102</v>
      </c>
      <c r="E37" s="13"/>
      <c r="F37" s="40" t="s">
        <v>473</v>
      </c>
      <c r="G37" s="40" t="s">
        <v>401</v>
      </c>
      <c r="H37" s="13" t="s">
        <v>337</v>
      </c>
      <c r="I37" s="49">
        <v>46175</v>
      </c>
    </row>
    <row r="38" spans="1:9" ht="33">
      <c r="A38" s="13">
        <v>35</v>
      </c>
      <c r="B38" s="13" t="s">
        <v>100</v>
      </c>
      <c r="C38" s="13" t="s">
        <v>417</v>
      </c>
      <c r="D38" s="13" t="s">
        <v>418</v>
      </c>
      <c r="E38" s="13"/>
      <c r="F38" s="40" t="s">
        <v>419</v>
      </c>
      <c r="G38" s="40" t="s">
        <v>434</v>
      </c>
      <c r="H38" s="13" t="s">
        <v>316</v>
      </c>
      <c r="I38" s="49">
        <v>46181</v>
      </c>
    </row>
    <row r="39" spans="1:9" ht="49.5">
      <c r="A39" s="13">
        <v>36</v>
      </c>
      <c r="B39" s="13" t="s">
        <v>100</v>
      </c>
      <c r="C39" s="13" t="s">
        <v>420</v>
      </c>
      <c r="D39" s="13" t="s">
        <v>421</v>
      </c>
      <c r="E39" s="13"/>
      <c r="F39" s="40" t="s">
        <v>422</v>
      </c>
      <c r="G39" s="40" t="s">
        <v>432</v>
      </c>
      <c r="H39" s="13" t="s">
        <v>337</v>
      </c>
      <c r="I39" s="49">
        <v>46181</v>
      </c>
    </row>
    <row r="40" spans="1:9" ht="49.5">
      <c r="A40" s="13">
        <v>37</v>
      </c>
      <c r="B40" s="89" t="s">
        <v>99</v>
      </c>
      <c r="C40" s="13" t="s">
        <v>427</v>
      </c>
      <c r="D40" s="13" t="s">
        <v>381</v>
      </c>
      <c r="E40" s="13" t="s">
        <v>337</v>
      </c>
      <c r="F40" s="40" t="s">
        <v>428</v>
      </c>
      <c r="G40" s="40" t="s">
        <v>483</v>
      </c>
      <c r="H40" s="13" t="s">
        <v>337</v>
      </c>
      <c r="I40" s="49">
        <v>46185</v>
      </c>
    </row>
    <row r="41" spans="1:9" ht="33">
      <c r="A41" s="13">
        <v>38</v>
      </c>
      <c r="B41" s="13" t="s">
        <v>174</v>
      </c>
      <c r="C41" s="13" t="s">
        <v>437</v>
      </c>
      <c r="D41" s="13" t="s">
        <v>438</v>
      </c>
      <c r="E41" s="13"/>
      <c r="F41" s="40" t="s">
        <v>439</v>
      </c>
      <c r="G41" s="40" t="s">
        <v>442</v>
      </c>
      <c r="H41" s="13" t="s">
        <v>337</v>
      </c>
      <c r="I41" s="49">
        <v>46185</v>
      </c>
    </row>
    <row r="42" spans="1:9" ht="49.5">
      <c r="A42" s="13">
        <v>39</v>
      </c>
      <c r="B42" s="13" t="s">
        <v>101</v>
      </c>
      <c r="C42" s="13" t="s">
        <v>360</v>
      </c>
      <c r="D42" s="13" t="s">
        <v>440</v>
      </c>
      <c r="E42" s="13"/>
      <c r="F42" s="40" t="s">
        <v>441</v>
      </c>
      <c r="G42" s="40" t="s">
        <v>489</v>
      </c>
      <c r="H42" s="13" t="s">
        <v>337</v>
      </c>
      <c r="I42" s="49">
        <v>46190</v>
      </c>
    </row>
    <row r="43" spans="1:9" ht="33">
      <c r="A43" s="13">
        <v>40</v>
      </c>
      <c r="B43" s="13" t="s">
        <v>103</v>
      </c>
      <c r="C43" s="13" t="s">
        <v>445</v>
      </c>
      <c r="D43" s="13" t="s">
        <v>446</v>
      </c>
      <c r="E43" s="13" t="s">
        <v>337</v>
      </c>
      <c r="F43" s="40" t="s">
        <v>448</v>
      </c>
      <c r="G43" s="40" t="s">
        <v>474</v>
      </c>
      <c r="H43" s="13" t="s">
        <v>337</v>
      </c>
      <c r="I43" s="49">
        <v>46196</v>
      </c>
    </row>
    <row r="44" spans="1:9" ht="33">
      <c r="A44" s="13">
        <v>41</v>
      </c>
      <c r="B44" s="13" t="s">
        <v>174</v>
      </c>
      <c r="C44" s="13" t="s">
        <v>437</v>
      </c>
      <c r="D44" s="13" t="s">
        <v>438</v>
      </c>
      <c r="E44" s="13"/>
      <c r="F44" s="40" t="s">
        <v>471</v>
      </c>
      <c r="G44" s="40" t="s">
        <v>472</v>
      </c>
      <c r="H44" s="13" t="s">
        <v>337</v>
      </c>
      <c r="I44" s="49">
        <v>46197</v>
      </c>
    </row>
    <row r="45" spans="1:9" ht="49.5">
      <c r="A45" s="44">
        <v>42</v>
      </c>
      <c r="B45" s="116" t="s">
        <v>161</v>
      </c>
      <c r="C45" s="44" t="s">
        <v>276</v>
      </c>
      <c r="D45" s="44" t="s">
        <v>277</v>
      </c>
      <c r="E45" s="44" t="s">
        <v>337</v>
      </c>
      <c r="F45" s="117" t="s">
        <v>470</v>
      </c>
      <c r="G45" s="117" t="s">
        <v>544</v>
      </c>
      <c r="H45" s="13" t="s">
        <v>337</v>
      </c>
      <c r="I45" s="50">
        <v>46198</v>
      </c>
    </row>
    <row r="46" spans="1:9" ht="33">
      <c r="A46" s="13">
        <v>43</v>
      </c>
      <c r="B46" s="13" t="s">
        <v>174</v>
      </c>
      <c r="C46" s="13" t="s">
        <v>502</v>
      </c>
      <c r="D46" s="13" t="s">
        <v>503</v>
      </c>
      <c r="E46" s="13"/>
      <c r="F46" s="40" t="s">
        <v>504</v>
      </c>
      <c r="G46" s="40" t="s">
        <v>534</v>
      </c>
      <c r="H46" s="13" t="s">
        <v>337</v>
      </c>
      <c r="I46" s="49">
        <v>46203</v>
      </c>
    </row>
    <row r="47" spans="1:9" ht="33">
      <c r="A47" s="13">
        <v>44</v>
      </c>
      <c r="B47" s="13" t="s">
        <v>228</v>
      </c>
      <c r="C47" s="13" t="s">
        <v>505</v>
      </c>
      <c r="D47" s="13" t="s">
        <v>506</v>
      </c>
      <c r="E47" s="13"/>
      <c r="F47" s="40" t="s">
        <v>507</v>
      </c>
      <c r="G47" s="40" t="s">
        <v>515</v>
      </c>
      <c r="H47" s="13" t="s">
        <v>337</v>
      </c>
      <c r="I47" s="49">
        <v>46203</v>
      </c>
    </row>
    <row r="48" spans="1:9" ht="33">
      <c r="A48" s="13">
        <v>45</v>
      </c>
      <c r="B48" s="13" t="s">
        <v>144</v>
      </c>
      <c r="C48" s="13" t="s">
        <v>512</v>
      </c>
      <c r="D48" s="13" t="s">
        <v>513</v>
      </c>
      <c r="E48" s="13"/>
      <c r="F48" s="40" t="s">
        <v>514</v>
      </c>
      <c r="G48" s="40" t="s">
        <v>515</v>
      </c>
      <c r="H48" s="13" t="s">
        <v>337</v>
      </c>
      <c r="I48" s="49">
        <v>46205</v>
      </c>
    </row>
    <row r="49" spans="1:9" ht="33">
      <c r="A49" s="13">
        <v>46</v>
      </c>
      <c r="B49" s="13" t="s">
        <v>103</v>
      </c>
      <c r="C49" s="13" t="s">
        <v>528</v>
      </c>
      <c r="D49" s="13" t="s">
        <v>529</v>
      </c>
      <c r="E49" s="13"/>
      <c r="F49" s="40" t="s">
        <v>523</v>
      </c>
      <c r="G49" s="40" t="s">
        <v>524</v>
      </c>
      <c r="H49" s="13" t="s">
        <v>337</v>
      </c>
      <c r="I49" s="49">
        <v>46211</v>
      </c>
    </row>
    <row r="50" spans="1:9" ht="49.5">
      <c r="A50" s="44">
        <v>47</v>
      </c>
      <c r="B50" s="44" t="s">
        <v>158</v>
      </c>
      <c r="C50" s="44" t="s">
        <v>244</v>
      </c>
      <c r="D50" s="44" t="s">
        <v>263</v>
      </c>
      <c r="E50" s="44"/>
      <c r="F50" s="117" t="s">
        <v>510</v>
      </c>
      <c r="G50" s="117" t="s">
        <v>585</v>
      </c>
      <c r="H50" s="44" t="s">
        <v>337</v>
      </c>
      <c r="I50" s="50">
        <v>46203</v>
      </c>
    </row>
    <row r="51" spans="1:9" ht="33">
      <c r="A51" s="44">
        <v>50</v>
      </c>
      <c r="B51" s="44" t="s">
        <v>172</v>
      </c>
      <c r="C51" s="44" t="s">
        <v>565</v>
      </c>
      <c r="D51" s="44" t="s">
        <v>270</v>
      </c>
      <c r="E51" s="44" t="s">
        <v>337</v>
      </c>
      <c r="F51" s="117" t="s">
        <v>568</v>
      </c>
      <c r="G51" s="117" t="s">
        <v>586</v>
      </c>
      <c r="H51" s="44" t="s">
        <v>337</v>
      </c>
      <c r="I51" s="50">
        <v>46212</v>
      </c>
    </row>
    <row r="52" spans="1:9" ht="49.5">
      <c r="A52" s="13">
        <v>46</v>
      </c>
      <c r="B52" s="13" t="s">
        <v>88</v>
      </c>
      <c r="C52" s="13" t="s">
        <v>535</v>
      </c>
      <c r="D52" s="13" t="s">
        <v>536</v>
      </c>
      <c r="E52" s="13"/>
      <c r="F52" s="40" t="s">
        <v>734</v>
      </c>
      <c r="G52" s="40" t="s">
        <v>733</v>
      </c>
      <c r="H52" s="13" t="s">
        <v>337</v>
      </c>
      <c r="I52" s="49">
        <v>46203</v>
      </c>
    </row>
    <row r="53" spans="1:9" ht="33">
      <c r="A53" s="13">
        <v>48</v>
      </c>
      <c r="B53" s="13" t="s">
        <v>569</v>
      </c>
      <c r="C53" s="13" t="s">
        <v>570</v>
      </c>
      <c r="D53" s="13" t="s">
        <v>571</v>
      </c>
      <c r="E53" s="13"/>
      <c r="F53" s="40" t="s">
        <v>735</v>
      </c>
      <c r="G53" s="40" t="s">
        <v>524</v>
      </c>
      <c r="H53" s="13" t="s">
        <v>337</v>
      </c>
      <c r="I53" s="49">
        <v>46212</v>
      </c>
    </row>
    <row r="54" spans="1:9" ht="49.5">
      <c r="A54" s="13">
        <v>49</v>
      </c>
      <c r="B54" s="13" t="s">
        <v>45</v>
      </c>
      <c r="C54" s="13" t="s">
        <v>676</v>
      </c>
      <c r="D54" s="13" t="s">
        <v>681</v>
      </c>
      <c r="E54" s="13"/>
      <c r="F54" s="40" t="s">
        <v>736</v>
      </c>
      <c r="G54" s="40" t="s">
        <v>737</v>
      </c>
      <c r="H54" s="13" t="s">
        <v>337</v>
      </c>
      <c r="I54" s="49">
        <v>46212</v>
      </c>
    </row>
    <row r="55" spans="1:9" ht="33">
      <c r="A55" s="13">
        <v>53</v>
      </c>
      <c r="B55" s="13" t="s">
        <v>0</v>
      </c>
      <c r="C55" s="13" t="s">
        <v>738</v>
      </c>
      <c r="D55" s="13" t="s">
        <v>739</v>
      </c>
      <c r="E55" s="13"/>
      <c r="F55" s="40" t="s">
        <v>740</v>
      </c>
      <c r="G55" s="40" t="s">
        <v>741</v>
      </c>
      <c r="H55" s="58" t="s">
        <v>337</v>
      </c>
      <c r="I55" s="49">
        <v>46212</v>
      </c>
    </row>
    <row r="56" spans="1:9" ht="33">
      <c r="A56" s="13">
        <v>54</v>
      </c>
      <c r="B56" s="128" t="s">
        <v>208</v>
      </c>
      <c r="C56" s="13" t="s">
        <v>537</v>
      </c>
      <c r="D56" s="13" t="s">
        <v>538</v>
      </c>
      <c r="E56" s="13" t="s">
        <v>337</v>
      </c>
      <c r="F56" s="40" t="s">
        <v>539</v>
      </c>
      <c r="G56" s="40" t="s">
        <v>540</v>
      </c>
      <c r="H56" s="13" t="s">
        <v>337</v>
      </c>
      <c r="I56" s="49">
        <v>46218</v>
      </c>
    </row>
    <row r="57" spans="1:9">
      <c r="A57" s="13">
        <v>55</v>
      </c>
      <c r="B57" s="13" t="s">
        <v>98</v>
      </c>
      <c r="C57" s="13" t="s">
        <v>595</v>
      </c>
      <c r="D57" s="13" t="s">
        <v>270</v>
      </c>
      <c r="E57" s="13"/>
      <c r="F57" s="40" t="s">
        <v>601</v>
      </c>
      <c r="G57" s="40" t="s">
        <v>597</v>
      </c>
      <c r="H57" s="13" t="s">
        <v>337</v>
      </c>
      <c r="I57" s="49">
        <v>46225</v>
      </c>
    </row>
    <row r="58" spans="1:9" ht="33">
      <c r="A58" s="13">
        <v>56</v>
      </c>
      <c r="B58" s="58" t="s">
        <v>598</v>
      </c>
      <c r="C58" s="13" t="s">
        <v>599</v>
      </c>
      <c r="D58" s="13" t="s">
        <v>600</v>
      </c>
      <c r="E58" s="13"/>
      <c r="F58" s="40" t="s">
        <v>602</v>
      </c>
      <c r="G58" s="40" t="s">
        <v>515</v>
      </c>
      <c r="H58" s="13" t="s">
        <v>337</v>
      </c>
      <c r="I58" s="49">
        <v>46226</v>
      </c>
    </row>
    <row r="59" spans="1:9" ht="33">
      <c r="A59" s="13">
        <v>57</v>
      </c>
      <c r="B59" s="13" t="s">
        <v>207</v>
      </c>
      <c r="C59" s="13" t="s">
        <v>357</v>
      </c>
      <c r="D59" s="13" t="s">
        <v>358</v>
      </c>
      <c r="E59" s="13"/>
      <c r="F59" s="40" t="s">
        <v>612</v>
      </c>
      <c r="G59" s="40" t="s">
        <v>524</v>
      </c>
      <c r="H59" s="13" t="s">
        <v>337</v>
      </c>
      <c r="I59" s="49">
        <v>46227</v>
      </c>
    </row>
    <row r="60" spans="1:9" ht="82.5">
      <c r="A60" s="13">
        <v>58</v>
      </c>
      <c r="B60" s="13" t="s">
        <v>174</v>
      </c>
      <c r="C60" s="13" t="s">
        <v>437</v>
      </c>
      <c r="D60" s="13" t="s">
        <v>438</v>
      </c>
      <c r="E60" s="13" t="s">
        <v>316</v>
      </c>
      <c r="F60" s="40" t="s">
        <v>607</v>
      </c>
      <c r="G60" s="40" t="s">
        <v>608</v>
      </c>
      <c r="H60" s="13" t="s">
        <v>337</v>
      </c>
      <c r="I60" s="49">
        <v>46230</v>
      </c>
    </row>
    <row r="61" spans="1:9" ht="66">
      <c r="A61" s="13">
        <v>59</v>
      </c>
      <c r="B61" s="58" t="s">
        <v>603</v>
      </c>
      <c r="C61" s="13" t="s">
        <v>551</v>
      </c>
      <c r="D61" s="13" t="s">
        <v>454</v>
      </c>
      <c r="E61" s="13"/>
      <c r="F61" s="40" t="s">
        <v>604</v>
      </c>
      <c r="G61" s="40" t="s">
        <v>742</v>
      </c>
      <c r="H61" s="13" t="s">
        <v>337</v>
      </c>
      <c r="I61" s="49">
        <v>46231</v>
      </c>
    </row>
    <row r="62" spans="1:9" ht="33">
      <c r="A62" s="13">
        <v>60</v>
      </c>
      <c r="B62" s="58" t="s">
        <v>158</v>
      </c>
      <c r="C62" s="13" t="s">
        <v>167</v>
      </c>
      <c r="D62" s="13" t="s">
        <v>102</v>
      </c>
      <c r="E62" s="13"/>
      <c r="F62" s="40" t="s">
        <v>622</v>
      </c>
      <c r="G62" s="40" t="s">
        <v>401</v>
      </c>
      <c r="H62" s="13" t="s">
        <v>337</v>
      </c>
      <c r="I62" s="49">
        <v>46231</v>
      </c>
    </row>
    <row r="63" spans="1:9" ht="33">
      <c r="A63" s="13">
        <v>61</v>
      </c>
      <c r="B63" s="58" t="s">
        <v>236</v>
      </c>
      <c r="C63" s="13" t="s">
        <v>618</v>
      </c>
      <c r="D63" s="13" t="s">
        <v>619</v>
      </c>
      <c r="E63" s="13" t="s">
        <v>337</v>
      </c>
      <c r="F63" s="40" t="s">
        <v>621</v>
      </c>
      <c r="G63" s="40" t="s">
        <v>639</v>
      </c>
      <c r="H63" s="13" t="s">
        <v>337</v>
      </c>
      <c r="I63" s="49">
        <v>46234</v>
      </c>
    </row>
    <row r="64" spans="1:9" ht="66">
      <c r="A64" s="13">
        <v>62</v>
      </c>
      <c r="B64" s="58" t="s">
        <v>603</v>
      </c>
      <c r="C64" s="13" t="s">
        <v>551</v>
      </c>
      <c r="D64" s="13" t="s">
        <v>454</v>
      </c>
      <c r="E64" s="13"/>
      <c r="F64" s="40" t="s">
        <v>646</v>
      </c>
      <c r="G64" s="40" t="s">
        <v>742</v>
      </c>
      <c r="H64" s="13" t="s">
        <v>337</v>
      </c>
      <c r="I64" s="49">
        <v>46237</v>
      </c>
    </row>
    <row r="65" spans="1:9">
      <c r="A65" s="13">
        <v>63</v>
      </c>
      <c r="B65" s="58" t="s">
        <v>172</v>
      </c>
      <c r="C65" s="13" t="s">
        <v>565</v>
      </c>
      <c r="D65" s="13" t="s">
        <v>270</v>
      </c>
      <c r="E65" s="13" t="s">
        <v>337</v>
      </c>
      <c r="F65" s="40" t="s">
        <v>660</v>
      </c>
      <c r="G65" s="40" t="s">
        <v>661</v>
      </c>
      <c r="H65" s="13" t="s">
        <v>337</v>
      </c>
      <c r="I65" s="49">
        <v>46245</v>
      </c>
    </row>
    <row r="66" spans="1:9" ht="33">
      <c r="A66" s="13">
        <v>64</v>
      </c>
      <c r="B66" s="58" t="s">
        <v>186</v>
      </c>
      <c r="C66" s="13" t="s">
        <v>676</v>
      </c>
      <c r="D66" s="13" t="s">
        <v>681</v>
      </c>
      <c r="E66" s="13"/>
      <c r="F66" s="40" t="s">
        <v>683</v>
      </c>
      <c r="G66" s="40" t="s">
        <v>401</v>
      </c>
      <c r="H66" s="13" t="s">
        <v>337</v>
      </c>
      <c r="I66" s="49">
        <v>46241</v>
      </c>
    </row>
    <row r="67" spans="1:9" ht="33">
      <c r="A67" s="13">
        <v>65</v>
      </c>
      <c r="B67" s="58" t="s">
        <v>100</v>
      </c>
      <c r="C67" s="13" t="s">
        <v>687</v>
      </c>
      <c r="D67" s="13" t="s">
        <v>688</v>
      </c>
      <c r="E67" s="13"/>
      <c r="F67" s="40" t="s">
        <v>689</v>
      </c>
      <c r="G67" s="40" t="s">
        <v>684</v>
      </c>
      <c r="H67" s="13" t="s">
        <v>337</v>
      </c>
      <c r="I67" s="49">
        <v>46241</v>
      </c>
    </row>
    <row r="68" spans="1:9" ht="33">
      <c r="A68" s="13">
        <v>67</v>
      </c>
      <c r="B68" s="58" t="s">
        <v>162</v>
      </c>
      <c r="C68" s="13" t="s">
        <v>695</v>
      </c>
      <c r="D68" s="13" t="s">
        <v>267</v>
      </c>
      <c r="E68" s="13"/>
      <c r="F68" s="40" t="s">
        <v>697</v>
      </c>
      <c r="G68" s="40" t="s">
        <v>698</v>
      </c>
      <c r="H68" s="13" t="s">
        <v>337</v>
      </c>
      <c r="I68" s="49">
        <v>46246</v>
      </c>
    </row>
    <row r="69" spans="1:9" ht="33">
      <c r="A69" s="13">
        <v>68</v>
      </c>
      <c r="B69" s="58" t="s">
        <v>109</v>
      </c>
      <c r="C69" s="13" t="s">
        <v>700</v>
      </c>
      <c r="D69" s="13" t="s">
        <v>701</v>
      </c>
      <c r="E69" s="13"/>
      <c r="F69" s="40" t="s">
        <v>702</v>
      </c>
      <c r="G69" s="40" t="s">
        <v>703</v>
      </c>
      <c r="H69" s="13" t="s">
        <v>337</v>
      </c>
      <c r="I69" s="49">
        <v>46247</v>
      </c>
    </row>
    <row r="70" spans="1:9" s="30" customFormat="1" ht="50.25" customHeight="1">
      <c r="A70" s="13">
        <v>70</v>
      </c>
      <c r="B70" s="58" t="s">
        <v>98</v>
      </c>
      <c r="C70" s="13" t="s">
        <v>275</v>
      </c>
      <c r="D70" s="13" t="s">
        <v>270</v>
      </c>
      <c r="E70" s="13"/>
      <c r="F70" s="40" t="s">
        <v>723</v>
      </c>
      <c r="G70" s="40" t="s">
        <v>684</v>
      </c>
      <c r="H70" s="13" t="s">
        <v>337</v>
      </c>
      <c r="I70" s="49">
        <v>46252</v>
      </c>
    </row>
    <row r="71" spans="1:9" s="30" customFormat="1" ht="50.25" customHeight="1">
      <c r="A71" s="13">
        <v>71</v>
      </c>
      <c r="B71" s="58" t="s">
        <v>724</v>
      </c>
      <c r="C71" s="13" t="s">
        <v>725</v>
      </c>
      <c r="D71" s="13" t="s">
        <v>726</v>
      </c>
      <c r="E71" s="13"/>
      <c r="F71" s="40" t="s">
        <v>727</v>
      </c>
      <c r="G71" s="40" t="s">
        <v>684</v>
      </c>
      <c r="H71" s="13" t="s">
        <v>337</v>
      </c>
      <c r="I71" s="49">
        <v>46252</v>
      </c>
    </row>
    <row r="72" spans="1:9">
      <c r="A72" s="44"/>
      <c r="B72" s="45"/>
      <c r="C72" s="45"/>
      <c r="D72" s="45"/>
      <c r="E72" s="45"/>
      <c r="F72" s="47"/>
      <c r="G72" s="47"/>
      <c r="H72" s="47"/>
      <c r="I72" s="45"/>
    </row>
    <row r="73" spans="1:9">
      <c r="A73" s="44"/>
      <c r="B73" s="45"/>
      <c r="C73" s="45"/>
      <c r="D73" s="45"/>
      <c r="E73" s="45"/>
      <c r="F73" s="47"/>
      <c r="G73" s="47"/>
      <c r="H73" s="47"/>
      <c r="I73" s="45"/>
    </row>
    <row r="74" spans="1:9">
      <c r="A74" s="44"/>
      <c r="B74" s="45"/>
      <c r="C74" s="45"/>
      <c r="D74" s="45"/>
      <c r="E74" s="45"/>
      <c r="F74" s="47"/>
      <c r="G74" s="47"/>
      <c r="H74" s="47"/>
      <c r="I74" s="45"/>
    </row>
    <row r="75" spans="1:9">
      <c r="A75" s="44"/>
      <c r="B75" s="34"/>
      <c r="C75" s="34"/>
      <c r="D75" s="34"/>
      <c r="E75" s="34"/>
      <c r="F75" s="39"/>
      <c r="G75" s="38"/>
      <c r="H75" s="38"/>
      <c r="I75" s="34"/>
    </row>
    <row r="76" spans="1:9">
      <c r="A76" s="44"/>
      <c r="B76" s="45"/>
      <c r="C76" s="45"/>
      <c r="D76" s="45"/>
      <c r="E76" s="45"/>
      <c r="F76" s="47"/>
      <c r="G76" s="47"/>
      <c r="H76" s="47"/>
      <c r="I76" s="45"/>
    </row>
    <row r="77" spans="1:9">
      <c r="B77" s="35"/>
      <c r="C77" s="35"/>
      <c r="D77" s="35"/>
      <c r="E77" s="35"/>
      <c r="F77" s="35"/>
    </row>
    <row r="78" spans="1:9">
      <c r="A78" s="144" t="s">
        <v>254</v>
      </c>
      <c r="B78" s="145"/>
      <c r="C78" s="145"/>
      <c r="D78" s="145"/>
      <c r="E78" s="145"/>
      <c r="F78" s="145"/>
      <c r="G78" s="145"/>
      <c r="H78" s="145"/>
      <c r="I78" s="145"/>
    </row>
  </sheetData>
  <mergeCells count="2">
    <mergeCell ref="A1:I1"/>
    <mergeCell ref="A78:I78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5D52-8E4F-4F7D-AB99-87F3CE591158}">
  <sheetPr>
    <tabColor rgb="FFFF0000"/>
  </sheetPr>
  <dimension ref="A1:I100"/>
  <sheetViews>
    <sheetView tabSelected="1" zoomScaleNormal="100" workbookViewId="0">
      <pane xSplit="4" ySplit="3" topLeftCell="E80" activePane="bottomRight" state="frozen"/>
      <selection pane="topRight" activeCell="E1" sqref="E1"/>
      <selection pane="bottomLeft" activeCell="A4" sqref="A4"/>
      <selection pane="bottomRight" activeCell="F81" sqref="F81"/>
    </sheetView>
  </sheetViews>
  <sheetFormatPr defaultColWidth="9" defaultRowHeight="16.5"/>
  <cols>
    <col min="1" max="1" width="5.875" style="36" customWidth="1"/>
    <col min="2" max="2" width="13.5" style="36" customWidth="1"/>
    <col min="3" max="3" width="11.75" style="36" bestFit="1" customWidth="1"/>
    <col min="4" max="4" width="22.625" style="36" bestFit="1" customWidth="1"/>
    <col min="5" max="5" width="6.5" style="36" customWidth="1"/>
    <col min="6" max="6" width="46.375" style="36" customWidth="1"/>
    <col min="7" max="7" width="53.5" style="36" customWidth="1"/>
    <col min="8" max="8" width="8.625" style="36" customWidth="1"/>
    <col min="9" max="9" width="16.125" style="36" bestFit="1" customWidth="1"/>
    <col min="10" max="16384" width="9" style="30"/>
  </cols>
  <sheetData>
    <row r="1" spans="1:9" ht="21.6" customHeight="1">
      <c r="A1" s="143" t="s">
        <v>729</v>
      </c>
      <c r="B1" s="143"/>
      <c r="C1" s="143"/>
      <c r="D1" s="143"/>
      <c r="E1" s="143"/>
      <c r="F1" s="143"/>
      <c r="G1" s="143"/>
      <c r="H1" s="143"/>
      <c r="I1" s="143"/>
    </row>
    <row r="2" spans="1:9">
      <c r="C2" s="36" t="s">
        <v>730</v>
      </c>
      <c r="I2" s="46">
        <v>46216</v>
      </c>
    </row>
    <row r="3" spans="1:9" ht="33" customHeight="1">
      <c r="A3" s="51" t="s">
        <v>252</v>
      </c>
      <c r="B3" s="51" t="s">
        <v>157</v>
      </c>
      <c r="C3" s="51" t="s">
        <v>165</v>
      </c>
      <c r="D3" s="51" t="s">
        <v>166</v>
      </c>
      <c r="E3" s="51" t="s">
        <v>315</v>
      </c>
      <c r="F3" s="51" t="s">
        <v>728</v>
      </c>
      <c r="G3" s="51" t="s">
        <v>253</v>
      </c>
      <c r="H3" s="51" t="s">
        <v>317</v>
      </c>
      <c r="I3" s="51" t="s">
        <v>251</v>
      </c>
    </row>
    <row r="4" spans="1:9" ht="65.25" hidden="1" customHeight="1">
      <c r="A4" s="65">
        <v>1</v>
      </c>
      <c r="B4" s="65" t="s">
        <v>161</v>
      </c>
      <c r="C4" s="67" t="s">
        <v>450</v>
      </c>
      <c r="D4" s="65" t="s">
        <v>265</v>
      </c>
      <c r="E4" s="65" t="s">
        <v>452</v>
      </c>
      <c r="F4" s="67" t="s">
        <v>478</v>
      </c>
      <c r="G4" s="65" t="s">
        <v>451</v>
      </c>
      <c r="H4" s="65" t="s">
        <v>337</v>
      </c>
      <c r="I4" s="68">
        <v>46057</v>
      </c>
    </row>
    <row r="5" spans="1:9" ht="65.25" hidden="1" customHeight="1">
      <c r="A5" s="65">
        <v>2</v>
      </c>
      <c r="B5" s="65" t="s">
        <v>161</v>
      </c>
      <c r="C5" s="67" t="s">
        <v>258</v>
      </c>
      <c r="D5" s="65" t="s">
        <v>454</v>
      </c>
      <c r="E5" s="65" t="s">
        <v>337</v>
      </c>
      <c r="F5" s="67" t="s">
        <v>455</v>
      </c>
      <c r="G5" s="65" t="s">
        <v>456</v>
      </c>
      <c r="H5" s="65" t="s">
        <v>337</v>
      </c>
      <c r="I5" s="68">
        <v>46092</v>
      </c>
    </row>
    <row r="6" spans="1:9" ht="65.25" hidden="1" customHeight="1">
      <c r="A6" s="65">
        <v>3</v>
      </c>
      <c r="B6" s="65" t="s">
        <v>158</v>
      </c>
      <c r="C6" s="67" t="s">
        <v>167</v>
      </c>
      <c r="D6" s="65" t="s">
        <v>102</v>
      </c>
      <c r="E6" s="65" t="s">
        <v>452</v>
      </c>
      <c r="F6" s="67" t="s">
        <v>453</v>
      </c>
      <c r="G6" s="65" t="s">
        <v>451</v>
      </c>
      <c r="H6" s="65" t="s">
        <v>337</v>
      </c>
      <c r="I6" s="68">
        <v>46094</v>
      </c>
    </row>
    <row r="7" spans="1:9" ht="65.25" hidden="1" customHeight="1">
      <c r="A7" s="65">
        <v>4</v>
      </c>
      <c r="B7" s="65" t="s">
        <v>101</v>
      </c>
      <c r="C7" s="67" t="s">
        <v>255</v>
      </c>
      <c r="D7" s="65" t="s">
        <v>256</v>
      </c>
      <c r="E7" s="65" t="s">
        <v>452</v>
      </c>
      <c r="F7" s="67" t="s">
        <v>479</v>
      </c>
      <c r="G7" s="65" t="s">
        <v>451</v>
      </c>
      <c r="H7" s="65" t="s">
        <v>337</v>
      </c>
      <c r="I7" s="68">
        <v>46098</v>
      </c>
    </row>
    <row r="8" spans="1:9" ht="39.6" hidden="1" customHeight="1">
      <c r="A8" s="65">
        <v>5</v>
      </c>
      <c r="B8" s="65" t="s">
        <v>279</v>
      </c>
      <c r="C8" s="65" t="s">
        <v>280</v>
      </c>
      <c r="D8" s="65" t="s">
        <v>281</v>
      </c>
      <c r="E8" s="65" t="s">
        <v>316</v>
      </c>
      <c r="F8" s="66" t="s">
        <v>282</v>
      </c>
      <c r="G8" s="66" t="s">
        <v>477</v>
      </c>
      <c r="H8" s="65" t="s">
        <v>337</v>
      </c>
      <c r="I8" s="68">
        <v>46119</v>
      </c>
    </row>
    <row r="9" spans="1:9" ht="55.5" hidden="1" customHeight="1">
      <c r="A9" s="65">
        <v>6</v>
      </c>
      <c r="B9" s="65" t="s">
        <v>161</v>
      </c>
      <c r="C9" s="65" t="s">
        <v>276</v>
      </c>
      <c r="D9" s="65" t="s">
        <v>277</v>
      </c>
      <c r="E9" s="65" t="s">
        <v>316</v>
      </c>
      <c r="F9" s="66" t="s">
        <v>457</v>
      </c>
      <c r="G9" s="66" t="s">
        <v>458</v>
      </c>
      <c r="H9" s="65" t="s">
        <v>337</v>
      </c>
      <c r="I9" s="68">
        <v>46125</v>
      </c>
    </row>
    <row r="10" spans="1:9" ht="81" hidden="1" customHeight="1">
      <c r="A10" s="60">
        <v>7</v>
      </c>
      <c r="B10" s="60" t="s">
        <v>158</v>
      </c>
      <c r="C10" s="60" t="s">
        <v>167</v>
      </c>
      <c r="D10" s="60" t="s">
        <v>102</v>
      </c>
      <c r="E10" s="60"/>
      <c r="F10" s="61" t="s">
        <v>291</v>
      </c>
      <c r="G10" s="61" t="s">
        <v>292</v>
      </c>
      <c r="H10" s="62" t="s">
        <v>316</v>
      </c>
      <c r="I10" s="64">
        <v>46126</v>
      </c>
    </row>
    <row r="11" spans="1:9" ht="49.35" hidden="1" customHeight="1">
      <c r="A11" s="60">
        <v>8</v>
      </c>
      <c r="B11" s="60" t="s">
        <v>158</v>
      </c>
      <c r="C11" s="60" t="s">
        <v>168</v>
      </c>
      <c r="D11" s="60" t="s">
        <v>169</v>
      </c>
      <c r="E11" s="60"/>
      <c r="F11" s="61" t="s">
        <v>273</v>
      </c>
      <c r="G11" s="61" t="s">
        <v>274</v>
      </c>
      <c r="H11" s="62" t="s">
        <v>316</v>
      </c>
      <c r="I11" s="63">
        <v>46132</v>
      </c>
    </row>
    <row r="12" spans="1:9" ht="102.2" hidden="1" customHeight="1">
      <c r="A12" s="65">
        <v>9</v>
      </c>
      <c r="B12" s="65" t="s">
        <v>158</v>
      </c>
      <c r="C12" s="65" t="s">
        <v>244</v>
      </c>
      <c r="D12" s="65" t="s">
        <v>263</v>
      </c>
      <c r="E12" s="65"/>
      <c r="F12" s="66" t="s">
        <v>289</v>
      </c>
      <c r="G12" s="66" t="s">
        <v>460</v>
      </c>
      <c r="H12" s="67" t="s">
        <v>316</v>
      </c>
      <c r="I12" s="68">
        <v>46132</v>
      </c>
    </row>
    <row r="13" spans="1:9" ht="75.75" hidden="1" customHeight="1">
      <c r="A13" s="60">
        <v>10</v>
      </c>
      <c r="B13" s="60" t="s">
        <v>162</v>
      </c>
      <c r="C13" s="60" t="s">
        <v>283</v>
      </c>
      <c r="D13" s="60" t="s">
        <v>284</v>
      </c>
      <c r="E13" s="60" t="s">
        <v>316</v>
      </c>
      <c r="F13" s="61" t="s">
        <v>285</v>
      </c>
      <c r="G13" s="61" t="s">
        <v>286</v>
      </c>
      <c r="H13" s="62" t="s">
        <v>316</v>
      </c>
      <c r="I13" s="64">
        <v>46133</v>
      </c>
    </row>
    <row r="14" spans="1:9" ht="75.75" hidden="1" customHeight="1">
      <c r="A14" s="60">
        <v>11</v>
      </c>
      <c r="B14" s="60" t="s">
        <v>98</v>
      </c>
      <c r="C14" s="60" t="s">
        <v>275</v>
      </c>
      <c r="D14" s="60" t="s">
        <v>270</v>
      </c>
      <c r="E14" s="60"/>
      <c r="F14" s="61" t="s">
        <v>271</v>
      </c>
      <c r="G14" s="61" t="s">
        <v>272</v>
      </c>
      <c r="H14" s="62" t="s">
        <v>316</v>
      </c>
      <c r="I14" s="63">
        <v>46133</v>
      </c>
    </row>
    <row r="15" spans="1:9" ht="61.15" hidden="1" customHeight="1">
      <c r="A15" s="65">
        <v>12</v>
      </c>
      <c r="B15" s="65" t="s">
        <v>161</v>
      </c>
      <c r="C15" s="65" t="s">
        <v>276</v>
      </c>
      <c r="D15" s="65" t="s">
        <v>277</v>
      </c>
      <c r="E15" s="65" t="s">
        <v>316</v>
      </c>
      <c r="F15" s="66" t="s">
        <v>278</v>
      </c>
      <c r="G15" s="66" t="s">
        <v>480</v>
      </c>
      <c r="H15" s="67" t="s">
        <v>316</v>
      </c>
      <c r="I15" s="68">
        <v>46136</v>
      </c>
    </row>
    <row r="16" spans="1:9" ht="37.9" hidden="1" customHeight="1">
      <c r="A16" s="60">
        <v>13</v>
      </c>
      <c r="B16" s="60" t="s">
        <v>100</v>
      </c>
      <c r="C16" s="60" t="s">
        <v>261</v>
      </c>
      <c r="D16" s="60" t="s">
        <v>262</v>
      </c>
      <c r="E16" s="60" t="s">
        <v>316</v>
      </c>
      <c r="F16" s="61" t="s">
        <v>318</v>
      </c>
      <c r="G16" s="61" t="s">
        <v>293</v>
      </c>
      <c r="H16" s="62" t="s">
        <v>316</v>
      </c>
      <c r="I16" s="63">
        <v>46138</v>
      </c>
    </row>
    <row r="17" spans="1:9" ht="67.7" hidden="1" customHeight="1">
      <c r="A17" s="60">
        <v>14</v>
      </c>
      <c r="B17" s="60" t="s">
        <v>161</v>
      </c>
      <c r="C17" s="60" t="s">
        <v>258</v>
      </c>
      <c r="D17" s="60" t="s">
        <v>259</v>
      </c>
      <c r="E17" s="60"/>
      <c r="F17" s="61" t="s">
        <v>266</v>
      </c>
      <c r="G17" s="61" t="s">
        <v>260</v>
      </c>
      <c r="H17" s="62" t="s">
        <v>316</v>
      </c>
      <c r="I17" s="63">
        <v>46139</v>
      </c>
    </row>
    <row r="18" spans="1:9" ht="134.44999999999999" hidden="1" customHeight="1">
      <c r="A18" s="60">
        <v>15</v>
      </c>
      <c r="B18" s="60" t="s">
        <v>8</v>
      </c>
      <c r="C18" s="60" t="s">
        <v>287</v>
      </c>
      <c r="D18" s="60" t="s">
        <v>288</v>
      </c>
      <c r="E18" s="60"/>
      <c r="F18" s="61" t="s">
        <v>290</v>
      </c>
      <c r="G18" s="61" t="s">
        <v>319</v>
      </c>
      <c r="H18" s="62" t="s">
        <v>316</v>
      </c>
      <c r="I18" s="63">
        <v>46139</v>
      </c>
    </row>
    <row r="19" spans="1:9" ht="51" hidden="1" customHeight="1">
      <c r="A19" s="65">
        <v>16</v>
      </c>
      <c r="B19" s="65" t="s">
        <v>162</v>
      </c>
      <c r="C19" s="65" t="s">
        <v>268</v>
      </c>
      <c r="D19" s="65" t="s">
        <v>267</v>
      </c>
      <c r="E19" s="65"/>
      <c r="F19" s="66" t="s">
        <v>269</v>
      </c>
      <c r="G19" s="66" t="s">
        <v>459</v>
      </c>
      <c r="H19" s="67"/>
      <c r="I19" s="68">
        <v>46139</v>
      </c>
    </row>
    <row r="20" spans="1:9" ht="58.7" hidden="1" customHeight="1">
      <c r="A20" s="65">
        <v>17</v>
      </c>
      <c r="B20" s="65" t="s">
        <v>161</v>
      </c>
      <c r="C20" s="67" t="s">
        <v>264</v>
      </c>
      <c r="D20" s="65" t="s">
        <v>265</v>
      </c>
      <c r="E20" s="65"/>
      <c r="F20" s="66" t="s">
        <v>295</v>
      </c>
      <c r="G20" s="66" t="s">
        <v>294</v>
      </c>
      <c r="H20" s="67" t="s">
        <v>316</v>
      </c>
      <c r="I20" s="68">
        <v>46140</v>
      </c>
    </row>
    <row r="21" spans="1:9" ht="47.25" hidden="1" customHeight="1">
      <c r="A21" s="65">
        <v>18</v>
      </c>
      <c r="B21" s="65" t="s">
        <v>101</v>
      </c>
      <c r="C21" s="65" t="s">
        <v>255</v>
      </c>
      <c r="D21" s="65" t="s">
        <v>256</v>
      </c>
      <c r="E21" s="65"/>
      <c r="F21" s="66" t="s">
        <v>314</v>
      </c>
      <c r="G21" s="66" t="s">
        <v>257</v>
      </c>
      <c r="H21" s="67"/>
      <c r="I21" s="94">
        <v>46140</v>
      </c>
    </row>
    <row r="22" spans="1:9" ht="68.25" hidden="1" customHeight="1">
      <c r="A22" s="44">
        <v>19</v>
      </c>
      <c r="B22" s="65" t="s">
        <v>180</v>
      </c>
      <c r="C22" s="65" t="s">
        <v>320</v>
      </c>
      <c r="D22" s="65" t="s">
        <v>321</v>
      </c>
      <c r="E22" s="65" t="s">
        <v>316</v>
      </c>
      <c r="F22" s="66" t="s">
        <v>323</v>
      </c>
      <c r="G22" s="66" t="s">
        <v>322</v>
      </c>
      <c r="H22" s="67"/>
      <c r="I22" s="68">
        <v>46140</v>
      </c>
    </row>
    <row r="23" spans="1:9" ht="72" hidden="1" customHeight="1">
      <c r="A23" s="65">
        <v>20</v>
      </c>
      <c r="B23" s="65" t="s">
        <v>100</v>
      </c>
      <c r="C23" s="65" t="s">
        <v>324</v>
      </c>
      <c r="D23" s="65" t="s">
        <v>262</v>
      </c>
      <c r="E23" s="65"/>
      <c r="F23" s="66" t="s">
        <v>481</v>
      </c>
      <c r="G23" s="66" t="s">
        <v>346</v>
      </c>
      <c r="H23" s="65" t="s">
        <v>337</v>
      </c>
      <c r="I23" s="68">
        <v>46149</v>
      </c>
    </row>
    <row r="24" spans="1:9" ht="62.1" hidden="1" customHeight="1">
      <c r="A24" s="65">
        <v>21</v>
      </c>
      <c r="B24" s="65" t="s">
        <v>158</v>
      </c>
      <c r="C24" s="65" t="s">
        <v>167</v>
      </c>
      <c r="D24" s="65" t="s">
        <v>102</v>
      </c>
      <c r="E24" s="65" t="s">
        <v>337</v>
      </c>
      <c r="F24" s="66" t="s">
        <v>338</v>
      </c>
      <c r="G24" s="66" t="s">
        <v>339</v>
      </c>
      <c r="H24" s="65" t="s">
        <v>337</v>
      </c>
      <c r="I24" s="94">
        <v>46150</v>
      </c>
    </row>
    <row r="25" spans="1:9" ht="46.9" hidden="1" customHeight="1">
      <c r="A25" s="65">
        <v>22</v>
      </c>
      <c r="B25" s="65" t="s">
        <v>98</v>
      </c>
      <c r="C25" s="65" t="s">
        <v>340</v>
      </c>
      <c r="D25" s="65" t="s">
        <v>270</v>
      </c>
      <c r="E25" s="65"/>
      <c r="F25" s="66" t="s">
        <v>341</v>
      </c>
      <c r="G25" s="66" t="s">
        <v>401</v>
      </c>
      <c r="H25" s="65" t="s">
        <v>337</v>
      </c>
      <c r="I25" s="68">
        <v>46154</v>
      </c>
    </row>
    <row r="26" spans="1:9" ht="50.25" hidden="1" customHeight="1">
      <c r="A26" s="65">
        <v>23</v>
      </c>
      <c r="B26" s="65" t="s">
        <v>187</v>
      </c>
      <c r="C26" s="65" t="s">
        <v>342</v>
      </c>
      <c r="D26" s="65" t="s">
        <v>343</v>
      </c>
      <c r="E26" s="65" t="s">
        <v>316</v>
      </c>
      <c r="F26" s="66" t="s">
        <v>344</v>
      </c>
      <c r="G26" s="66" t="s">
        <v>345</v>
      </c>
      <c r="H26" s="65" t="s">
        <v>337</v>
      </c>
      <c r="I26" s="68">
        <v>46157</v>
      </c>
    </row>
    <row r="27" spans="1:9" ht="62.1" hidden="1" customHeight="1">
      <c r="A27" s="65">
        <v>24</v>
      </c>
      <c r="B27" s="65" t="s">
        <v>217</v>
      </c>
      <c r="C27" s="65" t="s">
        <v>347</v>
      </c>
      <c r="D27" s="65" t="s">
        <v>348</v>
      </c>
      <c r="E27" s="65" t="s">
        <v>337</v>
      </c>
      <c r="F27" s="66" t="s">
        <v>349</v>
      </c>
      <c r="G27" s="66" t="s">
        <v>350</v>
      </c>
      <c r="H27" s="65" t="s">
        <v>337</v>
      </c>
      <c r="I27" s="94">
        <v>46154</v>
      </c>
    </row>
    <row r="28" spans="1:9" ht="66.2" hidden="1" customHeight="1">
      <c r="A28" s="65">
        <v>25</v>
      </c>
      <c r="B28" s="65" t="s">
        <v>171</v>
      </c>
      <c r="C28" s="65" t="s">
        <v>351</v>
      </c>
      <c r="D28" s="65" t="s">
        <v>352</v>
      </c>
      <c r="E28" s="65" t="s">
        <v>337</v>
      </c>
      <c r="F28" s="66" t="s">
        <v>353</v>
      </c>
      <c r="G28" s="66" t="s">
        <v>362</v>
      </c>
      <c r="H28" s="65" t="s">
        <v>337</v>
      </c>
      <c r="I28" s="68">
        <v>46160</v>
      </c>
    </row>
    <row r="29" spans="1:9" ht="51" hidden="1" customHeight="1">
      <c r="A29" s="65">
        <v>26</v>
      </c>
      <c r="B29" s="95" t="s">
        <v>98</v>
      </c>
      <c r="C29" s="65" t="s">
        <v>355</v>
      </c>
      <c r="D29" s="65" t="s">
        <v>270</v>
      </c>
      <c r="E29" s="65"/>
      <c r="F29" s="66" t="s">
        <v>356</v>
      </c>
      <c r="G29" s="66" t="s">
        <v>361</v>
      </c>
      <c r="H29" s="65" t="s">
        <v>337</v>
      </c>
      <c r="I29" s="68">
        <v>46157</v>
      </c>
    </row>
    <row r="30" spans="1:9" ht="53.1" hidden="1" customHeight="1">
      <c r="A30" s="65">
        <v>27</v>
      </c>
      <c r="B30" s="95" t="s">
        <v>207</v>
      </c>
      <c r="C30" s="65" t="s">
        <v>357</v>
      </c>
      <c r="D30" s="65" t="s">
        <v>358</v>
      </c>
      <c r="E30" s="65"/>
      <c r="F30" s="66" t="s">
        <v>359</v>
      </c>
      <c r="G30" s="66" t="s">
        <v>363</v>
      </c>
      <c r="H30" s="65" t="s">
        <v>337</v>
      </c>
      <c r="I30" s="68">
        <v>46162</v>
      </c>
    </row>
    <row r="31" spans="1:9" ht="58.35" hidden="1" customHeight="1">
      <c r="A31" s="65">
        <v>28</v>
      </c>
      <c r="B31" s="95" t="s">
        <v>101</v>
      </c>
      <c r="C31" s="65" t="s">
        <v>360</v>
      </c>
      <c r="D31" s="65" t="s">
        <v>256</v>
      </c>
      <c r="E31" s="65"/>
      <c r="F31" s="66" t="s">
        <v>365</v>
      </c>
      <c r="G31" s="66" t="s">
        <v>364</v>
      </c>
      <c r="H31" s="65" t="s">
        <v>337</v>
      </c>
      <c r="I31" s="68">
        <v>46163</v>
      </c>
    </row>
    <row r="32" spans="1:9" ht="61.15" hidden="1" customHeight="1">
      <c r="A32" s="65">
        <v>29</v>
      </c>
      <c r="B32" s="65" t="s">
        <v>170</v>
      </c>
      <c r="C32" s="65" t="s">
        <v>375</v>
      </c>
      <c r="D32" s="65" t="s">
        <v>376</v>
      </c>
      <c r="E32" s="65"/>
      <c r="F32" s="66" t="s">
        <v>382</v>
      </c>
      <c r="G32" s="96" t="s">
        <v>377</v>
      </c>
      <c r="H32" s="65" t="s">
        <v>337</v>
      </c>
      <c r="I32" s="68">
        <v>46163</v>
      </c>
    </row>
    <row r="33" spans="1:9" ht="46.9" hidden="1" customHeight="1">
      <c r="A33" s="65">
        <v>30</v>
      </c>
      <c r="B33" s="65" t="s">
        <v>110</v>
      </c>
      <c r="C33" s="65" t="s">
        <v>378</v>
      </c>
      <c r="D33" s="65" t="s">
        <v>379</v>
      </c>
      <c r="E33" s="65"/>
      <c r="F33" s="66" t="s">
        <v>383</v>
      </c>
      <c r="G33" s="66" t="s">
        <v>394</v>
      </c>
      <c r="H33" s="65" t="s">
        <v>337</v>
      </c>
      <c r="I33" s="68">
        <v>46164</v>
      </c>
    </row>
    <row r="34" spans="1:9" ht="94.9" hidden="1" customHeight="1">
      <c r="A34" s="65">
        <v>31</v>
      </c>
      <c r="B34" s="65" t="s">
        <v>99</v>
      </c>
      <c r="C34" s="65" t="s">
        <v>380</v>
      </c>
      <c r="D34" s="65" t="s">
        <v>381</v>
      </c>
      <c r="E34" s="65"/>
      <c r="F34" s="66" t="s">
        <v>384</v>
      </c>
      <c r="G34" s="96" t="s">
        <v>377</v>
      </c>
      <c r="H34" s="65" t="s">
        <v>337</v>
      </c>
      <c r="I34" s="68">
        <v>46168</v>
      </c>
    </row>
    <row r="35" spans="1:9" ht="80.099999999999994" hidden="1" customHeight="1">
      <c r="A35" s="65">
        <v>32</v>
      </c>
      <c r="B35" s="65" t="s">
        <v>217</v>
      </c>
      <c r="C35" s="65" t="s">
        <v>347</v>
      </c>
      <c r="D35" s="65" t="s">
        <v>348</v>
      </c>
      <c r="E35" s="65" t="s">
        <v>337</v>
      </c>
      <c r="F35" s="66" t="s">
        <v>404</v>
      </c>
      <c r="G35" s="66" t="s">
        <v>405</v>
      </c>
      <c r="H35" s="65" t="s">
        <v>337</v>
      </c>
      <c r="I35" s="68">
        <v>46169</v>
      </c>
    </row>
    <row r="36" spans="1:9" ht="51" hidden="1" customHeight="1">
      <c r="A36" s="65">
        <v>33</v>
      </c>
      <c r="B36" s="65" t="s">
        <v>279</v>
      </c>
      <c r="C36" s="65" t="s">
        <v>399</v>
      </c>
      <c r="D36" s="65" t="s">
        <v>281</v>
      </c>
      <c r="E36" s="65"/>
      <c r="F36" s="66" t="s">
        <v>482</v>
      </c>
      <c r="G36" s="96" t="s">
        <v>401</v>
      </c>
      <c r="H36" s="65" t="s">
        <v>337</v>
      </c>
      <c r="I36" s="68">
        <v>46171</v>
      </c>
    </row>
    <row r="37" spans="1:9" ht="52.9" hidden="1" customHeight="1">
      <c r="A37" s="65">
        <v>34</v>
      </c>
      <c r="B37" s="65" t="s">
        <v>158</v>
      </c>
      <c r="C37" s="65" t="s">
        <v>167</v>
      </c>
      <c r="D37" s="65" t="s">
        <v>102</v>
      </c>
      <c r="E37" s="65"/>
      <c r="F37" s="66" t="s">
        <v>473</v>
      </c>
      <c r="G37" s="66" t="s">
        <v>401</v>
      </c>
      <c r="H37" s="65" t="s">
        <v>337</v>
      </c>
      <c r="I37" s="68">
        <v>46175</v>
      </c>
    </row>
    <row r="38" spans="1:9" ht="51" hidden="1" customHeight="1">
      <c r="A38" s="65">
        <v>35</v>
      </c>
      <c r="B38" s="65" t="s">
        <v>100</v>
      </c>
      <c r="C38" s="65" t="s">
        <v>417</v>
      </c>
      <c r="D38" s="65" t="s">
        <v>418</v>
      </c>
      <c r="E38" s="65"/>
      <c r="F38" s="66" t="s">
        <v>419</v>
      </c>
      <c r="G38" s="66" t="s">
        <v>434</v>
      </c>
      <c r="H38" s="65" t="s">
        <v>316</v>
      </c>
      <c r="I38" s="68">
        <v>46181</v>
      </c>
    </row>
    <row r="39" spans="1:9" ht="64.5" hidden="1" customHeight="1">
      <c r="A39" s="65">
        <v>36</v>
      </c>
      <c r="B39" s="65" t="s">
        <v>100</v>
      </c>
      <c r="C39" s="65" t="s">
        <v>420</v>
      </c>
      <c r="D39" s="65" t="s">
        <v>421</v>
      </c>
      <c r="E39" s="65"/>
      <c r="F39" s="66" t="s">
        <v>422</v>
      </c>
      <c r="G39" s="66" t="s">
        <v>432</v>
      </c>
      <c r="H39" s="65" t="s">
        <v>337</v>
      </c>
      <c r="I39" s="68">
        <v>46181</v>
      </c>
    </row>
    <row r="40" spans="1:9" ht="118.5" customHeight="1">
      <c r="A40" s="69">
        <v>37</v>
      </c>
      <c r="B40" s="69" t="s">
        <v>100</v>
      </c>
      <c r="C40" s="69" t="s">
        <v>412</v>
      </c>
      <c r="D40" s="69" t="s">
        <v>411</v>
      </c>
      <c r="E40" s="69" t="s">
        <v>337</v>
      </c>
      <c r="F40" s="70" t="s">
        <v>426</v>
      </c>
      <c r="G40" s="70" t="s">
        <v>591</v>
      </c>
      <c r="H40" s="69"/>
      <c r="I40" s="71">
        <v>46181</v>
      </c>
    </row>
    <row r="41" spans="1:9" ht="115.5" customHeight="1">
      <c r="A41" s="69">
        <v>38</v>
      </c>
      <c r="B41" s="69" t="s">
        <v>100</v>
      </c>
      <c r="C41" s="69" t="s">
        <v>410</v>
      </c>
      <c r="D41" s="69" t="s">
        <v>409</v>
      </c>
      <c r="E41" s="69" t="s">
        <v>337</v>
      </c>
      <c r="F41" s="70" t="s">
        <v>423</v>
      </c>
      <c r="G41" s="70" t="s">
        <v>591</v>
      </c>
      <c r="H41" s="80"/>
      <c r="I41" s="71">
        <v>46181</v>
      </c>
    </row>
    <row r="42" spans="1:9" ht="66.75" hidden="1" customHeight="1">
      <c r="A42" s="65">
        <v>39</v>
      </c>
      <c r="B42" s="95" t="s">
        <v>99</v>
      </c>
      <c r="C42" s="65" t="s">
        <v>427</v>
      </c>
      <c r="D42" s="65" t="s">
        <v>381</v>
      </c>
      <c r="E42" s="65" t="s">
        <v>337</v>
      </c>
      <c r="F42" s="66" t="s">
        <v>428</v>
      </c>
      <c r="G42" s="66" t="s">
        <v>483</v>
      </c>
      <c r="H42" s="65" t="s">
        <v>337</v>
      </c>
      <c r="I42" s="68">
        <v>46185</v>
      </c>
    </row>
    <row r="43" spans="1:9" ht="58.7" hidden="1" customHeight="1">
      <c r="A43" s="65">
        <v>40</v>
      </c>
      <c r="B43" s="65" t="s">
        <v>174</v>
      </c>
      <c r="C43" s="65" t="s">
        <v>437</v>
      </c>
      <c r="D43" s="65" t="s">
        <v>438</v>
      </c>
      <c r="E43" s="65"/>
      <c r="F43" s="66" t="s">
        <v>439</v>
      </c>
      <c r="G43" s="66" t="s">
        <v>442</v>
      </c>
      <c r="H43" s="65" t="s">
        <v>337</v>
      </c>
      <c r="I43" s="68">
        <v>46185</v>
      </c>
    </row>
    <row r="44" spans="1:9" ht="65.25" hidden="1" customHeight="1">
      <c r="A44" s="65">
        <v>41</v>
      </c>
      <c r="B44" s="65" t="s">
        <v>101</v>
      </c>
      <c r="C44" s="65" t="s">
        <v>360</v>
      </c>
      <c r="D44" s="65" t="s">
        <v>440</v>
      </c>
      <c r="E44" s="65"/>
      <c r="F44" s="66" t="s">
        <v>441</v>
      </c>
      <c r="G44" s="66" t="s">
        <v>489</v>
      </c>
      <c r="H44" s="65" t="s">
        <v>337</v>
      </c>
      <c r="I44" s="68">
        <v>46190</v>
      </c>
    </row>
    <row r="45" spans="1:9" ht="18" hidden="1" customHeight="1">
      <c r="A45" s="65">
        <v>42</v>
      </c>
      <c r="B45" s="65" t="s">
        <v>103</v>
      </c>
      <c r="C45" s="65" t="s">
        <v>445</v>
      </c>
      <c r="D45" s="65" t="s">
        <v>446</v>
      </c>
      <c r="E45" s="65" t="s">
        <v>337</v>
      </c>
      <c r="F45" s="66" t="s">
        <v>448</v>
      </c>
      <c r="G45" s="66" t="s">
        <v>474</v>
      </c>
      <c r="H45" s="65" t="s">
        <v>337</v>
      </c>
      <c r="I45" s="68">
        <v>46196</v>
      </c>
    </row>
    <row r="46" spans="1:9" ht="56.25" hidden="1" customHeight="1">
      <c r="A46" s="81">
        <v>43</v>
      </c>
      <c r="B46" s="118" t="s">
        <v>465</v>
      </c>
      <c r="C46" s="81" t="s">
        <v>467</v>
      </c>
      <c r="D46" s="81" t="s">
        <v>469</v>
      </c>
      <c r="E46" s="81" t="s">
        <v>337</v>
      </c>
      <c r="F46" s="119" t="s">
        <v>470</v>
      </c>
      <c r="G46" s="119" t="s">
        <v>544</v>
      </c>
      <c r="H46" s="119"/>
      <c r="I46" s="120">
        <v>46198</v>
      </c>
    </row>
    <row r="47" spans="1:9" ht="62.45" hidden="1" customHeight="1">
      <c r="A47" s="65">
        <v>44</v>
      </c>
      <c r="B47" s="65" t="s">
        <v>174</v>
      </c>
      <c r="C47" s="65" t="s">
        <v>437</v>
      </c>
      <c r="D47" s="65" t="s">
        <v>438</v>
      </c>
      <c r="E47" s="65"/>
      <c r="F47" s="66" t="s">
        <v>471</v>
      </c>
      <c r="G47" s="66" t="s">
        <v>472</v>
      </c>
      <c r="H47" s="65" t="s">
        <v>337</v>
      </c>
      <c r="I47" s="68">
        <v>46197</v>
      </c>
    </row>
    <row r="48" spans="1:9" ht="42" hidden="1" customHeight="1">
      <c r="A48" s="113">
        <v>45</v>
      </c>
      <c r="B48" s="113" t="s">
        <v>501</v>
      </c>
      <c r="C48" s="113" t="s">
        <v>502</v>
      </c>
      <c r="D48" s="113" t="s">
        <v>503</v>
      </c>
      <c r="E48" s="113"/>
      <c r="F48" s="114" t="s">
        <v>504</v>
      </c>
      <c r="G48" s="114" t="s">
        <v>534</v>
      </c>
      <c r="H48" s="113" t="s">
        <v>337</v>
      </c>
      <c r="I48" s="115">
        <v>46203</v>
      </c>
    </row>
    <row r="49" spans="1:9" ht="61.5" hidden="1" customHeight="1">
      <c r="A49" s="113">
        <v>46</v>
      </c>
      <c r="B49" s="113" t="s">
        <v>228</v>
      </c>
      <c r="C49" s="113" t="s">
        <v>505</v>
      </c>
      <c r="D49" s="113" t="s">
        <v>506</v>
      </c>
      <c r="E49" s="113"/>
      <c r="F49" s="114" t="s">
        <v>507</v>
      </c>
      <c r="G49" s="114" t="s">
        <v>623</v>
      </c>
      <c r="H49" s="113"/>
      <c r="I49" s="115">
        <v>46203</v>
      </c>
    </row>
    <row r="50" spans="1:9" ht="51" hidden="1" customHeight="1">
      <c r="A50" s="122">
        <v>47</v>
      </c>
      <c r="B50" s="122" t="s">
        <v>508</v>
      </c>
      <c r="C50" s="122" t="s">
        <v>509</v>
      </c>
      <c r="D50" s="122" t="s">
        <v>263</v>
      </c>
      <c r="E50" s="122"/>
      <c r="F50" s="123" t="s">
        <v>510</v>
      </c>
      <c r="G50" s="123" t="s">
        <v>585</v>
      </c>
      <c r="H50" s="122" t="s">
        <v>337</v>
      </c>
      <c r="I50" s="124">
        <v>46203</v>
      </c>
    </row>
    <row r="51" spans="1:9" ht="37.5" hidden="1" customHeight="1">
      <c r="A51" s="113">
        <v>48</v>
      </c>
      <c r="B51" s="113" t="s">
        <v>511</v>
      </c>
      <c r="C51" s="113" t="s">
        <v>512</v>
      </c>
      <c r="D51" s="113" t="s">
        <v>513</v>
      </c>
      <c r="E51" s="113"/>
      <c r="F51" s="114" t="s">
        <v>514</v>
      </c>
      <c r="G51" s="114" t="s">
        <v>515</v>
      </c>
      <c r="H51" s="113" t="s">
        <v>337</v>
      </c>
      <c r="I51" s="115">
        <v>46205</v>
      </c>
    </row>
    <row r="52" spans="1:9" ht="37.5" hidden="1" customHeight="1">
      <c r="A52" s="113">
        <v>49</v>
      </c>
      <c r="B52" s="113" t="s">
        <v>522</v>
      </c>
      <c r="C52" s="113" t="s">
        <v>528</v>
      </c>
      <c r="D52" s="113" t="s">
        <v>529</v>
      </c>
      <c r="E52" s="113"/>
      <c r="F52" s="114" t="s">
        <v>523</v>
      </c>
      <c r="G52" s="114" t="s">
        <v>524</v>
      </c>
      <c r="H52" s="113" t="s">
        <v>337</v>
      </c>
      <c r="I52" s="115">
        <v>46211</v>
      </c>
    </row>
    <row r="53" spans="1:9" ht="37.5" hidden="1" customHeight="1">
      <c r="A53" s="113">
        <v>48</v>
      </c>
      <c r="B53" s="113" t="s">
        <v>99</v>
      </c>
      <c r="C53" s="113" t="s">
        <v>548</v>
      </c>
      <c r="D53" s="113" t="s">
        <v>381</v>
      </c>
      <c r="E53" s="113"/>
      <c r="F53" s="114" t="s">
        <v>549</v>
      </c>
      <c r="G53" s="114" t="s">
        <v>515</v>
      </c>
      <c r="H53" s="113" t="s">
        <v>337</v>
      </c>
      <c r="I53" s="115">
        <v>46212</v>
      </c>
    </row>
    <row r="54" spans="1:9" ht="57" hidden="1" customHeight="1">
      <c r="A54" s="113">
        <v>49</v>
      </c>
      <c r="B54" s="113" t="s">
        <v>550</v>
      </c>
      <c r="C54" s="113" t="s">
        <v>551</v>
      </c>
      <c r="D54" s="113" t="s">
        <v>552</v>
      </c>
      <c r="E54" s="113"/>
      <c r="F54" s="114" t="s">
        <v>553</v>
      </c>
      <c r="G54" s="114" t="s">
        <v>554</v>
      </c>
      <c r="H54" s="113" t="s">
        <v>337</v>
      </c>
      <c r="I54" s="115">
        <v>46212</v>
      </c>
    </row>
    <row r="55" spans="1:9" ht="57" hidden="1" customHeight="1">
      <c r="A55" s="122">
        <v>50</v>
      </c>
      <c r="B55" s="122" t="s">
        <v>563</v>
      </c>
      <c r="C55" s="122" t="s">
        <v>565</v>
      </c>
      <c r="D55" s="122" t="s">
        <v>567</v>
      </c>
      <c r="E55" s="122" t="s">
        <v>337</v>
      </c>
      <c r="F55" s="123" t="s">
        <v>568</v>
      </c>
      <c r="G55" s="123" t="s">
        <v>586</v>
      </c>
      <c r="H55" s="122" t="s">
        <v>337</v>
      </c>
      <c r="I55" s="124">
        <v>46212</v>
      </c>
    </row>
    <row r="56" spans="1:9" ht="57" customHeight="1">
      <c r="A56" s="69">
        <v>51</v>
      </c>
      <c r="B56" s="69" t="s">
        <v>573</v>
      </c>
      <c r="C56" s="69" t="s">
        <v>575</v>
      </c>
      <c r="D56" s="69" t="s">
        <v>577</v>
      </c>
      <c r="E56" s="69" t="s">
        <v>337</v>
      </c>
      <c r="F56" s="70" t="s">
        <v>581</v>
      </c>
      <c r="G56" s="70" t="s">
        <v>746</v>
      </c>
      <c r="H56" s="69"/>
      <c r="I56" s="71">
        <v>46212</v>
      </c>
    </row>
    <row r="57" spans="1:9" ht="57" customHeight="1">
      <c r="A57" s="69">
        <v>52</v>
      </c>
      <c r="B57" s="69" t="s">
        <v>632</v>
      </c>
      <c r="C57" s="69" t="s">
        <v>633</v>
      </c>
      <c r="D57" s="69" t="s">
        <v>634</v>
      </c>
      <c r="E57" s="69"/>
      <c r="F57" s="70" t="s">
        <v>635</v>
      </c>
      <c r="G57" s="70" t="s">
        <v>664</v>
      </c>
      <c r="H57" s="69"/>
      <c r="I57" s="71">
        <v>46212</v>
      </c>
    </row>
    <row r="58" spans="1:9" ht="57" hidden="1" customHeight="1">
      <c r="A58" s="113">
        <v>53</v>
      </c>
      <c r="B58" s="113" t="s">
        <v>636</v>
      </c>
      <c r="C58" s="113" t="s">
        <v>637</v>
      </c>
      <c r="D58" s="113" t="s">
        <v>638</v>
      </c>
      <c r="E58" s="113"/>
      <c r="F58" s="114" t="s">
        <v>662</v>
      </c>
      <c r="G58" s="114" t="s">
        <v>663</v>
      </c>
      <c r="H58" s="113" t="s">
        <v>337</v>
      </c>
      <c r="I58" s="115">
        <v>46212</v>
      </c>
    </row>
    <row r="59" spans="1:9" ht="37.5" hidden="1" customHeight="1">
      <c r="A59" s="113">
        <v>54</v>
      </c>
      <c r="B59" s="126" t="s">
        <v>208</v>
      </c>
      <c r="C59" s="113" t="s">
        <v>537</v>
      </c>
      <c r="D59" s="113" t="s">
        <v>538</v>
      </c>
      <c r="E59" s="113" t="s">
        <v>337</v>
      </c>
      <c r="F59" s="114" t="s">
        <v>539</v>
      </c>
      <c r="G59" s="114" t="s">
        <v>540</v>
      </c>
      <c r="H59" s="113" t="s">
        <v>337</v>
      </c>
      <c r="I59" s="115">
        <v>46218</v>
      </c>
    </row>
    <row r="60" spans="1:9" ht="37.5" hidden="1" customHeight="1">
      <c r="A60" s="113">
        <v>55</v>
      </c>
      <c r="B60" s="113" t="s">
        <v>594</v>
      </c>
      <c r="C60" s="113" t="s">
        <v>595</v>
      </c>
      <c r="D60" s="113" t="s">
        <v>596</v>
      </c>
      <c r="E60" s="113"/>
      <c r="F60" s="114" t="s">
        <v>601</v>
      </c>
      <c r="G60" s="114" t="s">
        <v>597</v>
      </c>
      <c r="H60" s="113" t="s">
        <v>337</v>
      </c>
      <c r="I60" s="115">
        <v>46225</v>
      </c>
    </row>
    <row r="61" spans="1:9" ht="37.5" hidden="1" customHeight="1">
      <c r="A61" s="113">
        <v>56</v>
      </c>
      <c r="B61" s="127" t="s">
        <v>598</v>
      </c>
      <c r="C61" s="113" t="s">
        <v>599</v>
      </c>
      <c r="D61" s="113" t="s">
        <v>600</v>
      </c>
      <c r="E61" s="113"/>
      <c r="F61" s="114" t="s">
        <v>602</v>
      </c>
      <c r="G61" s="114" t="s">
        <v>515</v>
      </c>
      <c r="H61" s="113" t="s">
        <v>337</v>
      </c>
      <c r="I61" s="115">
        <v>46226</v>
      </c>
    </row>
    <row r="62" spans="1:9" ht="51.75" hidden="1" customHeight="1">
      <c r="A62" s="113">
        <v>57</v>
      </c>
      <c r="B62" s="113" t="s">
        <v>609</v>
      </c>
      <c r="C62" s="113" t="s">
        <v>610</v>
      </c>
      <c r="D62" s="113" t="s">
        <v>611</v>
      </c>
      <c r="E62" s="113"/>
      <c r="F62" s="114" t="s">
        <v>612</v>
      </c>
      <c r="G62" s="114" t="s">
        <v>524</v>
      </c>
      <c r="H62" s="113" t="s">
        <v>337</v>
      </c>
      <c r="I62" s="115">
        <v>46227</v>
      </c>
    </row>
    <row r="63" spans="1:9" ht="87.75" hidden="1" customHeight="1">
      <c r="A63" s="113">
        <v>58</v>
      </c>
      <c r="B63" s="113" t="s">
        <v>605</v>
      </c>
      <c r="C63" s="113" t="s">
        <v>606</v>
      </c>
      <c r="D63" s="113" t="s">
        <v>438</v>
      </c>
      <c r="E63" s="113" t="s">
        <v>620</v>
      </c>
      <c r="F63" s="114" t="s">
        <v>607</v>
      </c>
      <c r="G63" s="114" t="s">
        <v>608</v>
      </c>
      <c r="H63" s="113" t="s">
        <v>337</v>
      </c>
      <c r="I63" s="115">
        <v>46230</v>
      </c>
    </row>
    <row r="64" spans="1:9" ht="69.75" hidden="1" customHeight="1">
      <c r="A64" s="113">
        <v>59</v>
      </c>
      <c r="B64" s="127" t="s">
        <v>603</v>
      </c>
      <c r="C64" s="113" t="s">
        <v>551</v>
      </c>
      <c r="D64" s="113" t="s">
        <v>454</v>
      </c>
      <c r="E64" s="113"/>
      <c r="F64" s="114" t="s">
        <v>604</v>
      </c>
      <c r="G64" s="114" t="s">
        <v>742</v>
      </c>
      <c r="H64" s="113" t="s">
        <v>337</v>
      </c>
      <c r="I64" s="115">
        <v>46231</v>
      </c>
    </row>
    <row r="65" spans="1:9" ht="50.25" hidden="1" customHeight="1">
      <c r="A65" s="113">
        <v>60</v>
      </c>
      <c r="B65" s="127" t="s">
        <v>613</v>
      </c>
      <c r="C65" s="113" t="s">
        <v>614</v>
      </c>
      <c r="D65" s="113" t="s">
        <v>615</v>
      </c>
      <c r="E65" s="113"/>
      <c r="F65" s="114" t="s">
        <v>622</v>
      </c>
      <c r="G65" s="114" t="s">
        <v>616</v>
      </c>
      <c r="H65" s="113" t="s">
        <v>337</v>
      </c>
      <c r="I65" s="115">
        <v>46231</v>
      </c>
    </row>
    <row r="66" spans="1:9" ht="50.25" hidden="1" customHeight="1">
      <c r="A66" s="113">
        <v>61</v>
      </c>
      <c r="B66" s="127" t="s">
        <v>617</v>
      </c>
      <c r="C66" s="113" t="s">
        <v>618</v>
      </c>
      <c r="D66" s="113" t="s">
        <v>619</v>
      </c>
      <c r="E66" s="113" t="s">
        <v>337</v>
      </c>
      <c r="F66" s="114" t="s">
        <v>621</v>
      </c>
      <c r="G66" s="114" t="s">
        <v>639</v>
      </c>
      <c r="H66" s="113" t="s">
        <v>337</v>
      </c>
      <c r="I66" s="115">
        <v>46234</v>
      </c>
    </row>
    <row r="67" spans="1:9" ht="78.75" hidden="1" customHeight="1">
      <c r="A67" s="113">
        <v>62</v>
      </c>
      <c r="B67" s="127" t="s">
        <v>603</v>
      </c>
      <c r="C67" s="113" t="s">
        <v>551</v>
      </c>
      <c r="D67" s="113" t="s">
        <v>645</v>
      </c>
      <c r="E67" s="113"/>
      <c r="F67" s="114" t="s">
        <v>646</v>
      </c>
      <c r="G67" s="114" t="s">
        <v>742</v>
      </c>
      <c r="H67" s="113" t="s">
        <v>337</v>
      </c>
      <c r="I67" s="115">
        <v>46237</v>
      </c>
    </row>
    <row r="68" spans="1:9" ht="50.25" hidden="1" customHeight="1">
      <c r="A68" s="113">
        <v>63</v>
      </c>
      <c r="B68" s="127" t="s">
        <v>657</v>
      </c>
      <c r="C68" s="113" t="s">
        <v>658</v>
      </c>
      <c r="D68" s="113" t="s">
        <v>659</v>
      </c>
      <c r="E68" s="113" t="s">
        <v>337</v>
      </c>
      <c r="F68" s="114" t="s">
        <v>660</v>
      </c>
      <c r="G68" s="114" t="s">
        <v>661</v>
      </c>
      <c r="H68" s="113" t="s">
        <v>337</v>
      </c>
      <c r="I68" s="115">
        <v>46245</v>
      </c>
    </row>
    <row r="69" spans="1:9" ht="50.25" hidden="1" customHeight="1">
      <c r="A69" s="113">
        <v>64</v>
      </c>
      <c r="B69" s="127" t="s">
        <v>682</v>
      </c>
      <c r="C69" s="113" t="s">
        <v>676</v>
      </c>
      <c r="D69" s="113" t="s">
        <v>681</v>
      </c>
      <c r="E69" s="113"/>
      <c r="F69" s="114" t="s">
        <v>683</v>
      </c>
      <c r="G69" s="114" t="s">
        <v>685</v>
      </c>
      <c r="H69" s="113" t="s">
        <v>337</v>
      </c>
      <c r="I69" s="115">
        <v>46241</v>
      </c>
    </row>
    <row r="70" spans="1:9" ht="50.25" hidden="1" customHeight="1">
      <c r="A70" s="113">
        <v>65</v>
      </c>
      <c r="B70" s="127" t="s">
        <v>686</v>
      </c>
      <c r="C70" s="113" t="s">
        <v>687</v>
      </c>
      <c r="D70" s="113" t="s">
        <v>688</v>
      </c>
      <c r="E70" s="113"/>
      <c r="F70" s="114" t="s">
        <v>689</v>
      </c>
      <c r="G70" s="114" t="s">
        <v>684</v>
      </c>
      <c r="H70" s="113" t="s">
        <v>337</v>
      </c>
      <c r="I70" s="115">
        <v>46241</v>
      </c>
    </row>
    <row r="71" spans="1:9" ht="50.25" customHeight="1">
      <c r="A71" s="69">
        <v>66</v>
      </c>
      <c r="B71" s="80" t="s">
        <v>690</v>
      </c>
      <c r="C71" s="69" t="s">
        <v>691</v>
      </c>
      <c r="D71" s="69" t="s">
        <v>692</v>
      </c>
      <c r="E71" s="69"/>
      <c r="F71" s="70" t="s">
        <v>693</v>
      </c>
      <c r="G71" s="70" t="s">
        <v>401</v>
      </c>
      <c r="H71" s="69"/>
      <c r="I71" s="71">
        <v>46245</v>
      </c>
    </row>
    <row r="72" spans="1:9" ht="50.25" hidden="1" customHeight="1">
      <c r="A72" s="113">
        <v>67</v>
      </c>
      <c r="B72" s="127" t="s">
        <v>694</v>
      </c>
      <c r="C72" s="113" t="s">
        <v>695</v>
      </c>
      <c r="D72" s="113" t="s">
        <v>696</v>
      </c>
      <c r="E72" s="113"/>
      <c r="F72" s="114" t="s">
        <v>697</v>
      </c>
      <c r="G72" s="114" t="s">
        <v>698</v>
      </c>
      <c r="H72" s="113" t="s">
        <v>337</v>
      </c>
      <c r="I72" s="115">
        <v>46246</v>
      </c>
    </row>
    <row r="73" spans="1:9" ht="50.25" hidden="1" customHeight="1">
      <c r="A73" s="113">
        <v>68</v>
      </c>
      <c r="B73" s="127" t="s">
        <v>699</v>
      </c>
      <c r="C73" s="113" t="s">
        <v>700</v>
      </c>
      <c r="D73" s="113" t="s">
        <v>701</v>
      </c>
      <c r="E73" s="113"/>
      <c r="F73" s="114" t="s">
        <v>702</v>
      </c>
      <c r="G73" s="114" t="s">
        <v>703</v>
      </c>
      <c r="H73" s="113" t="s">
        <v>337</v>
      </c>
      <c r="I73" s="115">
        <v>46247</v>
      </c>
    </row>
    <row r="74" spans="1:9" ht="50.25" customHeight="1">
      <c r="A74" s="69">
        <v>69</v>
      </c>
      <c r="B74" s="80" t="s">
        <v>716</v>
      </c>
      <c r="C74" s="69" t="s">
        <v>717</v>
      </c>
      <c r="D74" s="69" t="s">
        <v>718</v>
      </c>
      <c r="E74" s="69"/>
      <c r="F74" s="70" t="s">
        <v>719</v>
      </c>
      <c r="G74" s="70" t="s">
        <v>684</v>
      </c>
      <c r="H74" s="69"/>
      <c r="I74" s="71">
        <v>46252</v>
      </c>
    </row>
    <row r="75" spans="1:9" ht="50.25" hidden="1" customHeight="1">
      <c r="A75" s="113">
        <v>70</v>
      </c>
      <c r="B75" s="127" t="s">
        <v>720</v>
      </c>
      <c r="C75" s="113" t="s">
        <v>721</v>
      </c>
      <c r="D75" s="113" t="s">
        <v>722</v>
      </c>
      <c r="E75" s="113"/>
      <c r="F75" s="114" t="s">
        <v>723</v>
      </c>
      <c r="G75" s="114" t="s">
        <v>684</v>
      </c>
      <c r="H75" s="113" t="s">
        <v>337</v>
      </c>
      <c r="I75" s="115">
        <v>46252</v>
      </c>
    </row>
    <row r="76" spans="1:9" ht="50.25" hidden="1" customHeight="1">
      <c r="A76" s="113">
        <v>71</v>
      </c>
      <c r="B76" s="127" t="s">
        <v>724</v>
      </c>
      <c r="C76" s="113" t="s">
        <v>725</v>
      </c>
      <c r="D76" s="113" t="s">
        <v>726</v>
      </c>
      <c r="E76" s="113"/>
      <c r="F76" s="114" t="s">
        <v>727</v>
      </c>
      <c r="G76" s="114" t="s">
        <v>684</v>
      </c>
      <c r="H76" s="113" t="s">
        <v>337</v>
      </c>
      <c r="I76" s="115">
        <v>46252</v>
      </c>
    </row>
    <row r="77" spans="1:9" ht="50.25" customHeight="1">
      <c r="A77" s="69">
        <v>72</v>
      </c>
      <c r="B77" s="80" t="s">
        <v>731</v>
      </c>
      <c r="C77" s="69" t="s">
        <v>745</v>
      </c>
      <c r="D77" s="69" t="s">
        <v>710</v>
      </c>
      <c r="E77" s="69"/>
      <c r="F77" s="70" t="s">
        <v>732</v>
      </c>
      <c r="G77" s="70" t="s">
        <v>747</v>
      </c>
      <c r="H77" s="69"/>
      <c r="I77" s="71">
        <v>46253</v>
      </c>
    </row>
    <row r="78" spans="1:9" ht="50.25" customHeight="1">
      <c r="A78" s="69">
        <v>73</v>
      </c>
      <c r="B78" s="80" t="s">
        <v>711</v>
      </c>
      <c r="C78" s="69" t="s">
        <v>712</v>
      </c>
      <c r="D78" s="69" t="s">
        <v>713</v>
      </c>
      <c r="E78" s="69" t="s">
        <v>337</v>
      </c>
      <c r="F78" s="70" t="s">
        <v>714</v>
      </c>
      <c r="G78" s="70" t="s">
        <v>715</v>
      </c>
      <c r="H78" s="69"/>
      <c r="I78" s="71">
        <v>46253</v>
      </c>
    </row>
    <row r="79" spans="1:9" ht="50.25" customHeight="1">
      <c r="A79" s="69">
        <v>75</v>
      </c>
      <c r="B79" s="80" t="s">
        <v>41</v>
      </c>
      <c r="C79" s="69" t="s">
        <v>753</v>
      </c>
      <c r="D79" s="69" t="s">
        <v>754</v>
      </c>
      <c r="E79" s="69"/>
      <c r="F79" s="70" t="s">
        <v>763</v>
      </c>
      <c r="G79" s="70" t="s">
        <v>770</v>
      </c>
      <c r="H79" s="69"/>
      <c r="I79" s="71">
        <v>46255</v>
      </c>
    </row>
    <row r="80" spans="1:9" ht="50.25" customHeight="1">
      <c r="A80" s="69">
        <v>74</v>
      </c>
      <c r="B80" s="80" t="s">
        <v>748</v>
      </c>
      <c r="C80" s="69" t="s">
        <v>749</v>
      </c>
      <c r="D80" s="69" t="s">
        <v>750</v>
      </c>
      <c r="E80" s="69" t="s">
        <v>758</v>
      </c>
      <c r="F80" s="70" t="s">
        <v>751</v>
      </c>
      <c r="G80" s="70" t="s">
        <v>752</v>
      </c>
      <c r="H80" s="69"/>
      <c r="I80" s="71">
        <v>46260</v>
      </c>
    </row>
    <row r="81" spans="1:9" ht="50.25" customHeight="1">
      <c r="A81" s="69">
        <v>75</v>
      </c>
      <c r="B81" s="80" t="s">
        <v>755</v>
      </c>
      <c r="C81" s="69" t="s">
        <v>756</v>
      </c>
      <c r="D81" s="69" t="s">
        <v>757</v>
      </c>
      <c r="E81" s="69" t="s">
        <v>337</v>
      </c>
      <c r="F81" s="70" t="s">
        <v>759</v>
      </c>
      <c r="G81" s="70" t="s">
        <v>771</v>
      </c>
      <c r="H81" s="69"/>
      <c r="I81" s="71">
        <v>46262</v>
      </c>
    </row>
    <row r="82" spans="1:9" ht="50.25" customHeight="1">
      <c r="A82" s="69">
        <v>76</v>
      </c>
      <c r="B82" s="80" t="s">
        <v>760</v>
      </c>
      <c r="C82" s="69" t="s">
        <v>761</v>
      </c>
      <c r="D82" s="69" t="s">
        <v>762</v>
      </c>
      <c r="E82" s="69"/>
      <c r="F82" s="70" t="s">
        <v>764</v>
      </c>
      <c r="G82" s="70" t="s">
        <v>765</v>
      </c>
      <c r="H82" s="69"/>
      <c r="I82" s="71">
        <v>46266</v>
      </c>
    </row>
    <row r="83" spans="1:9" ht="50.25" customHeight="1">
      <c r="A83" s="69">
        <v>77</v>
      </c>
      <c r="B83" s="80" t="s">
        <v>766</v>
      </c>
      <c r="C83" s="69" t="s">
        <v>767</v>
      </c>
      <c r="D83" s="69" t="s">
        <v>768</v>
      </c>
      <c r="E83" s="69"/>
      <c r="F83" s="70" t="s">
        <v>769</v>
      </c>
      <c r="G83" s="70" t="s">
        <v>770</v>
      </c>
      <c r="H83" s="69"/>
      <c r="I83" s="71">
        <v>46268</v>
      </c>
    </row>
    <row r="84" spans="1:9" ht="50.25" customHeight="1">
      <c r="A84" s="69">
        <v>78</v>
      </c>
      <c r="B84" s="80" t="s">
        <v>101</v>
      </c>
      <c r="C84" s="69" t="s">
        <v>360</v>
      </c>
      <c r="D84" s="69" t="s">
        <v>772</v>
      </c>
      <c r="E84" s="69"/>
      <c r="F84" s="70" t="s">
        <v>773</v>
      </c>
      <c r="G84" s="70" t="s">
        <v>684</v>
      </c>
      <c r="H84" s="69"/>
      <c r="I84" s="71">
        <v>46261</v>
      </c>
    </row>
    <row r="85" spans="1:9" ht="50.25" customHeight="1">
      <c r="A85" s="69">
        <v>79</v>
      </c>
      <c r="B85" s="80" t="s">
        <v>1</v>
      </c>
      <c r="C85" s="69" t="s">
        <v>774</v>
      </c>
      <c r="D85" s="69" t="s">
        <v>566</v>
      </c>
      <c r="E85" s="69" t="s">
        <v>337</v>
      </c>
      <c r="F85" s="70" t="s">
        <v>775</v>
      </c>
      <c r="G85" s="70" t="s">
        <v>776</v>
      </c>
      <c r="H85" s="69"/>
      <c r="I85" s="71">
        <v>46255</v>
      </c>
    </row>
    <row r="86" spans="1:9" ht="50.25" customHeight="1">
      <c r="A86" s="69"/>
      <c r="B86" s="80"/>
      <c r="C86" s="69"/>
      <c r="D86" s="69"/>
      <c r="E86" s="69"/>
      <c r="F86" s="70"/>
      <c r="G86" s="70"/>
      <c r="H86" s="69"/>
      <c r="I86" s="71"/>
    </row>
    <row r="87" spans="1:9" ht="50.25" customHeight="1">
      <c r="A87" s="69"/>
      <c r="B87" s="80"/>
      <c r="C87" s="69"/>
      <c r="D87" s="69"/>
      <c r="E87" s="69"/>
      <c r="F87" s="70"/>
      <c r="G87" s="70"/>
      <c r="H87" s="69"/>
      <c r="I87" s="71"/>
    </row>
    <row r="88" spans="1:9" ht="50.25" customHeight="1">
      <c r="A88" s="69"/>
      <c r="B88" s="80"/>
      <c r="C88" s="69"/>
      <c r="D88" s="69"/>
      <c r="E88" s="69"/>
      <c r="F88" s="70"/>
      <c r="G88" s="70"/>
      <c r="H88" s="69"/>
      <c r="I88" s="71"/>
    </row>
    <row r="89" spans="1:9" ht="50.25" customHeight="1">
      <c r="A89" s="69"/>
      <c r="B89" s="80"/>
      <c r="C89" s="69"/>
      <c r="D89" s="69"/>
      <c r="E89" s="69"/>
      <c r="F89" s="70"/>
      <c r="G89" s="70"/>
      <c r="H89" s="69"/>
      <c r="I89" s="71"/>
    </row>
    <row r="90" spans="1:9" ht="50.25" customHeight="1">
      <c r="A90" s="69"/>
      <c r="B90" s="80"/>
      <c r="C90" s="69"/>
      <c r="D90" s="69"/>
      <c r="E90" s="69"/>
      <c r="F90" s="70"/>
      <c r="G90" s="70"/>
      <c r="H90" s="69"/>
      <c r="I90" s="71"/>
    </row>
    <row r="91" spans="1:9" ht="50.25" customHeight="1">
      <c r="A91" s="69"/>
      <c r="B91" s="80"/>
      <c r="C91" s="69"/>
      <c r="D91" s="69"/>
      <c r="E91" s="69"/>
      <c r="F91" s="70"/>
      <c r="G91" s="70"/>
      <c r="H91" s="69"/>
      <c r="I91" s="71"/>
    </row>
    <row r="92" spans="1:9" ht="50.25" customHeight="1">
      <c r="A92" s="69"/>
      <c r="B92" s="80"/>
      <c r="C92" s="69"/>
      <c r="D92" s="69"/>
      <c r="E92" s="69"/>
      <c r="F92" s="70"/>
      <c r="G92" s="70"/>
      <c r="H92" s="69"/>
      <c r="I92" s="71"/>
    </row>
    <row r="93" spans="1:9" ht="26.1" customHeight="1">
      <c r="A93" s="44"/>
      <c r="B93" s="45"/>
      <c r="C93" s="45"/>
      <c r="D93" s="45"/>
      <c r="E93" s="45"/>
      <c r="F93" s="47"/>
      <c r="G93" s="47"/>
      <c r="H93" s="47"/>
      <c r="I93" s="45"/>
    </row>
    <row r="94" spans="1:9" ht="26.1" customHeight="1">
      <c r="A94" s="108"/>
      <c r="B94" s="109"/>
      <c r="C94" s="109"/>
      <c r="D94" s="109"/>
      <c r="E94" s="109"/>
      <c r="F94" s="110"/>
      <c r="G94" s="110"/>
      <c r="H94" s="110"/>
      <c r="I94" s="109"/>
    </row>
    <row r="95" spans="1:9" ht="26.1" customHeight="1">
      <c r="A95" s="108"/>
      <c r="B95" s="109"/>
      <c r="C95" s="109"/>
      <c r="D95" s="109"/>
      <c r="E95" s="109"/>
      <c r="F95" s="110"/>
      <c r="G95" s="110"/>
      <c r="H95" s="110"/>
      <c r="I95" s="109"/>
    </row>
    <row r="96" spans="1:9" ht="26.1" customHeight="1">
      <c r="A96" s="108"/>
      <c r="B96" s="109"/>
      <c r="C96" s="109"/>
      <c r="D96" s="109"/>
      <c r="E96" s="109"/>
      <c r="F96" s="110"/>
      <c r="G96" s="110"/>
      <c r="H96" s="110"/>
      <c r="I96" s="109"/>
    </row>
    <row r="97" spans="1:9" ht="26.1" customHeight="1">
      <c r="A97" s="108"/>
      <c r="B97" s="109"/>
      <c r="C97" s="109"/>
      <c r="D97" s="109"/>
      <c r="E97" s="109"/>
      <c r="F97" s="110"/>
      <c r="G97" s="110"/>
      <c r="H97" s="110"/>
      <c r="I97" s="109"/>
    </row>
    <row r="98" spans="1:9" ht="26.1" customHeight="1">
      <c r="A98" s="108"/>
      <c r="B98" s="109"/>
      <c r="C98" s="109"/>
      <c r="D98" s="109"/>
      <c r="E98" s="109"/>
      <c r="F98" s="110"/>
      <c r="G98" s="110"/>
      <c r="H98" s="110"/>
      <c r="I98" s="109"/>
    </row>
    <row r="99" spans="1:9">
      <c r="B99" s="35"/>
      <c r="C99" s="35"/>
      <c r="D99" s="35"/>
      <c r="E99" s="35"/>
      <c r="F99" s="35"/>
    </row>
    <row r="100" spans="1:9">
      <c r="A100" s="144" t="s">
        <v>254</v>
      </c>
      <c r="B100" s="144"/>
      <c r="C100" s="144"/>
      <c r="D100" s="144"/>
      <c r="E100" s="144"/>
      <c r="F100" s="144"/>
      <c r="G100" s="144"/>
      <c r="H100" s="144"/>
      <c r="I100" s="144"/>
    </row>
  </sheetData>
  <autoFilter ref="A3:I3" xr:uid="{C7435D52-8E4F-4F7D-AB99-87F3CE591158}"/>
  <mergeCells count="2">
    <mergeCell ref="A1:I1"/>
    <mergeCell ref="A100:I100"/>
  </mergeCells>
  <phoneticPr fontId="1" type="noConversion"/>
  <printOptions horizontalCentered="1"/>
  <pageMargins left="0.19685039370078741" right="0.19685039370078741" top="0.59055118110236227" bottom="0.39370078740157483" header="0.39370078740157483" footer="0.19685039370078741"/>
  <pageSetup paperSize="9" scale="84" orientation="landscape" r:id="rId1"/>
  <headerFooter>
    <oddHeader>&amp;C&amp;"微軟正黑體,標準"&amp;18 &amp;R&amp;"微軟正黑體,標準"&amp;P /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886A-F72B-4DB7-947F-DB962E639183}">
  <dimension ref="B3:F69"/>
  <sheetViews>
    <sheetView zoomScale="120" zoomScaleNormal="120" workbookViewId="0">
      <pane xSplit="4" ySplit="3" topLeftCell="E55" activePane="bottomRight" state="frozen"/>
      <selection pane="topRight" activeCell="E1" sqref="E1"/>
      <selection pane="bottomLeft" activeCell="A4" sqref="A4"/>
      <selection pane="bottomRight" activeCell="B66" sqref="B66"/>
    </sheetView>
  </sheetViews>
  <sheetFormatPr defaultColWidth="8.875" defaultRowHeight="18.75"/>
  <cols>
    <col min="1" max="1" width="3" style="53" customWidth="1"/>
    <col min="2" max="2" width="8.875" style="53"/>
    <col min="3" max="3" width="10.5" style="53" bestFit="1" customWidth="1"/>
    <col min="4" max="4" width="13.25" style="53" customWidth="1"/>
    <col min="5" max="5" width="69.875" style="53" customWidth="1"/>
    <col min="6" max="6" width="21.125" style="53" customWidth="1"/>
    <col min="7" max="16384" width="8.875" style="53"/>
  </cols>
  <sheetData>
    <row r="3" spans="2:6" ht="22.35" customHeight="1">
      <c r="B3" s="56" t="s">
        <v>296</v>
      </c>
      <c r="C3" s="56" t="s">
        <v>308</v>
      </c>
      <c r="D3" s="56" t="s">
        <v>297</v>
      </c>
      <c r="E3" s="56" t="s">
        <v>299</v>
      </c>
      <c r="F3" s="56" t="s">
        <v>301</v>
      </c>
    </row>
    <row r="4" spans="2:6" ht="22.35" customHeight="1">
      <c r="B4" s="149">
        <v>18</v>
      </c>
      <c r="C4" s="55" t="s">
        <v>309</v>
      </c>
      <c r="D4" s="13" t="s">
        <v>158</v>
      </c>
      <c r="E4" s="54" t="s">
        <v>305</v>
      </c>
      <c r="F4" s="54" t="s">
        <v>300</v>
      </c>
    </row>
    <row r="5" spans="2:6" ht="22.35" customHeight="1">
      <c r="B5" s="150"/>
      <c r="C5" s="55" t="s">
        <v>309</v>
      </c>
      <c r="D5" s="13" t="s">
        <v>298</v>
      </c>
      <c r="E5" s="54" t="s">
        <v>306</v>
      </c>
      <c r="F5" s="54" t="s">
        <v>300</v>
      </c>
    </row>
    <row r="6" spans="2:6" ht="22.35" customHeight="1">
      <c r="B6" s="13">
        <v>19</v>
      </c>
      <c r="C6" s="55" t="s">
        <v>310</v>
      </c>
      <c r="D6" s="13" t="s">
        <v>174</v>
      </c>
      <c r="E6" s="54" t="s">
        <v>307</v>
      </c>
      <c r="F6" s="54" t="s">
        <v>302</v>
      </c>
    </row>
    <row r="7" spans="2:6" ht="22.35" customHeight="1">
      <c r="B7" s="149">
        <v>20</v>
      </c>
      <c r="C7" s="55" t="s">
        <v>327</v>
      </c>
      <c r="D7" s="13" t="s">
        <v>182</v>
      </c>
      <c r="E7" s="54" t="s">
        <v>311</v>
      </c>
      <c r="F7" s="54" t="s">
        <v>303</v>
      </c>
    </row>
    <row r="8" spans="2:6" ht="22.35" customHeight="1">
      <c r="B8" s="150"/>
      <c r="C8" s="55" t="s">
        <v>326</v>
      </c>
      <c r="D8" s="13" t="s">
        <v>101</v>
      </c>
      <c r="E8" s="54" t="s">
        <v>312</v>
      </c>
      <c r="F8" s="54" t="s">
        <v>304</v>
      </c>
    </row>
    <row r="9" spans="2:6" ht="22.35" customHeight="1">
      <c r="B9" s="150"/>
      <c r="C9" s="55" t="s">
        <v>325</v>
      </c>
      <c r="D9" s="13" t="s">
        <v>162</v>
      </c>
      <c r="E9" s="54" t="s">
        <v>313</v>
      </c>
      <c r="F9" s="54" t="s">
        <v>304</v>
      </c>
    </row>
    <row r="10" spans="2:6" ht="22.35" customHeight="1">
      <c r="B10" s="151">
        <v>21</v>
      </c>
      <c r="C10" s="55" t="s">
        <v>328</v>
      </c>
      <c r="D10" s="13" t="s">
        <v>171</v>
      </c>
      <c r="E10" s="54" t="s">
        <v>332</v>
      </c>
      <c r="F10" s="54" t="s">
        <v>329</v>
      </c>
    </row>
    <row r="11" spans="2:6" ht="22.35" customHeight="1">
      <c r="B11" s="152"/>
      <c r="C11" s="55" t="s">
        <v>333</v>
      </c>
      <c r="D11" s="13" t="s">
        <v>162</v>
      </c>
      <c r="E11" s="30" t="s">
        <v>334</v>
      </c>
      <c r="F11" s="54" t="s">
        <v>329</v>
      </c>
    </row>
    <row r="12" spans="2:6" ht="22.35" customHeight="1">
      <c r="B12" s="153"/>
      <c r="C12" s="55" t="s">
        <v>330</v>
      </c>
      <c r="D12" s="13" t="s">
        <v>217</v>
      </c>
      <c r="E12" s="54" t="s">
        <v>331</v>
      </c>
      <c r="F12" s="54" t="s">
        <v>354</v>
      </c>
    </row>
    <row r="13" spans="2:6" ht="22.35" customHeight="1">
      <c r="B13" s="151">
        <v>22</v>
      </c>
      <c r="C13" s="55" t="s">
        <v>335</v>
      </c>
      <c r="D13" s="13" t="s">
        <v>144</v>
      </c>
      <c r="E13" s="54" t="s">
        <v>336</v>
      </c>
      <c r="F13" s="54" t="s">
        <v>329</v>
      </c>
    </row>
    <row r="14" spans="2:6" ht="22.35" customHeight="1">
      <c r="B14" s="152"/>
      <c r="C14" s="55" t="s">
        <v>368</v>
      </c>
      <c r="D14" s="13" t="s">
        <v>369</v>
      </c>
      <c r="E14" s="54" t="s">
        <v>370</v>
      </c>
      <c r="F14" s="54" t="s">
        <v>371</v>
      </c>
    </row>
    <row r="15" spans="2:6" ht="22.35" customHeight="1">
      <c r="B15" s="152"/>
      <c r="C15" s="55" t="s">
        <v>368</v>
      </c>
      <c r="D15" s="13" t="s">
        <v>144</v>
      </c>
      <c r="E15" s="54" t="s">
        <v>373</v>
      </c>
      <c r="F15" s="54" t="s">
        <v>303</v>
      </c>
    </row>
    <row r="16" spans="2:6" ht="22.35" customHeight="1">
      <c r="B16" s="153"/>
      <c r="C16" s="55" t="s">
        <v>372</v>
      </c>
      <c r="D16" s="13" t="s">
        <v>369</v>
      </c>
      <c r="E16" s="54" t="s">
        <v>370</v>
      </c>
      <c r="F16" s="73" t="s">
        <v>374</v>
      </c>
    </row>
    <row r="17" spans="2:6" ht="22.35" customHeight="1">
      <c r="B17" s="151">
        <v>23</v>
      </c>
      <c r="C17" s="55" t="s">
        <v>385</v>
      </c>
      <c r="D17" s="13" t="s">
        <v>171</v>
      </c>
      <c r="E17" s="54" t="s">
        <v>386</v>
      </c>
      <c r="F17" s="73" t="s">
        <v>387</v>
      </c>
    </row>
    <row r="18" spans="2:6" ht="22.35" customHeight="1">
      <c r="B18" s="152"/>
      <c r="C18" s="55" t="s">
        <v>385</v>
      </c>
      <c r="D18" s="13" t="s">
        <v>388</v>
      </c>
      <c r="E18" s="54" t="s">
        <v>389</v>
      </c>
      <c r="F18" s="73" t="s">
        <v>387</v>
      </c>
    </row>
    <row r="19" spans="2:6" ht="22.35" customHeight="1">
      <c r="B19" s="152"/>
      <c r="C19" s="55" t="s">
        <v>385</v>
      </c>
      <c r="D19" s="13" t="s">
        <v>369</v>
      </c>
      <c r="E19" s="54" t="s">
        <v>390</v>
      </c>
      <c r="F19" s="73" t="s">
        <v>387</v>
      </c>
    </row>
    <row r="20" spans="2:6" ht="22.35" customHeight="1">
      <c r="B20" s="152"/>
      <c r="C20" s="55" t="s">
        <v>366</v>
      </c>
      <c r="D20" s="13" t="s">
        <v>388</v>
      </c>
      <c r="E20" s="54" t="s">
        <v>393</v>
      </c>
      <c r="F20" s="73" t="s">
        <v>546</v>
      </c>
    </row>
    <row r="21" spans="2:6">
      <c r="B21" s="152"/>
      <c r="C21" s="55" t="s">
        <v>366</v>
      </c>
      <c r="D21" s="13" t="s">
        <v>162</v>
      </c>
      <c r="E21" s="54" t="s">
        <v>391</v>
      </c>
      <c r="F21" s="54" t="s">
        <v>303</v>
      </c>
    </row>
    <row r="22" spans="2:6">
      <c r="B22" s="152"/>
      <c r="C22" s="55" t="s">
        <v>392</v>
      </c>
      <c r="D22" s="13" t="s">
        <v>207</v>
      </c>
      <c r="E22" s="54" t="s">
        <v>367</v>
      </c>
      <c r="F22" s="54" t="s">
        <v>398</v>
      </c>
    </row>
    <row r="23" spans="2:6">
      <c r="B23" s="153"/>
      <c r="C23" s="55" t="s">
        <v>392</v>
      </c>
      <c r="D23" s="13" t="s">
        <v>217</v>
      </c>
      <c r="E23" s="54" t="s">
        <v>397</v>
      </c>
      <c r="F23" s="54" t="s">
        <v>398</v>
      </c>
    </row>
    <row r="24" spans="2:6" ht="33">
      <c r="B24" s="13">
        <v>24</v>
      </c>
      <c r="C24" s="55" t="s">
        <v>403</v>
      </c>
      <c r="D24" s="72" t="s">
        <v>186</v>
      </c>
      <c r="E24" s="40" t="s">
        <v>406</v>
      </c>
      <c r="F24" s="54" t="s">
        <v>402</v>
      </c>
    </row>
    <row r="25" spans="2:6">
      <c r="B25" s="146">
        <v>25</v>
      </c>
      <c r="C25" s="55" t="s">
        <v>429</v>
      </c>
      <c r="D25" s="72" t="s">
        <v>189</v>
      </c>
      <c r="E25" s="54" t="s">
        <v>430</v>
      </c>
      <c r="F25" s="73" t="s">
        <v>374</v>
      </c>
    </row>
    <row r="26" spans="2:6">
      <c r="B26" s="148"/>
      <c r="C26" s="55" t="s">
        <v>429</v>
      </c>
      <c r="D26" s="72" t="s">
        <v>100</v>
      </c>
      <c r="E26" s="54" t="s">
        <v>431</v>
      </c>
      <c r="F26" s="73" t="s">
        <v>374</v>
      </c>
    </row>
    <row r="27" spans="2:6">
      <c r="B27" s="147"/>
      <c r="C27" s="55" t="s">
        <v>435</v>
      </c>
      <c r="D27" s="72" t="s">
        <v>171</v>
      </c>
      <c r="E27" s="54" t="s">
        <v>436</v>
      </c>
      <c r="F27" s="73" t="s">
        <v>374</v>
      </c>
    </row>
    <row r="28" spans="2:6" ht="30.6" customHeight="1">
      <c r="B28" s="146">
        <v>26</v>
      </c>
      <c r="C28" s="55" t="s">
        <v>443</v>
      </c>
      <c r="D28" s="72" t="s">
        <v>369</v>
      </c>
      <c r="E28" s="54" t="s">
        <v>444</v>
      </c>
      <c r="F28" s="73" t="s">
        <v>374</v>
      </c>
    </row>
    <row r="29" spans="2:6" ht="33">
      <c r="B29" s="147"/>
      <c r="C29" s="55" t="s">
        <v>443</v>
      </c>
      <c r="D29" s="72" t="s">
        <v>103</v>
      </c>
      <c r="E29" s="40" t="s">
        <v>449</v>
      </c>
      <c r="F29" s="73" t="s">
        <v>374</v>
      </c>
    </row>
    <row r="30" spans="2:6">
      <c r="B30" s="146">
        <v>27</v>
      </c>
      <c r="C30" s="55" t="s">
        <v>498</v>
      </c>
      <c r="D30" s="72" t="s">
        <v>171</v>
      </c>
      <c r="E30" s="54" t="s">
        <v>499</v>
      </c>
      <c r="F30" s="73" t="s">
        <v>374</v>
      </c>
    </row>
    <row r="31" spans="2:6">
      <c r="B31" s="147"/>
      <c r="C31" s="55" t="s">
        <v>498</v>
      </c>
      <c r="D31" s="72" t="s">
        <v>195</v>
      </c>
      <c r="E31" s="54" t="s">
        <v>500</v>
      </c>
      <c r="F31" s="73" t="s">
        <v>374</v>
      </c>
    </row>
    <row r="32" spans="2:6">
      <c r="B32" s="146">
        <v>28</v>
      </c>
      <c r="C32" s="55" t="s">
        <v>516</v>
      </c>
      <c r="D32" s="72" t="s">
        <v>195</v>
      </c>
      <c r="E32" s="54" t="s">
        <v>517</v>
      </c>
      <c r="F32" s="73" t="s">
        <v>374</v>
      </c>
    </row>
    <row r="33" spans="2:6" ht="99">
      <c r="B33" s="148"/>
      <c r="C33" s="55" t="s">
        <v>497</v>
      </c>
      <c r="D33" s="13" t="s">
        <v>161</v>
      </c>
      <c r="E33" s="40" t="s">
        <v>521</v>
      </c>
      <c r="F33" s="73" t="s">
        <v>520</v>
      </c>
    </row>
    <row r="34" spans="2:6">
      <c r="B34" s="148"/>
      <c r="C34" s="55" t="s">
        <v>525</v>
      </c>
      <c r="D34" s="72" t="s">
        <v>171</v>
      </c>
      <c r="E34" s="111" t="s">
        <v>527</v>
      </c>
      <c r="F34" s="73" t="s">
        <v>374</v>
      </c>
    </row>
    <row r="35" spans="2:6">
      <c r="B35" s="148"/>
      <c r="C35" s="55" t="s">
        <v>525</v>
      </c>
      <c r="D35" s="72" t="s">
        <v>186</v>
      </c>
      <c r="E35" s="111" t="s">
        <v>526</v>
      </c>
      <c r="F35" s="73" t="s">
        <v>374</v>
      </c>
    </row>
    <row r="36" spans="2:6" ht="168.75">
      <c r="B36" s="147"/>
      <c r="C36" s="55" t="s">
        <v>525</v>
      </c>
      <c r="D36" s="72" t="s">
        <v>103</v>
      </c>
      <c r="E36" s="112" t="s">
        <v>530</v>
      </c>
      <c r="F36" s="73" t="s">
        <v>374</v>
      </c>
    </row>
    <row r="37" spans="2:6">
      <c r="B37" s="146">
        <v>29</v>
      </c>
      <c r="C37" s="55" t="s">
        <v>531</v>
      </c>
      <c r="D37" s="72" t="s">
        <v>369</v>
      </c>
      <c r="E37" s="111" t="s">
        <v>532</v>
      </c>
      <c r="F37" s="73" t="s">
        <v>374</v>
      </c>
    </row>
    <row r="38" spans="2:6" ht="206.25">
      <c r="B38" s="148"/>
      <c r="C38" s="55" t="s">
        <v>531</v>
      </c>
      <c r="D38" s="72" t="s">
        <v>2</v>
      </c>
      <c r="E38" s="112" t="s">
        <v>547</v>
      </c>
      <c r="F38" s="73" t="s">
        <v>387</v>
      </c>
    </row>
    <row r="39" spans="2:6">
      <c r="B39" s="148"/>
      <c r="C39" s="55" t="s">
        <v>543</v>
      </c>
      <c r="D39" s="72" t="s">
        <v>208</v>
      </c>
      <c r="E39" s="111" t="s">
        <v>541</v>
      </c>
      <c r="F39" s="111" t="s">
        <v>542</v>
      </c>
    </row>
    <row r="40" spans="2:6">
      <c r="B40" s="148"/>
      <c r="C40" s="55" t="s">
        <v>559</v>
      </c>
      <c r="D40" s="72" t="s">
        <v>182</v>
      </c>
      <c r="E40" s="111" t="s">
        <v>558</v>
      </c>
      <c r="F40" s="111" t="s">
        <v>546</v>
      </c>
    </row>
    <row r="41" spans="2:6" ht="37.5">
      <c r="B41" s="147"/>
      <c r="C41" s="55" t="s">
        <v>559</v>
      </c>
      <c r="D41" s="72" t="s">
        <v>171</v>
      </c>
      <c r="E41" s="112" t="s">
        <v>560</v>
      </c>
      <c r="F41" s="111" t="s">
        <v>546</v>
      </c>
    </row>
    <row r="42" spans="2:6">
      <c r="B42" s="146">
        <v>30</v>
      </c>
      <c r="C42" s="55" t="s">
        <v>561</v>
      </c>
      <c r="D42" s="72" t="s">
        <v>182</v>
      </c>
      <c r="E42" s="72" t="s">
        <v>562</v>
      </c>
      <c r="F42" s="111" t="s">
        <v>374</v>
      </c>
    </row>
    <row r="43" spans="2:6" ht="168.75">
      <c r="B43" s="148"/>
      <c r="C43" s="55" t="s">
        <v>578</v>
      </c>
      <c r="D43" s="121" t="s">
        <v>584</v>
      </c>
      <c r="E43" s="112" t="s">
        <v>583</v>
      </c>
      <c r="F43" s="111" t="s">
        <v>402</v>
      </c>
    </row>
    <row r="44" spans="2:6" ht="37.5">
      <c r="B44" s="148"/>
      <c r="C44" s="55" t="s">
        <v>579</v>
      </c>
      <c r="D44" s="72" t="s">
        <v>180</v>
      </c>
      <c r="E44" s="121" t="s">
        <v>588</v>
      </c>
      <c r="F44" s="111" t="s">
        <v>371</v>
      </c>
    </row>
    <row r="45" spans="2:6" ht="37.5">
      <c r="B45" s="148"/>
      <c r="C45" s="55" t="s">
        <v>580</v>
      </c>
      <c r="D45" s="72" t="s">
        <v>228</v>
      </c>
      <c r="E45" s="121" t="s">
        <v>624</v>
      </c>
      <c r="F45" s="111" t="s">
        <v>374</v>
      </c>
    </row>
    <row r="46" spans="2:6">
      <c r="B46" s="147"/>
      <c r="C46" s="55" t="s">
        <v>580</v>
      </c>
      <c r="D46" s="72" t="s">
        <v>589</v>
      </c>
      <c r="E46" s="111" t="s">
        <v>590</v>
      </c>
      <c r="F46" s="111" t="s">
        <v>374</v>
      </c>
    </row>
    <row r="47" spans="2:6">
      <c r="B47" s="146">
        <v>31</v>
      </c>
      <c r="C47" s="55" t="s">
        <v>625</v>
      </c>
      <c r="D47" s="72" t="s">
        <v>627</v>
      </c>
      <c r="E47" s="111" t="s">
        <v>628</v>
      </c>
      <c r="F47" s="111" t="s">
        <v>329</v>
      </c>
    </row>
    <row r="48" spans="2:6">
      <c r="B48" s="148"/>
      <c r="C48" s="55" t="s">
        <v>625</v>
      </c>
      <c r="D48" s="72" t="s">
        <v>629</v>
      </c>
      <c r="E48" s="111" t="s">
        <v>671</v>
      </c>
      <c r="F48" s="111" t="s">
        <v>329</v>
      </c>
    </row>
    <row r="49" spans="2:6">
      <c r="B49" s="148"/>
      <c r="C49" s="55" t="s">
        <v>625</v>
      </c>
      <c r="D49" s="72" t="s">
        <v>630</v>
      </c>
      <c r="E49" s="111" t="s">
        <v>671</v>
      </c>
      <c r="F49" s="111" t="s">
        <v>303</v>
      </c>
    </row>
    <row r="50" spans="2:6" ht="37.5">
      <c r="B50" s="147"/>
      <c r="C50" s="55" t="s">
        <v>626</v>
      </c>
      <c r="D50" s="72" t="s">
        <v>189</v>
      </c>
      <c r="E50" s="112" t="s">
        <v>643</v>
      </c>
      <c r="F50" s="111" t="s">
        <v>374</v>
      </c>
    </row>
    <row r="51" spans="2:6">
      <c r="B51" s="146">
        <v>32</v>
      </c>
      <c r="C51" s="55" t="s">
        <v>640</v>
      </c>
      <c r="D51" s="72" t="s">
        <v>62</v>
      </c>
      <c r="E51" s="72" t="s">
        <v>644</v>
      </c>
      <c r="F51" s="111" t="s">
        <v>647</v>
      </c>
    </row>
    <row r="52" spans="2:6">
      <c r="B52" s="148"/>
      <c r="C52" s="55" t="s">
        <v>641</v>
      </c>
      <c r="D52" s="72" t="s">
        <v>649</v>
      </c>
      <c r="E52" s="111" t="s">
        <v>650</v>
      </c>
      <c r="F52" s="111" t="s">
        <v>651</v>
      </c>
    </row>
    <row r="53" spans="2:6">
      <c r="B53" s="148"/>
      <c r="C53" s="55" t="s">
        <v>642</v>
      </c>
      <c r="D53" s="72" t="s">
        <v>648</v>
      </c>
      <c r="E53" s="111" t="s">
        <v>652</v>
      </c>
      <c r="F53" s="111" t="s">
        <v>651</v>
      </c>
    </row>
    <row r="54" spans="2:6">
      <c r="B54" s="147"/>
      <c r="C54" s="55" t="s">
        <v>653</v>
      </c>
      <c r="D54" s="72" t="s">
        <v>186</v>
      </c>
      <c r="E54" s="111" t="s">
        <v>654</v>
      </c>
      <c r="F54" s="111" t="s">
        <v>647</v>
      </c>
    </row>
    <row r="55" spans="2:6">
      <c r="B55" s="146">
        <v>33</v>
      </c>
      <c r="C55" s="55" t="s">
        <v>655</v>
      </c>
      <c r="D55" s="72" t="s">
        <v>144</v>
      </c>
      <c r="E55" s="111" t="s">
        <v>656</v>
      </c>
      <c r="F55" s="111" t="s">
        <v>673</v>
      </c>
    </row>
    <row r="56" spans="2:6">
      <c r="B56" s="148"/>
      <c r="C56" s="49" t="s">
        <v>665</v>
      </c>
      <c r="D56" s="72" t="s">
        <v>162</v>
      </c>
      <c r="E56" s="111" t="s">
        <v>666</v>
      </c>
      <c r="F56" s="111" t="s">
        <v>667</v>
      </c>
    </row>
    <row r="57" spans="2:6">
      <c r="B57" s="148"/>
      <c r="C57" s="55" t="s">
        <v>668</v>
      </c>
      <c r="D57" s="72" t="s">
        <v>670</v>
      </c>
      <c r="E57" s="111" t="s">
        <v>671</v>
      </c>
      <c r="F57" s="111" t="s">
        <v>673</v>
      </c>
    </row>
    <row r="58" spans="2:6">
      <c r="B58" s="148"/>
      <c r="C58" s="55" t="s">
        <v>669</v>
      </c>
      <c r="D58" s="72" t="s">
        <v>672</v>
      </c>
      <c r="E58" s="111" t="s">
        <v>671</v>
      </c>
      <c r="F58" s="111" t="s">
        <v>673</v>
      </c>
    </row>
    <row r="59" spans="2:6">
      <c r="B59" s="148"/>
      <c r="C59" s="55" t="s">
        <v>669</v>
      </c>
      <c r="D59" s="72" t="s">
        <v>674</v>
      </c>
      <c r="E59" s="111" t="s">
        <v>675</v>
      </c>
      <c r="F59" s="111" t="s">
        <v>673</v>
      </c>
    </row>
    <row r="60" spans="2:6">
      <c r="B60" s="147"/>
      <c r="C60" s="13" t="s">
        <v>678</v>
      </c>
      <c r="D60" s="72" t="s">
        <v>679</v>
      </c>
      <c r="E60" s="111" t="s">
        <v>680</v>
      </c>
      <c r="F60" s="111" t="s">
        <v>651</v>
      </c>
    </row>
    <row r="61" spans="2:6">
      <c r="B61" s="146">
        <v>34</v>
      </c>
      <c r="C61" s="49">
        <v>46252</v>
      </c>
      <c r="D61" s="72" t="s">
        <v>679</v>
      </c>
      <c r="E61" s="111" t="s">
        <v>680</v>
      </c>
      <c r="F61" s="111" t="s">
        <v>707</v>
      </c>
    </row>
    <row r="62" spans="2:6">
      <c r="B62" s="148"/>
      <c r="C62" s="49">
        <v>46254</v>
      </c>
      <c r="D62" s="72" t="s">
        <v>704</v>
      </c>
      <c r="E62" s="111" t="s">
        <v>705</v>
      </c>
      <c r="F62" s="111" t="s">
        <v>706</v>
      </c>
    </row>
    <row r="63" spans="2:6" ht="37.5">
      <c r="B63" s="147"/>
      <c r="C63" s="49">
        <v>46255</v>
      </c>
      <c r="D63" s="72" t="s">
        <v>708</v>
      </c>
      <c r="E63" s="111" t="s">
        <v>709</v>
      </c>
      <c r="F63" s="112" t="s">
        <v>743</v>
      </c>
    </row>
    <row r="64" spans="2:6">
      <c r="B64" s="146">
        <v>35</v>
      </c>
      <c r="C64" s="49">
        <v>46258</v>
      </c>
      <c r="D64" s="72" t="s">
        <v>144</v>
      </c>
      <c r="E64" s="111" t="s">
        <v>744</v>
      </c>
      <c r="F64" s="111" t="s">
        <v>647</v>
      </c>
    </row>
    <row r="65" spans="2:6">
      <c r="B65" s="147"/>
      <c r="C65" s="49">
        <v>46258</v>
      </c>
      <c r="D65" s="72" t="s">
        <v>627</v>
      </c>
      <c r="E65" s="111" t="s">
        <v>744</v>
      </c>
      <c r="F65" s="111" t="s">
        <v>647</v>
      </c>
    </row>
    <row r="66" spans="2:6">
      <c r="B66" s="72"/>
      <c r="C66" s="72"/>
      <c r="D66" s="72"/>
      <c r="E66" s="72"/>
      <c r="F66" s="72"/>
    </row>
    <row r="67" spans="2:6">
      <c r="B67" s="72"/>
      <c r="C67" s="72"/>
      <c r="D67" s="72"/>
      <c r="E67" s="72"/>
      <c r="F67" s="72"/>
    </row>
    <row r="68" spans="2:6">
      <c r="B68" s="72"/>
      <c r="C68" s="72"/>
      <c r="D68" s="72"/>
      <c r="E68" s="72"/>
      <c r="F68" s="72"/>
    </row>
    <row r="69" spans="2:6">
      <c r="B69" s="72"/>
      <c r="C69" s="72"/>
      <c r="D69" s="72"/>
      <c r="E69" s="72"/>
      <c r="F69" s="72"/>
    </row>
  </sheetData>
  <mergeCells count="16">
    <mergeCell ref="B42:B46"/>
    <mergeCell ref="B32:B36"/>
    <mergeCell ref="B30:B31"/>
    <mergeCell ref="B28:B29"/>
    <mergeCell ref="B25:B27"/>
    <mergeCell ref="B37:B41"/>
    <mergeCell ref="B4:B5"/>
    <mergeCell ref="B7:B9"/>
    <mergeCell ref="B10:B12"/>
    <mergeCell ref="B13:B16"/>
    <mergeCell ref="B17:B23"/>
    <mergeCell ref="B64:B65"/>
    <mergeCell ref="B61:B63"/>
    <mergeCell ref="B55:B60"/>
    <mergeCell ref="B51:B54"/>
    <mergeCell ref="B47:B50"/>
  </mergeCells>
  <phoneticPr fontId="1" type="noConversion"/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5BE1-7C2F-47D5-8274-B5D69E4FAEBA}">
  <dimension ref="A1:F19"/>
  <sheetViews>
    <sheetView workbookViewId="0">
      <selection activeCell="D23" sqref="D23"/>
    </sheetView>
  </sheetViews>
  <sheetFormatPr defaultRowHeight="16.5"/>
  <cols>
    <col min="2" max="2" width="20" customWidth="1"/>
    <col min="3" max="3" width="11.5" customWidth="1"/>
    <col min="4" max="4" width="167.875" customWidth="1"/>
  </cols>
  <sheetData>
    <row r="1" spans="1:6">
      <c r="A1" s="76" t="s">
        <v>297</v>
      </c>
      <c r="B1" s="76" t="s">
        <v>166</v>
      </c>
      <c r="C1" s="76" t="s">
        <v>407</v>
      </c>
      <c r="D1" s="77" t="s">
        <v>408</v>
      </c>
      <c r="E1" s="78" t="s">
        <v>415</v>
      </c>
      <c r="F1" s="79" t="s">
        <v>416</v>
      </c>
    </row>
    <row r="2" spans="1:6" ht="57" customHeight="1">
      <c r="A2" s="74" t="s">
        <v>100</v>
      </c>
      <c r="B2" s="74" t="s">
        <v>409</v>
      </c>
      <c r="C2" s="74" t="s">
        <v>410</v>
      </c>
      <c r="D2" s="102" t="s">
        <v>592</v>
      </c>
      <c r="E2" s="97">
        <v>46203</v>
      </c>
      <c r="F2" s="92"/>
    </row>
    <row r="3" spans="1:6" ht="57" customHeight="1">
      <c r="A3" s="74" t="s">
        <v>100</v>
      </c>
      <c r="B3" s="74" t="s">
        <v>411</v>
      </c>
      <c r="C3" s="74" t="s">
        <v>412</v>
      </c>
      <c r="D3" s="103" t="s">
        <v>593</v>
      </c>
      <c r="E3" s="97">
        <v>46203</v>
      </c>
      <c r="F3" s="92"/>
    </row>
    <row r="4" spans="1:6" ht="66" customHeight="1">
      <c r="A4" s="75" t="s">
        <v>414</v>
      </c>
      <c r="B4" s="74" t="s">
        <v>413</v>
      </c>
      <c r="C4" s="74" t="s">
        <v>512</v>
      </c>
      <c r="D4" s="103" t="s">
        <v>533</v>
      </c>
      <c r="E4" s="97">
        <v>46185</v>
      </c>
      <c r="F4" s="92"/>
    </row>
    <row r="5" spans="1:6" ht="35.450000000000003" customHeight="1">
      <c r="A5" s="81" t="s">
        <v>100</v>
      </c>
      <c r="B5" s="82" t="s">
        <v>421</v>
      </c>
      <c r="C5" s="83" t="s">
        <v>420</v>
      </c>
      <c r="D5" s="104" t="s">
        <v>433</v>
      </c>
      <c r="E5" s="98">
        <v>46188</v>
      </c>
      <c r="F5" s="98">
        <v>46189</v>
      </c>
    </row>
    <row r="6" spans="1:6" ht="47.45" customHeight="1">
      <c r="A6" s="91" t="s">
        <v>99</v>
      </c>
      <c r="B6" s="83" t="s">
        <v>381</v>
      </c>
      <c r="C6" s="83" t="s">
        <v>427</v>
      </c>
      <c r="D6" s="105" t="s">
        <v>519</v>
      </c>
      <c r="E6" s="99">
        <v>46188</v>
      </c>
      <c r="F6" s="99">
        <v>46204</v>
      </c>
    </row>
    <row r="7" spans="1:6" ht="33" customHeight="1">
      <c r="A7" s="74" t="s">
        <v>14</v>
      </c>
      <c r="B7" s="74" t="s">
        <v>484</v>
      </c>
      <c r="C7" s="74" t="s">
        <v>485</v>
      </c>
      <c r="D7" s="103" t="s">
        <v>490</v>
      </c>
      <c r="E7" s="100">
        <v>46190</v>
      </c>
      <c r="F7" s="101"/>
    </row>
    <row r="8" spans="1:6" ht="30" customHeight="1">
      <c r="A8" s="74" t="s">
        <v>15</v>
      </c>
      <c r="B8" s="74" t="s">
        <v>476</v>
      </c>
      <c r="C8" s="74" t="s">
        <v>475</v>
      </c>
      <c r="D8" s="103" t="s">
        <v>518</v>
      </c>
      <c r="E8" s="100">
        <v>46196</v>
      </c>
      <c r="F8" s="100"/>
    </row>
    <row r="9" spans="1:6" ht="30.75" customHeight="1">
      <c r="A9" s="83" t="s">
        <v>2</v>
      </c>
      <c r="B9" s="83" t="s">
        <v>487</v>
      </c>
      <c r="C9" s="83" t="s">
        <v>486</v>
      </c>
      <c r="D9" s="105" t="s">
        <v>488</v>
      </c>
      <c r="E9" s="99">
        <v>46196</v>
      </c>
      <c r="F9" s="99">
        <v>46217</v>
      </c>
    </row>
    <row r="10" spans="1:6" ht="69.75" customHeight="1">
      <c r="A10" s="83" t="s">
        <v>45</v>
      </c>
      <c r="B10" s="83" t="s">
        <v>468</v>
      </c>
      <c r="C10" s="83" t="s">
        <v>466</v>
      </c>
      <c r="D10" s="105" t="s">
        <v>545</v>
      </c>
      <c r="E10" s="99">
        <v>46202</v>
      </c>
      <c r="F10" s="99">
        <v>46219</v>
      </c>
    </row>
    <row r="11" spans="1:6">
      <c r="A11" s="83" t="s">
        <v>88</v>
      </c>
      <c r="B11" s="83" t="s">
        <v>536</v>
      </c>
      <c r="C11" s="83" t="s">
        <v>535</v>
      </c>
      <c r="D11" s="125" t="s">
        <v>631</v>
      </c>
      <c r="E11" s="99">
        <v>46203</v>
      </c>
      <c r="F11" s="83"/>
    </row>
    <row r="12" spans="1:6">
      <c r="A12" s="75" t="s">
        <v>208</v>
      </c>
      <c r="B12" s="74" t="s">
        <v>555</v>
      </c>
      <c r="C12" s="74" t="s">
        <v>556</v>
      </c>
      <c r="D12" s="106" t="s">
        <v>557</v>
      </c>
      <c r="E12" s="100">
        <v>46218</v>
      </c>
      <c r="F12" s="74"/>
    </row>
    <row r="13" spans="1:6">
      <c r="A13" s="83" t="s">
        <v>1</v>
      </c>
      <c r="B13" s="83" t="s">
        <v>566</v>
      </c>
      <c r="C13" s="83" t="s">
        <v>564</v>
      </c>
      <c r="D13" s="125" t="s">
        <v>587</v>
      </c>
      <c r="E13" s="99">
        <v>46212</v>
      </c>
      <c r="F13" s="99">
        <v>46225</v>
      </c>
    </row>
    <row r="14" spans="1:6">
      <c r="A14" s="75" t="s">
        <v>569</v>
      </c>
      <c r="B14" s="74" t="s">
        <v>571</v>
      </c>
      <c r="C14" s="74" t="s">
        <v>570</v>
      </c>
      <c r="D14" s="106" t="s">
        <v>572</v>
      </c>
      <c r="E14" s="100">
        <v>46212</v>
      </c>
      <c r="F14" s="74"/>
    </row>
    <row r="15" spans="1:6">
      <c r="A15" s="75" t="s">
        <v>10</v>
      </c>
      <c r="B15" s="74" t="s">
        <v>576</v>
      </c>
      <c r="C15" s="74" t="s">
        <v>574</v>
      </c>
      <c r="D15" s="106" t="s">
        <v>582</v>
      </c>
      <c r="E15" s="100">
        <v>46212</v>
      </c>
      <c r="F15" s="74"/>
    </row>
    <row r="16" spans="1:6">
      <c r="A16" s="75" t="s">
        <v>186</v>
      </c>
      <c r="B16" s="74" t="s">
        <v>454</v>
      </c>
      <c r="C16" s="74" t="s">
        <v>676</v>
      </c>
      <c r="D16" s="106" t="s">
        <v>677</v>
      </c>
      <c r="E16" s="100">
        <v>46246</v>
      </c>
      <c r="F16" s="74"/>
    </row>
    <row r="17" spans="1:6">
      <c r="A17" s="93"/>
      <c r="B17" s="93"/>
      <c r="C17" s="93"/>
      <c r="D17" s="107"/>
      <c r="E17" s="93"/>
      <c r="F17" s="93"/>
    </row>
    <row r="18" spans="1:6">
      <c r="A18" s="93"/>
      <c r="B18" s="93"/>
      <c r="C18" s="93"/>
      <c r="D18" s="107"/>
      <c r="E18" s="93"/>
      <c r="F18" s="93"/>
    </row>
    <row r="19" spans="1:6">
      <c r="A19" s="93"/>
      <c r="B19" s="93"/>
      <c r="C19" s="93"/>
      <c r="D19" s="107"/>
      <c r="E19" s="93"/>
      <c r="F19" s="93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D251-C18F-4BE5-B8D3-8A4789D1A87F}">
  <sheetPr>
    <tabColor rgb="FFFF0000"/>
    <pageSetUpPr fitToPage="1"/>
  </sheetPr>
  <dimension ref="A1:I20"/>
  <sheetViews>
    <sheetView zoomScaleNormal="100" workbookViewId="0">
      <pane xSplit="4" ySplit="3" topLeftCell="E7" activePane="bottomRight" state="frozen"/>
      <selection pane="topRight" activeCell="E1" sqref="E1"/>
      <selection pane="bottomLeft" activeCell="A4" sqref="A4"/>
      <selection pane="bottomRight" activeCell="D9" sqref="D9"/>
    </sheetView>
  </sheetViews>
  <sheetFormatPr defaultColWidth="9" defaultRowHeight="16.5"/>
  <cols>
    <col min="1" max="1" width="5.875" style="36" customWidth="1"/>
    <col min="2" max="2" width="10.75" style="36" bestFit="1" customWidth="1"/>
    <col min="3" max="3" width="11.75" style="36" bestFit="1" customWidth="1"/>
    <col min="4" max="4" width="24.375" style="36" bestFit="1" customWidth="1"/>
    <col min="5" max="5" width="6.5" style="36" customWidth="1"/>
    <col min="6" max="6" width="43.5" style="36" bestFit="1" customWidth="1"/>
    <col min="7" max="7" width="53.5" style="36" customWidth="1"/>
    <col min="8" max="8" width="8.625" style="36" customWidth="1"/>
    <col min="9" max="9" width="12.375" style="36" bestFit="1" customWidth="1"/>
    <col min="10" max="16384" width="9" style="30"/>
  </cols>
  <sheetData>
    <row r="1" spans="1:9" ht="21.6" customHeight="1">
      <c r="A1" s="143" t="s">
        <v>396</v>
      </c>
      <c r="B1" s="143"/>
      <c r="C1" s="143"/>
      <c r="D1" s="143"/>
      <c r="E1" s="143"/>
      <c r="F1" s="143"/>
      <c r="G1" s="143"/>
      <c r="H1" s="143"/>
      <c r="I1" s="143"/>
    </row>
    <row r="2" spans="1:9">
      <c r="C2" s="36" t="s">
        <v>395</v>
      </c>
      <c r="I2" s="46">
        <v>46177</v>
      </c>
    </row>
    <row r="3" spans="1:9" ht="33" customHeight="1">
      <c r="A3" s="51" t="s">
        <v>252</v>
      </c>
      <c r="B3" s="51" t="s">
        <v>157</v>
      </c>
      <c r="C3" s="51" t="s">
        <v>165</v>
      </c>
      <c r="D3" s="51" t="s">
        <v>166</v>
      </c>
      <c r="E3" s="51" t="s">
        <v>315</v>
      </c>
      <c r="F3" s="51" t="s">
        <v>461</v>
      </c>
      <c r="G3" s="51" t="s">
        <v>253</v>
      </c>
      <c r="H3" s="51" t="s">
        <v>317</v>
      </c>
      <c r="I3" s="51" t="s">
        <v>251</v>
      </c>
    </row>
    <row r="4" spans="1:9" ht="55.9" customHeight="1">
      <c r="A4" s="44">
        <v>20</v>
      </c>
      <c r="B4" s="44" t="s">
        <v>100</v>
      </c>
      <c r="C4" s="44" t="s">
        <v>324</v>
      </c>
      <c r="D4" s="44" t="s">
        <v>262</v>
      </c>
      <c r="E4" s="44"/>
      <c r="F4" s="84" t="s">
        <v>463</v>
      </c>
      <c r="G4" s="84" t="s">
        <v>346</v>
      </c>
      <c r="H4" s="44" t="s">
        <v>337</v>
      </c>
      <c r="I4" s="50">
        <v>46149</v>
      </c>
    </row>
    <row r="5" spans="1:9" ht="67.349999999999994" customHeight="1">
      <c r="A5" s="44">
        <v>37</v>
      </c>
      <c r="B5" s="44" t="s">
        <v>100</v>
      </c>
      <c r="C5" s="44" t="s">
        <v>412</v>
      </c>
      <c r="D5" s="44" t="s">
        <v>411</v>
      </c>
      <c r="E5" s="44" t="s">
        <v>337</v>
      </c>
      <c r="F5" s="84" t="s">
        <v>462</v>
      </c>
      <c r="G5" s="84" t="s">
        <v>425</v>
      </c>
      <c r="H5" s="44"/>
      <c r="I5" s="50">
        <v>46181</v>
      </c>
    </row>
    <row r="6" spans="1:9" ht="69" customHeight="1">
      <c r="A6" s="44">
        <v>38</v>
      </c>
      <c r="B6" s="44" t="s">
        <v>100</v>
      </c>
      <c r="C6" s="44" t="s">
        <v>410</v>
      </c>
      <c r="D6" s="44" t="s">
        <v>409</v>
      </c>
      <c r="E6" s="44" t="s">
        <v>337</v>
      </c>
      <c r="F6" s="84" t="s">
        <v>423</v>
      </c>
      <c r="G6" s="84" t="s">
        <v>424</v>
      </c>
      <c r="H6" s="57"/>
      <c r="I6" s="50">
        <v>46181</v>
      </c>
    </row>
    <row r="7" spans="1:9" ht="60" customHeight="1">
      <c r="A7" s="45">
        <v>24</v>
      </c>
      <c r="B7" s="45" t="s">
        <v>217</v>
      </c>
      <c r="C7" s="45" t="s">
        <v>347</v>
      </c>
      <c r="D7" s="45" t="s">
        <v>348</v>
      </c>
      <c r="E7" s="45" t="s">
        <v>337</v>
      </c>
      <c r="F7" s="85" t="s">
        <v>349</v>
      </c>
      <c r="G7" s="85" t="s">
        <v>350</v>
      </c>
      <c r="H7" s="45" t="s">
        <v>337</v>
      </c>
      <c r="I7" s="87">
        <v>46154</v>
      </c>
    </row>
    <row r="8" spans="1:9" ht="87.6" customHeight="1">
      <c r="A8" s="45">
        <v>32</v>
      </c>
      <c r="B8" s="45" t="s">
        <v>217</v>
      </c>
      <c r="C8" s="45" t="s">
        <v>347</v>
      </c>
      <c r="D8" s="45" t="s">
        <v>348</v>
      </c>
      <c r="E8" s="45" t="s">
        <v>337</v>
      </c>
      <c r="F8" s="85" t="s">
        <v>404</v>
      </c>
      <c r="G8" s="85" t="s">
        <v>405</v>
      </c>
      <c r="H8" s="45" t="s">
        <v>337</v>
      </c>
      <c r="I8" s="52">
        <v>46169</v>
      </c>
    </row>
    <row r="9" spans="1:9" s="90" customFormat="1" ht="60" customHeight="1">
      <c r="A9" s="45">
        <v>4</v>
      </c>
      <c r="B9" s="45" t="s">
        <v>101</v>
      </c>
      <c r="C9" s="59" t="s">
        <v>255</v>
      </c>
      <c r="D9" s="45" t="s">
        <v>256</v>
      </c>
      <c r="E9" s="45" t="s">
        <v>452</v>
      </c>
      <c r="F9" s="85" t="s">
        <v>464</v>
      </c>
      <c r="G9" s="86" t="s">
        <v>451</v>
      </c>
      <c r="H9" s="45"/>
      <c r="I9" s="52">
        <v>46098</v>
      </c>
    </row>
    <row r="10" spans="1:9" ht="39.6" customHeight="1">
      <c r="A10" s="13">
        <v>18</v>
      </c>
      <c r="B10" s="13" t="s">
        <v>101</v>
      </c>
      <c r="C10" s="13" t="s">
        <v>255</v>
      </c>
      <c r="D10" s="13" t="s">
        <v>256</v>
      </c>
      <c r="E10" s="13"/>
      <c r="F10" s="88" t="s">
        <v>314</v>
      </c>
      <c r="G10" s="88" t="s">
        <v>257</v>
      </c>
      <c r="H10" s="58"/>
      <c r="I10" s="48">
        <v>46140</v>
      </c>
    </row>
    <row r="11" spans="1:9" ht="41.45" customHeight="1">
      <c r="A11" s="13">
        <v>28</v>
      </c>
      <c r="B11" s="89" t="s">
        <v>101</v>
      </c>
      <c r="C11" s="13" t="s">
        <v>360</v>
      </c>
      <c r="D11" s="13" t="s">
        <v>256</v>
      </c>
      <c r="E11" s="13"/>
      <c r="F11" s="88" t="s">
        <v>365</v>
      </c>
      <c r="G11" s="88" t="s">
        <v>364</v>
      </c>
      <c r="H11" s="13" t="s">
        <v>337</v>
      </c>
      <c r="I11" s="49">
        <v>46163</v>
      </c>
    </row>
    <row r="12" spans="1:9" ht="40.9" customHeight="1">
      <c r="A12" s="13">
        <v>41</v>
      </c>
      <c r="B12" s="13" t="s">
        <v>101</v>
      </c>
      <c r="C12" s="13" t="s">
        <v>360</v>
      </c>
      <c r="D12" s="13" t="s">
        <v>440</v>
      </c>
      <c r="E12" s="13"/>
      <c r="F12" s="88" t="s">
        <v>441</v>
      </c>
      <c r="G12" s="88" t="s">
        <v>447</v>
      </c>
      <c r="H12" s="40"/>
      <c r="I12" s="49">
        <v>46190</v>
      </c>
    </row>
    <row r="13" spans="1:9" ht="72" customHeight="1">
      <c r="A13" s="13">
        <v>10</v>
      </c>
      <c r="B13" s="13" t="s">
        <v>162</v>
      </c>
      <c r="C13" s="13" t="s">
        <v>283</v>
      </c>
      <c r="D13" s="13" t="s">
        <v>284</v>
      </c>
      <c r="E13" s="13" t="s">
        <v>316</v>
      </c>
      <c r="F13" s="88" t="s">
        <v>285</v>
      </c>
      <c r="G13" s="88" t="s">
        <v>286</v>
      </c>
      <c r="H13" s="58" t="s">
        <v>316</v>
      </c>
      <c r="I13" s="48">
        <v>46133</v>
      </c>
    </row>
    <row r="14" spans="1:9" ht="55.15" customHeight="1">
      <c r="A14" s="45">
        <v>16</v>
      </c>
      <c r="B14" s="45" t="s">
        <v>162</v>
      </c>
      <c r="C14" s="45" t="s">
        <v>268</v>
      </c>
      <c r="D14" s="45" t="s">
        <v>267</v>
      </c>
      <c r="E14" s="45"/>
      <c r="F14" s="85" t="s">
        <v>269</v>
      </c>
      <c r="G14" s="85" t="s">
        <v>459</v>
      </c>
      <c r="H14" s="59"/>
      <c r="I14" s="52">
        <v>46139</v>
      </c>
    </row>
    <row r="15" spans="1:9" ht="60.6" customHeight="1">
      <c r="A15" s="45">
        <v>3</v>
      </c>
      <c r="B15" s="45" t="s">
        <v>158</v>
      </c>
      <c r="C15" s="59" t="s">
        <v>167</v>
      </c>
      <c r="D15" s="45" t="s">
        <v>102</v>
      </c>
      <c r="E15" s="45" t="s">
        <v>452</v>
      </c>
      <c r="F15" s="85" t="s">
        <v>453</v>
      </c>
      <c r="G15" s="86" t="s">
        <v>451</v>
      </c>
      <c r="H15" s="45"/>
      <c r="I15" s="52">
        <v>46094</v>
      </c>
    </row>
    <row r="16" spans="1:9" ht="89.1" customHeight="1">
      <c r="A16" s="45">
        <v>7</v>
      </c>
      <c r="B16" s="45" t="s">
        <v>158</v>
      </c>
      <c r="C16" s="45" t="s">
        <v>167</v>
      </c>
      <c r="D16" s="45" t="s">
        <v>102</v>
      </c>
      <c r="E16" s="45"/>
      <c r="F16" s="85" t="s">
        <v>291</v>
      </c>
      <c r="G16" s="85" t="s">
        <v>292</v>
      </c>
      <c r="H16" s="59" t="s">
        <v>316</v>
      </c>
      <c r="I16" s="87">
        <v>46126</v>
      </c>
    </row>
    <row r="17" spans="1:9" ht="40.35" customHeight="1">
      <c r="A17" s="13">
        <v>8</v>
      </c>
      <c r="B17" s="13" t="s">
        <v>158</v>
      </c>
      <c r="C17" s="13" t="s">
        <v>168</v>
      </c>
      <c r="D17" s="13" t="s">
        <v>169</v>
      </c>
      <c r="E17" s="13"/>
      <c r="F17" s="88" t="s">
        <v>273</v>
      </c>
      <c r="G17" s="88" t="s">
        <v>274</v>
      </c>
      <c r="H17" s="58" t="s">
        <v>316</v>
      </c>
      <c r="I17" s="49">
        <v>46132</v>
      </c>
    </row>
    <row r="18" spans="1:9" ht="100.9" customHeight="1">
      <c r="A18" s="13">
        <v>9</v>
      </c>
      <c r="B18" s="13" t="s">
        <v>158</v>
      </c>
      <c r="C18" s="13" t="s">
        <v>244</v>
      </c>
      <c r="D18" s="13" t="s">
        <v>263</v>
      </c>
      <c r="E18" s="13"/>
      <c r="F18" s="88" t="s">
        <v>289</v>
      </c>
      <c r="G18" s="88" t="s">
        <v>460</v>
      </c>
      <c r="H18" s="58"/>
      <c r="I18" s="49">
        <v>46132</v>
      </c>
    </row>
    <row r="19" spans="1:9" ht="57.6" customHeight="1">
      <c r="A19" s="13">
        <v>21</v>
      </c>
      <c r="B19" s="13" t="s">
        <v>158</v>
      </c>
      <c r="C19" s="13" t="s">
        <v>167</v>
      </c>
      <c r="D19" s="13" t="s">
        <v>102</v>
      </c>
      <c r="E19" s="13" t="s">
        <v>337</v>
      </c>
      <c r="F19" s="88" t="s">
        <v>338</v>
      </c>
      <c r="G19" s="88" t="s">
        <v>339</v>
      </c>
      <c r="H19" s="13" t="s">
        <v>337</v>
      </c>
      <c r="I19" s="48">
        <v>46150</v>
      </c>
    </row>
    <row r="20" spans="1:9" ht="45" customHeight="1">
      <c r="A20" s="13">
        <v>34</v>
      </c>
      <c r="B20" s="13" t="s">
        <v>158</v>
      </c>
      <c r="C20" s="13" t="s">
        <v>167</v>
      </c>
      <c r="D20" s="13" t="s">
        <v>102</v>
      </c>
      <c r="E20" s="13"/>
      <c r="F20" s="88" t="s">
        <v>400</v>
      </c>
      <c r="G20" s="88" t="s">
        <v>401</v>
      </c>
      <c r="H20" s="13" t="s">
        <v>337</v>
      </c>
      <c r="I20" s="49">
        <v>46175</v>
      </c>
    </row>
  </sheetData>
  <autoFilter ref="A3:I3" xr:uid="{C7435D52-8E4F-4F7D-AB99-87F3CE591158}">
    <sortState xmlns:xlrd2="http://schemas.microsoft.com/office/spreadsheetml/2017/richdata2" ref="A4:I45">
      <sortCondition ref="B3"/>
    </sortState>
  </autoFilter>
  <mergeCells count="1">
    <mergeCell ref="A1:I1"/>
  </mergeCells>
  <phoneticPr fontId="1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81" fitToHeight="2" orientation="landscape" r:id="rId1"/>
  <headerFooter>
    <oddHeader>&amp;C&amp;"微軟正黑體,標準"&amp;18 &amp;R&amp;"微軟正黑體,標準"&amp;P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5</vt:i4>
      </vt:variant>
    </vt:vector>
  </HeadingPairs>
  <TitlesOfParts>
    <vt:vector size="15" baseType="lpstr">
      <vt:lpstr>工作表4</vt:lpstr>
      <vt:lpstr>2025評核  (01-11月)</vt:lpstr>
      <vt:lpstr>2024評核 </vt:lpstr>
      <vt:lpstr>2023評核 (2)</vt:lpstr>
      <vt:lpstr>工作表1</vt:lpstr>
      <vt:lpstr>結案</vt:lpstr>
      <vt:lpstr>115年度</vt:lpstr>
      <vt:lpstr>訪廠 輔導</vt:lpstr>
      <vt:lpstr>待辦事項</vt:lpstr>
      <vt:lpstr>115年度 (2)</vt:lpstr>
      <vt:lpstr>'115年度'!Print_Titles</vt:lpstr>
      <vt:lpstr>'115年度 (2)'!Print_Titles</vt:lpstr>
      <vt:lpstr>'2023評核 (2)'!Print_Titles</vt:lpstr>
      <vt:lpstr>'2024評核 '!Print_Titles</vt:lpstr>
      <vt:lpstr>'2025評核  (01-11月)'!Print_Titles</vt:lpstr>
    </vt:vector>
  </TitlesOfParts>
  <Company>C.M.T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>LP06</cp:lastModifiedBy>
  <cp:lastPrinted>2026-08-06T07:46:19Z</cp:lastPrinted>
  <dcterms:created xsi:type="dcterms:W3CDTF">2020-02-27T06:21:54Z</dcterms:created>
  <dcterms:modified xsi:type="dcterms:W3CDTF">2026-09-04T05:22:19Z</dcterms:modified>
</cp:coreProperties>
</file>