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青蓉\"/>
    </mc:Choice>
  </mc:AlternateContent>
  <xr:revisionPtr revIDLastSave="0" documentId="8_{742EE067-5630-4319-A36B-575194D8E85A}" xr6:coauthVersionLast="47" xr6:coauthVersionMax="47" xr10:uidLastSave="{00000000-0000-0000-0000-000000000000}"/>
  <bookViews>
    <workbookView xWindow="-110" yWindow="-110" windowWidth="19420" windowHeight="10300" tabRatio="748" xr2:uid="{4D8510DC-F94A-455F-9EA3-A27827629E7A}"/>
  </bookViews>
  <sheets>
    <sheet name="總表" sheetId="6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1" i="6" l="1"/>
  <c r="AF22" i="6"/>
  <c r="AF23" i="6"/>
  <c r="AF24" i="6"/>
  <c r="AF25" i="6"/>
  <c r="AF26" i="6"/>
  <c r="AF27" i="6"/>
  <c r="AF28" i="6"/>
  <c r="AF29" i="6"/>
  <c r="AF30" i="6"/>
  <c r="AF31" i="6"/>
  <c r="AF20" i="6"/>
  <c r="W21" i="6"/>
  <c r="W22" i="6"/>
  <c r="W23" i="6"/>
  <c r="W24" i="6"/>
  <c r="W25" i="6"/>
  <c r="W26" i="6"/>
  <c r="W27" i="6"/>
  <c r="W28" i="6"/>
  <c r="W29" i="6"/>
  <c r="W30" i="6"/>
  <c r="W31" i="6"/>
  <c r="W20" i="6"/>
  <c r="Z21" i="6"/>
  <c r="Z22" i="6"/>
  <c r="Z23" i="6"/>
  <c r="Z24" i="6"/>
  <c r="Z25" i="6"/>
  <c r="Z26" i="6"/>
  <c r="Z27" i="6"/>
  <c r="Z28" i="6"/>
  <c r="Z29" i="6"/>
  <c r="Z30" i="6"/>
  <c r="Z31" i="6"/>
  <c r="Z20" i="6"/>
  <c r="AA40" i="6"/>
  <c r="W40" i="6"/>
  <c r="W41" i="6"/>
  <c r="W42" i="6"/>
  <c r="W43" i="6"/>
  <c r="W44" i="6"/>
  <c r="W45" i="6"/>
  <c r="W46" i="6"/>
  <c r="W39" i="6"/>
  <c r="U51" i="6"/>
  <c r="AE51" i="6" l="1"/>
  <c r="AD51" i="6"/>
  <c r="AG47" i="6"/>
  <c r="AC47" i="6"/>
  <c r="AA47" i="6"/>
  <c r="AC46" i="6"/>
  <c r="Z47" i="6"/>
  <c r="Z48" i="6"/>
  <c r="AC48" i="6" s="1"/>
  <c r="Z49" i="6"/>
  <c r="AC49" i="6" s="1"/>
  <c r="Z50" i="6"/>
  <c r="AC50" i="6" s="1"/>
  <c r="AH46" i="6"/>
  <c r="Y47" i="6"/>
  <c r="AH47" i="6" s="1"/>
  <c r="Y48" i="6"/>
  <c r="AH48" i="6" s="1"/>
  <c r="Y49" i="6"/>
  <c r="AH49" i="6" s="1"/>
  <c r="Y50" i="6"/>
  <c r="AH50" i="6" s="1"/>
  <c r="X47" i="6"/>
  <c r="X48" i="6"/>
  <c r="AG48" i="6" s="1"/>
  <c r="X49" i="6"/>
  <c r="AG49" i="6" s="1"/>
  <c r="X50" i="6"/>
  <c r="AG50" i="6" s="1"/>
  <c r="AA49" i="6" l="1"/>
  <c r="AF51" i="6"/>
  <c r="AA50" i="6"/>
  <c r="AA48" i="6"/>
  <c r="AA46" i="6" l="1"/>
  <c r="AG46" i="6"/>
  <c r="AC45" i="6" l="1"/>
  <c r="AH45" i="6"/>
  <c r="AA45" i="6" l="1"/>
  <c r="AG45" i="6"/>
  <c r="AH44" i="6" l="1"/>
  <c r="AA44" i="6" l="1"/>
  <c r="AG44" i="6"/>
  <c r="AC44" i="6" l="1"/>
  <c r="AA43" i="6" l="1"/>
  <c r="AG43" i="6"/>
  <c r="AH43" i="6" l="1"/>
  <c r="AC43" i="6"/>
  <c r="AH42" i="6" l="1"/>
  <c r="AG42" i="6" l="1"/>
  <c r="AA42" i="6"/>
  <c r="AC42" i="6"/>
  <c r="AH41" i="6" l="1"/>
  <c r="AG41" i="6" l="1"/>
  <c r="AD52" i="6" l="1"/>
  <c r="AF52" i="6" s="1"/>
  <c r="AH40" i="6" l="1"/>
  <c r="AG40" i="6" l="1"/>
  <c r="R21" i="6"/>
  <c r="Y51" i="6" l="1"/>
  <c r="O21" i="6"/>
  <c r="AH39" i="6" l="1"/>
  <c r="AH51" i="6" s="1"/>
  <c r="C4" i="6" l="1"/>
  <c r="D4" i="6" s="1"/>
  <c r="E4" i="6"/>
  <c r="P4" i="6" s="1"/>
  <c r="G4" i="6"/>
  <c r="H4" i="6" s="1"/>
  <c r="I4" i="6"/>
  <c r="J4" i="6" s="1"/>
  <c r="C5" i="6"/>
  <c r="D5" i="6" s="1"/>
  <c r="E5" i="6"/>
  <c r="P5" i="6" s="1"/>
  <c r="G5" i="6"/>
  <c r="H5" i="6" s="1"/>
  <c r="I5" i="6"/>
  <c r="J5" i="6" s="1"/>
  <c r="O5" i="6"/>
  <c r="C6" i="6"/>
  <c r="D6" i="6" s="1"/>
  <c r="E6" i="6"/>
  <c r="P6" i="6" s="1"/>
  <c r="G6" i="6"/>
  <c r="X22" i="6" s="1"/>
  <c r="I6" i="6"/>
  <c r="O6" i="6"/>
  <c r="C7" i="6"/>
  <c r="D7" i="6" s="1"/>
  <c r="E7" i="6"/>
  <c r="P7" i="6" s="1"/>
  <c r="G7" i="6"/>
  <c r="X23" i="6" s="1"/>
  <c r="I7" i="6"/>
  <c r="O7" i="6"/>
  <c r="C8" i="6"/>
  <c r="D8" i="6" s="1"/>
  <c r="E8" i="6"/>
  <c r="P8" i="6" s="1"/>
  <c r="G8" i="6"/>
  <c r="X24" i="6" s="1"/>
  <c r="I8" i="6"/>
  <c r="O8" i="6"/>
  <c r="C9" i="6"/>
  <c r="D9" i="6" s="1"/>
  <c r="E9" i="6"/>
  <c r="P9" i="6" s="1"/>
  <c r="G9" i="6"/>
  <c r="X25" i="6" s="1"/>
  <c r="I9" i="6"/>
  <c r="O9" i="6"/>
  <c r="C10" i="6"/>
  <c r="D10" i="6" s="1"/>
  <c r="E10" i="6"/>
  <c r="P10" i="6" s="1"/>
  <c r="G10" i="6"/>
  <c r="X26" i="6" s="1"/>
  <c r="I10" i="6"/>
  <c r="O10" i="6"/>
  <c r="C11" i="6"/>
  <c r="D11" i="6" s="1"/>
  <c r="E11" i="6"/>
  <c r="P11" i="6" s="1"/>
  <c r="G11" i="6"/>
  <c r="X27" i="6" s="1"/>
  <c r="I11" i="6"/>
  <c r="O11" i="6"/>
  <c r="C12" i="6"/>
  <c r="D12" i="6" s="1"/>
  <c r="E12" i="6"/>
  <c r="P12" i="6" s="1"/>
  <c r="G12" i="6"/>
  <c r="X28" i="6" s="1"/>
  <c r="I12" i="6"/>
  <c r="O12" i="6"/>
  <c r="C13" i="6"/>
  <c r="D13" i="6" s="1"/>
  <c r="E13" i="6"/>
  <c r="P13" i="6" s="1"/>
  <c r="G13" i="6"/>
  <c r="X29" i="6" s="1"/>
  <c r="I13" i="6"/>
  <c r="O13" i="6"/>
  <c r="C14" i="6"/>
  <c r="D14" i="6" s="1"/>
  <c r="E14" i="6"/>
  <c r="AF49" i="6" s="1"/>
  <c r="AI49" i="6" s="1"/>
  <c r="G14" i="6"/>
  <c r="I14" i="6"/>
  <c r="C15" i="6"/>
  <c r="D15" i="6" s="1"/>
  <c r="E15" i="6"/>
  <c r="P15" i="6" s="1"/>
  <c r="G15" i="6"/>
  <c r="H15" i="6" s="1"/>
  <c r="I15" i="6"/>
  <c r="O15" i="6"/>
  <c r="B16" i="6"/>
  <c r="K16" i="6"/>
  <c r="M16" i="6"/>
  <c r="N16" i="6"/>
  <c r="N33" i="6"/>
  <c r="M33" i="6"/>
  <c r="K33" i="6"/>
  <c r="AE32" i="6"/>
  <c r="AD32" i="6"/>
  <c r="V32" i="6"/>
  <c r="U32" i="6"/>
  <c r="X30" i="6"/>
  <c r="AA41" i="6" l="1"/>
  <c r="AF32" i="6"/>
  <c r="L33" i="6"/>
  <c r="AI42" i="6"/>
  <c r="AI40" i="6"/>
  <c r="AH31" i="6"/>
  <c r="J14" i="6"/>
  <c r="X21" i="6"/>
  <c r="I16" i="6"/>
  <c r="Q15" i="6"/>
  <c r="J15" i="6"/>
  <c r="P14" i="6"/>
  <c r="AI41" i="6"/>
  <c r="AI43" i="6"/>
  <c r="AI45" i="6"/>
  <c r="AF47" i="6"/>
  <c r="AI47" i="6" s="1"/>
  <c r="X31" i="6"/>
  <c r="R15" i="6"/>
  <c r="F15" i="6"/>
  <c r="R14" i="6"/>
  <c r="H14" i="6"/>
  <c r="J13" i="6"/>
  <c r="H12" i="6"/>
  <c r="J11" i="6"/>
  <c r="H10" i="6"/>
  <c r="J9" i="6"/>
  <c r="H8" i="6"/>
  <c r="J7" i="6"/>
  <c r="H6" i="6"/>
  <c r="AI44" i="6"/>
  <c r="AI46" i="6"/>
  <c r="AF48" i="6"/>
  <c r="AI48" i="6" s="1"/>
  <c r="H13" i="6"/>
  <c r="J12" i="6"/>
  <c r="H11" i="6"/>
  <c r="J10" i="6"/>
  <c r="H9" i="6"/>
  <c r="J8" i="6"/>
  <c r="H7" i="6"/>
  <c r="J6" i="6"/>
  <c r="C16" i="6"/>
  <c r="D16" i="6" s="1"/>
  <c r="O4" i="6"/>
  <c r="G16" i="6"/>
  <c r="Q14" i="6"/>
  <c r="O14" i="6"/>
  <c r="Q13" i="6"/>
  <c r="Q12" i="6"/>
  <c r="Q11" i="6"/>
  <c r="Q10" i="6"/>
  <c r="Q9" i="6"/>
  <c r="Q8" i="6"/>
  <c r="Q7" i="6"/>
  <c r="Q6" i="6"/>
  <c r="Q5" i="6"/>
  <c r="Q4" i="6"/>
  <c r="F14" i="6"/>
  <c r="R13" i="6"/>
  <c r="F13" i="6"/>
  <c r="R12" i="6"/>
  <c r="F12" i="6"/>
  <c r="R11" i="6"/>
  <c r="F11" i="6"/>
  <c r="R10" i="6"/>
  <c r="F10" i="6"/>
  <c r="R9" i="6"/>
  <c r="F9" i="6"/>
  <c r="R8" i="6"/>
  <c r="F8" i="6"/>
  <c r="R7" i="6"/>
  <c r="F7" i="6"/>
  <c r="R6" i="6"/>
  <c r="F6" i="6"/>
  <c r="R5" i="6"/>
  <c r="F5" i="6"/>
  <c r="R4" i="6"/>
  <c r="F4" i="6"/>
  <c r="L16" i="6"/>
  <c r="W32" i="6"/>
  <c r="AC20" i="6"/>
  <c r="AA23" i="6"/>
  <c r="AG23" i="6"/>
  <c r="AA25" i="6"/>
  <c r="AG25" i="6"/>
  <c r="AA27" i="6"/>
  <c r="AG27" i="6"/>
  <c r="AA29" i="6"/>
  <c r="AG29" i="6"/>
  <c r="AC30" i="6"/>
  <c r="AI30" i="6"/>
  <c r="AA22" i="6"/>
  <c r="AA24" i="6"/>
  <c r="AA26" i="6"/>
  <c r="AA28" i="6"/>
  <c r="AA30" i="6"/>
  <c r="AG22" i="6"/>
  <c r="AG24" i="6"/>
  <c r="AG26" i="6"/>
  <c r="AG28" i="6"/>
  <c r="AG30" i="6"/>
  <c r="AC31" i="6" l="1"/>
  <c r="AF50" i="6"/>
  <c r="AI50" i="6" s="1"/>
  <c r="AC41" i="6"/>
  <c r="AI21" i="6"/>
  <c r="AI20" i="6"/>
  <c r="AC28" i="6"/>
  <c r="AC29" i="6"/>
  <c r="V48" i="6"/>
  <c r="AC25" i="6"/>
  <c r="AC24" i="6"/>
  <c r="AB43" i="6"/>
  <c r="AC23" i="6"/>
  <c r="AI31" i="6"/>
  <c r="AI24" i="6"/>
  <c r="AC27" i="6"/>
  <c r="AC26" i="6"/>
  <c r="AC21" i="6"/>
  <c r="AC40" i="6"/>
  <c r="AI23" i="6"/>
  <c r="AI28" i="6"/>
  <c r="V50" i="6"/>
  <c r="AA21" i="6"/>
  <c r="AB31" i="6"/>
  <c r="V47" i="6"/>
  <c r="AG21" i="6"/>
  <c r="F16" i="6"/>
  <c r="AG31" i="6"/>
  <c r="AA20" i="6"/>
  <c r="X32" i="6"/>
  <c r="AA32" i="6" s="1"/>
  <c r="AI26" i="6"/>
  <c r="AC22" i="6"/>
  <c r="AI27" i="6"/>
  <c r="AG20" i="6"/>
  <c r="AA31" i="6"/>
  <c r="AI22" i="6"/>
  <c r="E16" i="6"/>
  <c r="R16" i="6"/>
  <c r="AI29" i="6"/>
  <c r="AI25" i="6"/>
  <c r="O16" i="6"/>
  <c r="Q16" i="6"/>
  <c r="AH28" i="6"/>
  <c r="AB28" i="6"/>
  <c r="AH27" i="6"/>
  <c r="AB27" i="6"/>
  <c r="AH24" i="6"/>
  <c r="AB24" i="6"/>
  <c r="AH23" i="6"/>
  <c r="AB23" i="6"/>
  <c r="Y32" i="6"/>
  <c r="AH20" i="6"/>
  <c r="AB20" i="6"/>
  <c r="AH30" i="6"/>
  <c r="AB30" i="6"/>
  <c r="AH29" i="6"/>
  <c r="AB29" i="6"/>
  <c r="AH26" i="6"/>
  <c r="AB26" i="6"/>
  <c r="AH25" i="6"/>
  <c r="AB25" i="6"/>
  <c r="AH22" i="6"/>
  <c r="AB22" i="6"/>
  <c r="AH21" i="6"/>
  <c r="AB21" i="6"/>
  <c r="V49" i="6"/>
  <c r="AB45" i="6" l="1"/>
  <c r="AB44" i="6"/>
  <c r="AB49" i="6"/>
  <c r="AB50" i="6"/>
  <c r="AB47" i="6"/>
  <c r="AB46" i="6"/>
  <c r="AB48" i="6"/>
  <c r="F24" i="6"/>
  <c r="AB42" i="6"/>
  <c r="AB41" i="6"/>
  <c r="V51" i="6"/>
  <c r="W51" i="6" s="1"/>
  <c r="AG32" i="6"/>
  <c r="F21" i="6"/>
  <c r="AB39" i="6"/>
  <c r="P16" i="6"/>
  <c r="AH32" i="6"/>
  <c r="Z32" i="6"/>
  <c r="AC32" i="6" s="1"/>
  <c r="AB32" i="6"/>
  <c r="AI32" i="6" l="1"/>
  <c r="AB51" i="6"/>
  <c r="F25" i="6"/>
  <c r="D25" i="6"/>
  <c r="D28" i="6"/>
  <c r="F28" i="6"/>
  <c r="D26" i="6"/>
  <c r="F26" i="6"/>
  <c r="F27" i="6"/>
  <c r="D27" i="6"/>
  <c r="D23" i="6"/>
  <c r="F23" i="6"/>
  <c r="D24" i="6"/>
  <c r="AB40" i="6"/>
  <c r="B33" i="6" l="1"/>
  <c r="F22" i="6"/>
  <c r="D22" i="6"/>
  <c r="D21" i="6" l="1"/>
  <c r="X51" i="6" l="1"/>
  <c r="Q21" i="6"/>
  <c r="P21" i="6"/>
  <c r="AA51" i="6" l="1"/>
  <c r="Z51" i="6"/>
  <c r="AC51" i="6" s="1"/>
  <c r="AC39" i="6"/>
  <c r="AI39" i="6"/>
  <c r="AI51" i="6" s="1"/>
  <c r="AA39" i="6"/>
  <c r="AG39" i="6"/>
  <c r="AG51" i="6" s="1"/>
</calcChain>
</file>

<file path=xl/sharedStrings.xml><?xml version="1.0" encoding="utf-8"?>
<sst xmlns="http://schemas.openxmlformats.org/spreadsheetml/2006/main" count="166" uniqueCount="56">
  <si>
    <r>
      <t xml:space="preserve">2025 VS 2024目標預算差異 </t>
    </r>
    <r>
      <rPr>
        <b/>
        <sz val="22"/>
        <color rgb="FFFF0000"/>
        <rFont val="微軟正黑體"/>
        <family val="2"/>
        <charset val="136"/>
      </rPr>
      <t>By Book Day</t>
    </r>
    <phoneticPr fontId="3" type="noConversion"/>
  </si>
  <si>
    <t>預算金額</t>
    <phoneticPr fontId="3" type="noConversion"/>
  </si>
  <si>
    <t>2025年度(A)</t>
    <phoneticPr fontId="3" type="noConversion"/>
  </si>
  <si>
    <t>2024年度(B)</t>
    <phoneticPr fontId="3" type="noConversion"/>
  </si>
  <si>
    <t>與去年差異(A-B)</t>
    <phoneticPr fontId="3" type="noConversion"/>
  </si>
  <si>
    <t>月份</t>
    <phoneticPr fontId="3" type="noConversion"/>
  </si>
  <si>
    <t>月目標(a)</t>
    <phoneticPr fontId="3" type="noConversion"/>
  </si>
  <si>
    <t>月總房價(b)</t>
    <phoneticPr fontId="3" type="noConversion"/>
  </si>
  <si>
    <t>月達成率</t>
    <phoneticPr fontId="3" type="noConversion"/>
  </si>
  <si>
    <t>月均價</t>
    <phoneticPr fontId="3" type="noConversion"/>
  </si>
  <si>
    <t>月目標與月房價
差異(b-a)</t>
    <phoneticPr fontId="3" type="noConversion"/>
  </si>
  <si>
    <t>月晚數
(晚)</t>
    <phoneticPr fontId="3" type="noConversion"/>
  </si>
  <si>
    <t>月晚數
與上月差異</t>
    <phoneticPr fontId="3" type="noConversion"/>
  </si>
  <si>
    <t>月間數
(間)</t>
    <phoneticPr fontId="3" type="noConversion"/>
  </si>
  <si>
    <t>月間數
與上月差異</t>
    <phoneticPr fontId="3" type="noConversion"/>
  </si>
  <si>
    <t>月總房價
(B)</t>
    <phoneticPr fontId="3" type="noConversion"/>
  </si>
  <si>
    <t>月總房價(B)</t>
    <phoneticPr fontId="3" type="noConversion"/>
  </si>
  <si>
    <t>月間數
(晚)</t>
    <phoneticPr fontId="3" type="noConversion"/>
  </si>
  <si>
    <t>Jan.</t>
  </si>
  <si>
    <t>Feb.</t>
  </si>
  <si>
    <t>Mar.</t>
  </si>
  <si>
    <t>Apr.</t>
  </si>
  <si>
    <t>May.</t>
  </si>
  <si>
    <t>Jun.</t>
  </si>
  <si>
    <t>住傳藝</t>
    <phoneticPr fontId="3" type="noConversion"/>
  </si>
  <si>
    <t>Jul.</t>
  </si>
  <si>
    <t>Aug.</t>
  </si>
  <si>
    <t>Sep.</t>
  </si>
  <si>
    <t>春福禮讚</t>
    <phoneticPr fontId="3" type="noConversion"/>
  </si>
  <si>
    <t>Oct.</t>
  </si>
  <si>
    <t>馬年訂房</t>
    <phoneticPr fontId="3" type="noConversion"/>
  </si>
  <si>
    <t>Nov.</t>
  </si>
  <si>
    <t>Dec.</t>
  </si>
  <si>
    <t>總計</t>
    <phoneticPr fontId="3" type="noConversion"/>
  </si>
  <si>
    <t>-</t>
    <phoneticPr fontId="3" type="noConversion"/>
  </si>
  <si>
    <t>月會報表專用表格</t>
    <phoneticPr fontId="3" type="noConversion"/>
  </si>
  <si>
    <r>
      <t xml:space="preserve">2025 目標預算差異 </t>
    </r>
    <r>
      <rPr>
        <b/>
        <sz val="20"/>
        <color rgb="FFFF0000"/>
        <rFont val="微軟正黑體"/>
        <family val="2"/>
        <charset val="136"/>
      </rPr>
      <t>By Book Day</t>
    </r>
    <phoneticPr fontId="3" type="noConversion"/>
  </si>
  <si>
    <t>2025 VS 2024差異(A-B)</t>
    <phoneticPr fontId="3" type="noConversion"/>
  </si>
  <si>
    <r>
      <t xml:space="preserve">2026 VS 2025目標預算差異 </t>
    </r>
    <r>
      <rPr>
        <b/>
        <sz val="22"/>
        <color rgb="FFFF0000"/>
        <rFont val="微軟正黑體"/>
        <family val="2"/>
        <charset val="136"/>
      </rPr>
      <t>By Book Day</t>
    </r>
    <phoneticPr fontId="3" type="noConversion"/>
  </si>
  <si>
    <t>Budget</t>
    <phoneticPr fontId="3" type="noConversion"/>
  </si>
  <si>
    <t>Actual(A)</t>
    <phoneticPr fontId="3" type="noConversion"/>
  </si>
  <si>
    <t>達成率</t>
    <phoneticPr fontId="3" type="noConversion"/>
  </si>
  <si>
    <t>2024 Actual(B)</t>
    <phoneticPr fontId="3" type="noConversion"/>
  </si>
  <si>
    <t>2025 VS 2024差異</t>
    <phoneticPr fontId="3" type="noConversion"/>
  </si>
  <si>
    <t>2026年度(A)</t>
    <phoneticPr fontId="3" type="noConversion"/>
  </si>
  <si>
    <t>2025年度(B)</t>
    <phoneticPr fontId="3" type="noConversion"/>
  </si>
  <si>
    <t>RM Ns</t>
    <phoneticPr fontId="3" type="noConversion"/>
  </si>
  <si>
    <t>REV</t>
    <phoneticPr fontId="3" type="noConversion"/>
  </si>
  <si>
    <t>ADR</t>
    <phoneticPr fontId="3" type="noConversion"/>
  </si>
  <si>
    <t>年度總計</t>
    <phoneticPr fontId="3" type="noConversion"/>
  </si>
  <si>
    <r>
      <t xml:space="preserve">2026 目標預算差異 </t>
    </r>
    <r>
      <rPr>
        <b/>
        <sz val="20"/>
        <color rgb="FFFF0000"/>
        <rFont val="微軟正黑體"/>
        <family val="2"/>
        <charset val="136"/>
      </rPr>
      <t>By Book Day</t>
    </r>
    <phoneticPr fontId="3" type="noConversion"/>
  </si>
  <si>
    <t>2026 VS 2025差異(A-B)</t>
    <phoneticPr fontId="3" type="noConversion"/>
  </si>
  <si>
    <t>2025 Actual(B)</t>
    <phoneticPr fontId="3" type="noConversion"/>
  </si>
  <si>
    <t>2026 VS 2025差異</t>
    <phoneticPr fontId="3" type="noConversion"/>
  </si>
  <si>
    <t>春節要高價/先訂</t>
    <phoneticPr fontId="3" type="noConversion"/>
  </si>
  <si>
    <t>累計至8月小計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</si>
</sst>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2" formatCode="#,##0_);[Red]\(#,##0\)"/>
    <numFmt numFmtId="183" formatCode="#,##0_);\(#,##0\)"/>
  </numFmts>
  <fonts count="21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rgb="FF000000"/>
      <name val="新細明體"/>
      <family val="2"/>
      <scheme val="minor"/>
    </font>
    <font>
      <b/>
      <sz val="22"/>
      <color rgb="FF000000"/>
      <name val="微軟正黑體"/>
      <family val="2"/>
      <charset val="136"/>
    </font>
    <font>
      <b/>
      <sz val="22"/>
      <color rgb="FFFF0000"/>
      <name val="微軟正黑體"/>
      <family val="2"/>
      <charset val="136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1"/>
      <name val="微軟正黑體"/>
      <family val="2"/>
      <charset val="136"/>
    </font>
  </fonts>
  <fills count="1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89D8FF"/>
        <bgColor indexed="64"/>
      </patternFill>
    </fill>
    <fill>
      <patternFill patternType="solid">
        <fgColor rgb="FFFFE1E1"/>
        <bgColor indexed="64"/>
      </patternFill>
    </fill>
    <fill>
      <patternFill patternType="solid">
        <fgColor rgb="FFE1E1FF"/>
        <bgColor indexed="64"/>
      </patternFill>
    </fill>
    <fill>
      <patternFill patternType="solid">
        <fgColor rgb="FFC5ECFF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4" fillId="0" borderId="0"/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89">
    <xf numFmtId="0" fontId="0" fillId="0" borderId="0" xfId="0"/>
    <xf numFmtId="0" fontId="8" fillId="0" borderId="0" xfId="0" applyFont="1"/>
    <xf numFmtId="182" fontId="9" fillId="2" borderId="9" xfId="0" applyNumberFormat="1" applyFont="1" applyFill="1" applyBorder="1" applyAlignment="1">
      <alignment horizontal="center" vertical="center"/>
    </xf>
    <xf numFmtId="182" fontId="10" fillId="3" borderId="13" xfId="0" applyNumberFormat="1" applyFont="1" applyFill="1" applyBorder="1" applyAlignment="1">
      <alignment horizontal="center" vertical="center"/>
    </xf>
    <xf numFmtId="182" fontId="10" fillId="3" borderId="14" xfId="0" applyNumberFormat="1" applyFont="1" applyFill="1" applyBorder="1" applyAlignment="1">
      <alignment horizontal="center" vertical="center" wrapText="1"/>
    </xf>
    <xf numFmtId="182" fontId="10" fillId="3" borderId="14" xfId="0" applyNumberFormat="1" applyFont="1" applyFill="1" applyBorder="1" applyAlignment="1">
      <alignment horizontal="center" vertical="center"/>
    </xf>
    <xf numFmtId="182" fontId="10" fillId="3" borderId="15" xfId="0" applyNumberFormat="1" applyFont="1" applyFill="1" applyBorder="1" applyAlignment="1">
      <alignment horizontal="center" vertical="center" wrapText="1"/>
    </xf>
    <xf numFmtId="182" fontId="10" fillId="3" borderId="13" xfId="0" applyNumberFormat="1" applyFont="1" applyFill="1" applyBorder="1" applyAlignment="1">
      <alignment horizontal="center" vertical="center" wrapText="1"/>
    </xf>
    <xf numFmtId="182" fontId="10" fillId="3" borderId="16" xfId="0" applyNumberFormat="1" applyFont="1" applyFill="1" applyBorder="1" applyAlignment="1">
      <alignment horizontal="center" vertical="center" wrapText="1"/>
    </xf>
    <xf numFmtId="182" fontId="10" fillId="3" borderId="17" xfId="0" applyNumberFormat="1" applyFont="1" applyFill="1" applyBorder="1" applyAlignment="1">
      <alignment horizontal="center" vertical="center" wrapText="1"/>
    </xf>
    <xf numFmtId="182" fontId="11" fillId="0" borderId="18" xfId="3" applyNumberFormat="1" applyFont="1" applyBorder="1" applyAlignment="1">
      <alignment horizontal="center" vertical="center"/>
    </xf>
    <xf numFmtId="182" fontId="10" fillId="0" borderId="3" xfId="0" applyNumberFormat="1" applyFont="1" applyBorder="1" applyAlignment="1">
      <alignment horizontal="center" vertical="center"/>
    </xf>
    <xf numFmtId="182" fontId="10" fillId="4" borderId="3" xfId="0" applyNumberFormat="1" applyFont="1" applyFill="1" applyBorder="1" applyAlignment="1">
      <alignment horizontal="center" vertical="center"/>
    </xf>
    <xf numFmtId="9" fontId="10" fillId="0" borderId="3" xfId="2" applyFont="1" applyFill="1" applyBorder="1" applyAlignment="1">
      <alignment horizontal="center" vertical="center"/>
    </xf>
    <xf numFmtId="182" fontId="10" fillId="5" borderId="3" xfId="0" applyNumberFormat="1" applyFont="1" applyFill="1" applyBorder="1" applyAlignment="1">
      <alignment horizontal="center" vertical="center"/>
    </xf>
    <xf numFmtId="182" fontId="10" fillId="0" borderId="2" xfId="0" applyNumberFormat="1" applyFont="1" applyBorder="1" applyAlignment="1">
      <alignment horizontal="center" vertical="center"/>
    </xf>
    <xf numFmtId="182" fontId="10" fillId="4" borderId="18" xfId="0" quotePrefix="1" applyNumberFormat="1" applyFont="1" applyFill="1" applyBorder="1" applyAlignment="1">
      <alignment horizontal="center" vertical="center"/>
    </xf>
    <xf numFmtId="182" fontId="10" fillId="0" borderId="3" xfId="0" quotePrefix="1" applyNumberFormat="1" applyFont="1" applyBorder="1" applyAlignment="1">
      <alignment horizontal="center" vertical="center"/>
    </xf>
    <xf numFmtId="182" fontId="10" fillId="0" borderId="19" xfId="0" quotePrefix="1" applyNumberFormat="1" applyFont="1" applyBorder="1" applyAlignment="1">
      <alignment horizontal="center" vertical="center"/>
    </xf>
    <xf numFmtId="182" fontId="10" fillId="4" borderId="5" xfId="0" applyNumberFormat="1" applyFont="1" applyFill="1" applyBorder="1" applyAlignment="1">
      <alignment horizontal="center" vertical="center"/>
    </xf>
    <xf numFmtId="182" fontId="10" fillId="0" borderId="6" xfId="0" applyNumberFormat="1" applyFont="1" applyBorder="1" applyAlignment="1">
      <alignment horizontal="center" vertical="center"/>
    </xf>
    <xf numFmtId="182" fontId="10" fillId="0" borderId="20" xfId="0" applyNumberFormat="1" applyFont="1" applyBorder="1" applyAlignment="1">
      <alignment horizontal="center" vertical="center"/>
    </xf>
    <xf numFmtId="182" fontId="10" fillId="4" borderId="18" xfId="0" applyNumberFormat="1" applyFont="1" applyFill="1" applyBorder="1" applyAlignment="1">
      <alignment horizontal="center" vertical="center"/>
    </xf>
    <xf numFmtId="182" fontId="10" fillId="4" borderId="2" xfId="0" applyNumberFormat="1" applyFont="1" applyFill="1" applyBorder="1" applyAlignment="1">
      <alignment horizontal="center" vertical="center"/>
    </xf>
    <xf numFmtId="182" fontId="10" fillId="0" borderId="19" xfId="0" applyNumberFormat="1" applyFont="1" applyBorder="1" applyAlignment="1">
      <alignment horizontal="center" vertical="center"/>
    </xf>
    <xf numFmtId="9" fontId="12" fillId="0" borderId="3" xfId="2" applyFont="1" applyFill="1" applyBorder="1" applyAlignment="1">
      <alignment horizontal="center" vertical="center"/>
    </xf>
    <xf numFmtId="182" fontId="13" fillId="0" borderId="3" xfId="0" quotePrefix="1" applyNumberFormat="1" applyFont="1" applyBorder="1" applyAlignment="1">
      <alignment horizontal="center" vertical="center"/>
    </xf>
    <xf numFmtId="182" fontId="10" fillId="0" borderId="21" xfId="0" applyNumberFormat="1" applyFont="1" applyBorder="1" applyAlignment="1">
      <alignment horizontal="center" vertical="center" wrapText="1"/>
    </xf>
    <xf numFmtId="182" fontId="10" fillId="6" borderId="22" xfId="0" applyNumberFormat="1" applyFont="1" applyFill="1" applyBorder="1" applyAlignment="1">
      <alignment horizontal="center" vertical="center"/>
    </xf>
    <xf numFmtId="9" fontId="10" fillId="6" borderId="22" xfId="2" applyFont="1" applyFill="1" applyBorder="1" applyAlignment="1">
      <alignment horizontal="center" vertical="center"/>
    </xf>
    <xf numFmtId="182" fontId="10" fillId="6" borderId="22" xfId="0" quotePrefix="1" applyNumberFormat="1" applyFont="1" applyFill="1" applyBorder="1" applyAlignment="1">
      <alignment horizontal="center" vertical="center"/>
    </xf>
    <xf numFmtId="182" fontId="10" fillId="6" borderId="23" xfId="0" quotePrefix="1" applyNumberFormat="1" applyFont="1" applyFill="1" applyBorder="1" applyAlignment="1">
      <alignment horizontal="center" vertical="center"/>
    </xf>
    <xf numFmtId="182" fontId="10" fillId="7" borderId="21" xfId="0" applyNumberFormat="1" applyFont="1" applyFill="1" applyBorder="1" applyAlignment="1">
      <alignment horizontal="center" vertical="center"/>
    </xf>
    <xf numFmtId="182" fontId="10" fillId="7" borderId="22" xfId="0" quotePrefix="1" applyNumberFormat="1" applyFont="1" applyFill="1" applyBorder="1" applyAlignment="1">
      <alignment horizontal="center" vertical="center"/>
    </xf>
    <xf numFmtId="182" fontId="10" fillId="7" borderId="24" xfId="0" quotePrefix="1" applyNumberFormat="1" applyFont="1" applyFill="1" applyBorder="1" applyAlignment="1">
      <alignment horizontal="center" vertical="center"/>
    </xf>
    <xf numFmtId="182" fontId="10" fillId="8" borderId="23" xfId="0" applyNumberFormat="1" applyFont="1" applyFill="1" applyBorder="1" applyAlignment="1">
      <alignment horizontal="center" vertical="center"/>
    </xf>
    <xf numFmtId="182" fontId="10" fillId="8" borderId="22" xfId="0" applyNumberFormat="1" applyFont="1" applyFill="1" applyBorder="1" applyAlignment="1">
      <alignment horizontal="center" vertical="center"/>
    </xf>
    <xf numFmtId="182" fontId="10" fillId="8" borderId="24" xfId="0" applyNumberFormat="1" applyFont="1" applyFill="1" applyBorder="1" applyAlignment="1">
      <alignment horizontal="center" vertical="center"/>
    </xf>
    <xf numFmtId="182" fontId="16" fillId="0" borderId="9" xfId="0" applyNumberFormat="1" applyFont="1" applyBorder="1" applyAlignment="1">
      <alignment vertical="center" wrapText="1"/>
    </xf>
    <xf numFmtId="0" fontId="8" fillId="10" borderId="30" xfId="0" applyFont="1" applyFill="1" applyBorder="1" applyAlignment="1">
      <alignment horizontal="center" vertical="center"/>
    </xf>
    <xf numFmtId="0" fontId="8" fillId="11" borderId="31" xfId="0" applyFont="1" applyFill="1" applyBorder="1" applyAlignment="1">
      <alignment horizontal="center" vertical="center"/>
    </xf>
    <xf numFmtId="0" fontId="8" fillId="12" borderId="32" xfId="0" applyFont="1" applyFill="1" applyBorder="1" applyAlignment="1">
      <alignment horizontal="center" vertical="center"/>
    </xf>
    <xf numFmtId="0" fontId="8" fillId="8" borderId="30" xfId="0" applyFont="1" applyFill="1" applyBorder="1" applyAlignment="1">
      <alignment horizontal="center" vertical="center"/>
    </xf>
    <xf numFmtId="0" fontId="8" fillId="13" borderId="31" xfId="0" applyFont="1" applyFill="1" applyBorder="1" applyAlignment="1">
      <alignment horizontal="center" vertical="center"/>
    </xf>
    <xf numFmtId="0" fontId="8" fillId="14" borderId="32" xfId="0" applyFont="1" applyFill="1" applyBorder="1" applyAlignment="1">
      <alignment horizontal="center" vertical="center"/>
    </xf>
    <xf numFmtId="0" fontId="8" fillId="8" borderId="33" xfId="0" applyFont="1" applyFill="1" applyBorder="1" applyAlignment="1">
      <alignment horizontal="center" vertical="center"/>
    </xf>
    <xf numFmtId="182" fontId="11" fillId="0" borderId="34" xfId="3" applyNumberFormat="1" applyFont="1" applyBorder="1" applyAlignment="1">
      <alignment horizontal="center" vertical="center"/>
    </xf>
    <xf numFmtId="183" fontId="8" fillId="6" borderId="35" xfId="0" applyNumberFormat="1" applyFont="1" applyFill="1" applyBorder="1" applyAlignment="1">
      <alignment horizontal="center" vertical="center"/>
    </xf>
    <xf numFmtId="183" fontId="8" fillId="7" borderId="4" xfId="0" applyNumberFormat="1" applyFont="1" applyFill="1" applyBorder="1" applyAlignment="1">
      <alignment horizontal="center" vertical="center"/>
    </xf>
    <xf numFmtId="183" fontId="8" fillId="5" borderId="36" xfId="0" applyNumberFormat="1" applyFont="1" applyFill="1" applyBorder="1" applyAlignment="1">
      <alignment horizontal="center" vertical="center"/>
    </xf>
    <xf numFmtId="9" fontId="8" fillId="0" borderId="35" xfId="2" applyFont="1" applyBorder="1" applyAlignment="1">
      <alignment horizontal="center" vertical="center"/>
    </xf>
    <xf numFmtId="9" fontId="8" fillId="0" borderId="4" xfId="2" applyFont="1" applyBorder="1" applyAlignment="1">
      <alignment horizontal="center" vertical="center"/>
    </xf>
    <xf numFmtId="9" fontId="8" fillId="0" borderId="36" xfId="2" applyFont="1" applyBorder="1" applyAlignment="1">
      <alignment horizontal="center" vertical="center"/>
    </xf>
    <xf numFmtId="182" fontId="8" fillId="15" borderId="13" xfId="0" applyNumberFormat="1" applyFont="1" applyFill="1" applyBorder="1" applyAlignment="1">
      <alignment horizontal="center" vertical="center"/>
    </xf>
    <xf numFmtId="182" fontId="8" fillId="16" borderId="14" xfId="0" applyNumberFormat="1" applyFont="1" applyFill="1" applyBorder="1" applyAlignment="1">
      <alignment horizontal="center" vertical="center"/>
    </xf>
    <xf numFmtId="182" fontId="8" fillId="17" borderId="16" xfId="0" applyNumberFormat="1" applyFont="1" applyFill="1" applyBorder="1" applyAlignment="1">
      <alignment horizontal="center" vertical="center"/>
    </xf>
    <xf numFmtId="182" fontId="11" fillId="9" borderId="37" xfId="3" applyNumberFormat="1" applyFont="1" applyFill="1" applyBorder="1" applyAlignment="1">
      <alignment horizontal="center" vertical="center"/>
    </xf>
    <xf numFmtId="183" fontId="8" fillId="6" borderId="18" xfId="0" applyNumberFormat="1" applyFont="1" applyFill="1" applyBorder="1" applyAlignment="1">
      <alignment horizontal="center" vertical="center"/>
    </xf>
    <xf numFmtId="183" fontId="8" fillId="7" borderId="3" xfId="0" applyNumberFormat="1" applyFont="1" applyFill="1" applyBorder="1" applyAlignment="1">
      <alignment horizontal="center" vertical="center"/>
    </xf>
    <xf numFmtId="183" fontId="8" fillId="5" borderId="19" xfId="0" applyNumberFormat="1" applyFont="1" applyFill="1" applyBorder="1" applyAlignment="1">
      <alignment horizontal="center" vertical="center"/>
    </xf>
    <xf numFmtId="9" fontId="8" fillId="0" borderId="18" xfId="2" applyFont="1" applyBorder="1" applyAlignment="1">
      <alignment horizontal="center" vertical="center"/>
    </xf>
    <xf numFmtId="9" fontId="8" fillId="0" borderId="3" xfId="2" applyFont="1" applyBorder="1" applyAlignment="1">
      <alignment horizontal="center" vertical="center"/>
    </xf>
    <xf numFmtId="9" fontId="8" fillId="0" borderId="19" xfId="2" applyFont="1" applyBorder="1" applyAlignment="1">
      <alignment horizontal="center" vertical="center"/>
    </xf>
    <xf numFmtId="182" fontId="8" fillId="15" borderId="18" xfId="0" applyNumberFormat="1" applyFont="1" applyFill="1" applyBorder="1" applyAlignment="1">
      <alignment horizontal="center" vertical="center"/>
    </xf>
    <xf numFmtId="182" fontId="8" fillId="16" borderId="3" xfId="0" applyNumberFormat="1" applyFont="1" applyFill="1" applyBorder="1" applyAlignment="1">
      <alignment horizontal="center" vertical="center"/>
    </xf>
    <xf numFmtId="182" fontId="8" fillId="17" borderId="19" xfId="0" applyNumberFormat="1" applyFont="1" applyFill="1" applyBorder="1" applyAlignment="1">
      <alignment horizontal="center" vertical="center"/>
    </xf>
    <xf numFmtId="182" fontId="11" fillId="0" borderId="37" xfId="3" applyNumberFormat="1" applyFont="1" applyBorder="1" applyAlignment="1">
      <alignment horizontal="center" vertical="center"/>
    </xf>
    <xf numFmtId="182" fontId="11" fillId="0" borderId="38" xfId="3" applyNumberFormat="1" applyFont="1" applyBorder="1" applyAlignment="1">
      <alignment horizontal="center" vertical="center"/>
    </xf>
    <xf numFmtId="183" fontId="8" fillId="6" borderId="39" xfId="0" applyNumberFormat="1" applyFont="1" applyFill="1" applyBorder="1" applyAlignment="1">
      <alignment horizontal="center" vertical="center"/>
    </xf>
    <xf numFmtId="183" fontId="8" fillId="7" borderId="6" xfId="0" applyNumberFormat="1" applyFont="1" applyFill="1" applyBorder="1" applyAlignment="1">
      <alignment horizontal="center" vertical="center"/>
    </xf>
    <xf numFmtId="9" fontId="8" fillId="0" borderId="39" xfId="2" applyFont="1" applyBorder="1" applyAlignment="1">
      <alignment horizontal="center" vertical="center"/>
    </xf>
    <xf numFmtId="9" fontId="8" fillId="0" borderId="6" xfId="2" applyFont="1" applyBorder="1" applyAlignment="1">
      <alignment horizontal="center" vertical="center"/>
    </xf>
    <xf numFmtId="9" fontId="8" fillId="0" borderId="20" xfId="2" applyFont="1" applyBorder="1" applyAlignment="1">
      <alignment horizontal="center" vertical="center"/>
    </xf>
    <xf numFmtId="182" fontId="8" fillId="15" borderId="39" xfId="0" applyNumberFormat="1" applyFont="1" applyFill="1" applyBorder="1" applyAlignment="1">
      <alignment horizontal="center" vertical="center"/>
    </xf>
    <xf numFmtId="182" fontId="8" fillId="16" borderId="6" xfId="0" applyNumberFormat="1" applyFont="1" applyFill="1" applyBorder="1" applyAlignment="1">
      <alignment horizontal="center" vertical="center"/>
    </xf>
    <xf numFmtId="182" fontId="8" fillId="17" borderId="20" xfId="0" applyNumberFormat="1" applyFont="1" applyFill="1" applyBorder="1" applyAlignment="1">
      <alignment horizontal="center" vertical="center"/>
    </xf>
    <xf numFmtId="182" fontId="12" fillId="4" borderId="18" xfId="0" quotePrefix="1" applyNumberFormat="1" applyFont="1" applyFill="1" applyBorder="1" applyAlignment="1">
      <alignment horizontal="center" vertical="center"/>
    </xf>
    <xf numFmtId="182" fontId="10" fillId="18" borderId="8" xfId="0" applyNumberFormat="1" applyFont="1" applyFill="1" applyBorder="1" applyAlignment="1">
      <alignment horizontal="center" vertical="center" wrapText="1"/>
    </xf>
    <xf numFmtId="183" fontId="8" fillId="18" borderId="26" xfId="0" applyNumberFormat="1" applyFont="1" applyFill="1" applyBorder="1" applyAlignment="1">
      <alignment horizontal="center" vertical="center"/>
    </xf>
    <xf numFmtId="183" fontId="8" fillId="18" borderId="27" xfId="0" applyNumberFormat="1" applyFont="1" applyFill="1" applyBorder="1" applyAlignment="1">
      <alignment horizontal="center" vertical="center"/>
    </xf>
    <xf numFmtId="183" fontId="8" fillId="18" borderId="28" xfId="0" applyNumberFormat="1" applyFont="1" applyFill="1" applyBorder="1" applyAlignment="1">
      <alignment horizontal="center" vertical="center"/>
    </xf>
    <xf numFmtId="182" fontId="8" fillId="18" borderId="26" xfId="0" applyNumberFormat="1" applyFont="1" applyFill="1" applyBorder="1" applyAlignment="1">
      <alignment horizontal="center" vertical="center"/>
    </xf>
    <xf numFmtId="182" fontId="8" fillId="18" borderId="27" xfId="0" applyNumberFormat="1" applyFont="1" applyFill="1" applyBorder="1" applyAlignment="1">
      <alignment horizontal="center" vertical="center"/>
    </xf>
    <xf numFmtId="182" fontId="10" fillId="18" borderId="28" xfId="0" applyNumberFormat="1" applyFont="1" applyFill="1" applyBorder="1" applyAlignment="1">
      <alignment horizontal="center" vertical="center"/>
    </xf>
    <xf numFmtId="9" fontId="8" fillId="18" borderId="26" xfId="2" applyFont="1" applyFill="1" applyBorder="1" applyAlignment="1">
      <alignment horizontal="center" vertical="center"/>
    </xf>
    <xf numFmtId="9" fontId="8" fillId="18" borderId="27" xfId="2" applyFont="1" applyFill="1" applyBorder="1" applyAlignment="1">
      <alignment horizontal="center" vertical="center"/>
    </xf>
    <xf numFmtId="9" fontId="8" fillId="18" borderId="40" xfId="2" applyFont="1" applyFill="1" applyBorder="1" applyAlignment="1">
      <alignment horizontal="center" vertical="center"/>
    </xf>
    <xf numFmtId="182" fontId="10" fillId="9" borderId="26" xfId="0" quotePrefix="1" applyNumberFormat="1" applyFont="1" applyFill="1" applyBorder="1" applyAlignment="1">
      <alignment horizontal="center" vertical="center"/>
    </xf>
    <xf numFmtId="182" fontId="10" fillId="9" borderId="41" xfId="0" quotePrefix="1" applyNumberFormat="1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horizontal="center" vertical="center"/>
    </xf>
    <xf numFmtId="182" fontId="8" fillId="7" borderId="3" xfId="0" applyNumberFormat="1" applyFont="1" applyFill="1" applyBorder="1" applyAlignment="1">
      <alignment horizontal="center" vertical="center"/>
    </xf>
    <xf numFmtId="182" fontId="10" fillId="16" borderId="3" xfId="0" applyNumberFormat="1" applyFont="1" applyFill="1" applyBorder="1" applyAlignment="1">
      <alignment horizontal="center" vertical="center"/>
    </xf>
    <xf numFmtId="183" fontId="8" fillId="2" borderId="3" xfId="0" applyNumberFormat="1" applyFont="1" applyFill="1" applyBorder="1" applyAlignment="1">
      <alignment horizontal="center" vertical="center"/>
    </xf>
    <xf numFmtId="182" fontId="8" fillId="2" borderId="3" xfId="0" applyNumberFormat="1" applyFont="1" applyFill="1" applyBorder="1" applyAlignment="1">
      <alignment horizontal="center" vertical="center"/>
    </xf>
    <xf numFmtId="182" fontId="10" fillId="2" borderId="3" xfId="0" applyNumberFormat="1" applyFont="1" applyFill="1" applyBorder="1" applyAlignment="1">
      <alignment horizontal="center" vertical="center"/>
    </xf>
    <xf numFmtId="9" fontId="8" fillId="2" borderId="3" xfId="2" applyFont="1" applyFill="1" applyBorder="1" applyAlignment="1">
      <alignment horizontal="center" vertical="center"/>
    </xf>
    <xf numFmtId="0" fontId="8" fillId="14" borderId="19" xfId="0" applyFont="1" applyFill="1" applyBorder="1" applyAlignment="1">
      <alignment horizontal="center" vertical="center"/>
    </xf>
    <xf numFmtId="182" fontId="8" fillId="2" borderId="19" xfId="0" applyNumberFormat="1" applyFont="1" applyFill="1" applyBorder="1" applyAlignment="1">
      <alignment horizontal="center" vertical="center"/>
    </xf>
    <xf numFmtId="182" fontId="8" fillId="18" borderId="22" xfId="0" applyNumberFormat="1" applyFont="1" applyFill="1" applyBorder="1" applyAlignment="1">
      <alignment horizontal="center" vertical="center"/>
    </xf>
    <xf numFmtId="9" fontId="8" fillId="18" borderId="22" xfId="2" applyFont="1" applyFill="1" applyBorder="1" applyAlignment="1">
      <alignment horizontal="center" vertical="center"/>
    </xf>
    <xf numFmtId="182" fontId="11" fillId="2" borderId="37" xfId="3" applyNumberFormat="1" applyFont="1" applyFill="1" applyBorder="1" applyAlignment="1">
      <alignment horizontal="center" vertical="center"/>
    </xf>
    <xf numFmtId="182" fontId="10" fillId="18" borderId="42" xfId="0" applyNumberFormat="1" applyFont="1" applyFill="1" applyBorder="1" applyAlignment="1">
      <alignment horizontal="center" vertical="center" wrapText="1"/>
    </xf>
    <xf numFmtId="182" fontId="8" fillId="2" borderId="2" xfId="0" applyNumberFormat="1" applyFont="1" applyFill="1" applyBorder="1" applyAlignment="1">
      <alignment horizontal="center" vertical="center"/>
    </xf>
    <xf numFmtId="0" fontId="8" fillId="10" borderId="18" xfId="0" applyFont="1" applyFill="1" applyBorder="1" applyAlignment="1">
      <alignment horizontal="center" vertical="center"/>
    </xf>
    <xf numFmtId="0" fontId="8" fillId="12" borderId="19" xfId="0" applyFont="1" applyFill="1" applyBorder="1" applyAlignment="1">
      <alignment horizontal="center" vertical="center"/>
    </xf>
    <xf numFmtId="183" fontId="8" fillId="2" borderId="18" xfId="0" applyNumberFormat="1" applyFont="1" applyFill="1" applyBorder="1" applyAlignment="1">
      <alignment horizontal="center" vertical="center"/>
    </xf>
    <xf numFmtId="183" fontId="8" fillId="2" borderId="19" xfId="0" applyNumberFormat="1" applyFont="1" applyFill="1" applyBorder="1" applyAlignment="1">
      <alignment horizontal="center" vertical="center"/>
    </xf>
    <xf numFmtId="182" fontId="8" fillId="6" borderId="18" xfId="0" applyNumberFormat="1" applyFont="1" applyFill="1" applyBorder="1" applyAlignment="1">
      <alignment horizontal="center" vertical="center"/>
    </xf>
    <xf numFmtId="182" fontId="10" fillId="5" borderId="19" xfId="0" applyNumberFormat="1" applyFont="1" applyFill="1" applyBorder="1" applyAlignment="1">
      <alignment horizontal="center" vertical="center"/>
    </xf>
    <xf numFmtId="182" fontId="8" fillId="2" borderId="18" xfId="0" applyNumberFormat="1" applyFont="1" applyFill="1" applyBorder="1" applyAlignment="1">
      <alignment horizontal="center" vertical="center"/>
    </xf>
    <xf numFmtId="182" fontId="10" fillId="2" borderId="19" xfId="0" applyNumberFormat="1" applyFont="1" applyFill="1" applyBorder="1" applyAlignment="1">
      <alignment horizontal="center" vertical="center"/>
    </xf>
    <xf numFmtId="182" fontId="8" fillId="18" borderId="21" xfId="0" applyNumberFormat="1" applyFont="1" applyFill="1" applyBorder="1" applyAlignment="1">
      <alignment horizontal="center" vertical="center"/>
    </xf>
    <xf numFmtId="182" fontId="10" fillId="18" borderId="24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9" fontId="8" fillId="2" borderId="18" xfId="2" applyFont="1" applyFill="1" applyBorder="1" applyAlignment="1">
      <alignment horizontal="center" vertical="center"/>
    </xf>
    <xf numFmtId="9" fontId="8" fillId="2" borderId="19" xfId="2" applyFont="1" applyFill="1" applyBorder="1" applyAlignment="1">
      <alignment horizontal="center" vertical="center"/>
    </xf>
    <xf numFmtId="9" fontId="8" fillId="18" borderId="21" xfId="2" applyFont="1" applyFill="1" applyBorder="1" applyAlignment="1">
      <alignment horizontal="center" vertical="center"/>
    </xf>
    <xf numFmtId="9" fontId="8" fillId="18" borderId="24" xfId="2" applyFont="1" applyFill="1" applyBorder="1" applyAlignment="1">
      <alignment horizontal="center" vertical="center"/>
    </xf>
    <xf numFmtId="182" fontId="8" fillId="15" borderId="2" xfId="0" applyNumberFormat="1" applyFont="1" applyFill="1" applyBorder="1" applyAlignment="1">
      <alignment horizontal="center" vertical="center"/>
    </xf>
    <xf numFmtId="0" fontId="8" fillId="8" borderId="18" xfId="0" applyFont="1" applyFill="1" applyBorder="1" applyAlignment="1">
      <alignment horizontal="center" vertical="center"/>
    </xf>
    <xf numFmtId="182" fontId="10" fillId="15" borderId="18" xfId="0" quotePrefix="1" applyNumberFormat="1" applyFont="1" applyFill="1" applyBorder="1" applyAlignment="1">
      <alignment horizontal="center" vertical="center"/>
    </xf>
    <xf numFmtId="182" fontId="10" fillId="17" borderId="19" xfId="0" quotePrefix="1" applyNumberFormat="1" applyFont="1" applyFill="1" applyBorder="1" applyAlignment="1">
      <alignment horizontal="center" vertical="center"/>
    </xf>
    <xf numFmtId="182" fontId="10" fillId="15" borderId="18" xfId="0" applyNumberFormat="1" applyFont="1" applyFill="1" applyBorder="1" applyAlignment="1">
      <alignment horizontal="center" vertical="center"/>
    </xf>
    <xf numFmtId="182" fontId="10" fillId="2" borderId="18" xfId="0" applyNumberFormat="1" applyFont="1" applyFill="1" applyBorder="1" applyAlignment="1">
      <alignment horizontal="center" vertical="center"/>
    </xf>
    <xf numFmtId="182" fontId="10" fillId="18" borderId="21" xfId="0" quotePrefix="1" applyNumberFormat="1" applyFont="1" applyFill="1" applyBorder="1" applyAlignment="1">
      <alignment horizontal="center" vertical="center"/>
    </xf>
    <xf numFmtId="182" fontId="10" fillId="18" borderId="22" xfId="0" quotePrefix="1" applyNumberFormat="1" applyFont="1" applyFill="1" applyBorder="1" applyAlignment="1">
      <alignment horizontal="center" vertical="center"/>
    </xf>
    <xf numFmtId="182" fontId="10" fillId="18" borderId="24" xfId="0" quotePrefix="1" applyNumberFormat="1" applyFont="1" applyFill="1" applyBorder="1" applyAlignment="1">
      <alignment horizontal="center" vertical="center"/>
    </xf>
    <xf numFmtId="182" fontId="10" fillId="18" borderId="23" xfId="0" quotePrefix="1" applyNumberFormat="1" applyFont="1" applyFill="1" applyBorder="1" applyAlignment="1">
      <alignment horizontal="center" vertical="center"/>
    </xf>
    <xf numFmtId="182" fontId="16" fillId="0" borderId="43" xfId="0" applyNumberFormat="1" applyFont="1" applyBorder="1" applyAlignment="1">
      <alignment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182" fontId="5" fillId="0" borderId="8" xfId="0" applyNumberFormat="1" applyFont="1" applyBorder="1" applyAlignment="1">
      <alignment horizontal="center" vertical="center" wrapText="1"/>
    </xf>
    <xf numFmtId="182" fontId="5" fillId="0" borderId="9" xfId="0" applyNumberFormat="1" applyFont="1" applyBorder="1" applyAlignment="1">
      <alignment horizontal="center" vertical="center" wrapText="1"/>
    </xf>
    <xf numFmtId="182" fontId="7" fillId="0" borderId="10" xfId="0" applyNumberFormat="1" applyFont="1" applyBorder="1" applyAlignment="1">
      <alignment horizontal="right" vertical="center"/>
    </xf>
    <xf numFmtId="182" fontId="7" fillId="0" borderId="10" xfId="0" applyNumberFormat="1" applyFont="1" applyBorder="1" applyAlignment="1">
      <alignment horizontal="left" vertical="center"/>
    </xf>
    <xf numFmtId="182" fontId="7" fillId="0" borderId="11" xfId="0" applyNumberFormat="1" applyFont="1" applyBorder="1" applyAlignment="1">
      <alignment horizontal="left" vertical="center"/>
    </xf>
    <xf numFmtId="182" fontId="9" fillId="2" borderId="8" xfId="0" applyNumberFormat="1" applyFont="1" applyFill="1" applyBorder="1" applyAlignment="1">
      <alignment horizontal="center" vertical="center"/>
    </xf>
    <xf numFmtId="182" fontId="9" fillId="2" borderId="9" xfId="0" applyNumberFormat="1" applyFont="1" applyFill="1" applyBorder="1" applyAlignment="1">
      <alignment horizontal="center" vertical="center"/>
    </xf>
    <xf numFmtId="182" fontId="9" fillId="2" borderId="12" xfId="0" applyNumberFormat="1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/>
    </xf>
    <xf numFmtId="182" fontId="7" fillId="0" borderId="8" xfId="0" applyNumberFormat="1" applyFont="1" applyBorder="1" applyAlignment="1">
      <alignment horizontal="center" vertical="center" wrapText="1"/>
    </xf>
    <xf numFmtId="182" fontId="7" fillId="0" borderId="9" xfId="0" applyNumberFormat="1" applyFont="1" applyBorder="1" applyAlignment="1">
      <alignment horizontal="center" vertical="center" wrapText="1"/>
    </xf>
    <xf numFmtId="182" fontId="16" fillId="0" borderId="9" xfId="0" applyNumberFormat="1" applyFont="1" applyBorder="1" applyAlignment="1">
      <alignment horizontal="left" vertical="center" wrapText="1"/>
    </xf>
    <xf numFmtId="182" fontId="16" fillId="0" borderId="12" xfId="0" applyNumberFormat="1" applyFont="1" applyBorder="1" applyAlignment="1">
      <alignment horizontal="left" vertical="center" wrapText="1"/>
    </xf>
    <xf numFmtId="182" fontId="7" fillId="9" borderId="8" xfId="0" applyNumberFormat="1" applyFont="1" applyFill="1" applyBorder="1" applyAlignment="1">
      <alignment horizontal="center" vertical="center" wrapText="1"/>
    </xf>
    <xf numFmtId="182" fontId="7" fillId="9" borderId="9" xfId="0" applyNumberFormat="1" applyFont="1" applyFill="1" applyBorder="1" applyAlignment="1">
      <alignment horizontal="center" vertical="center" wrapText="1"/>
    </xf>
    <xf numFmtId="182" fontId="7" fillId="9" borderId="12" xfId="0" applyNumberFormat="1" applyFont="1" applyFill="1" applyBorder="1" applyAlignment="1">
      <alignment horizontal="center" vertical="center" wrapText="1"/>
    </xf>
    <xf numFmtId="182" fontId="7" fillId="0" borderId="9" xfId="0" applyNumberFormat="1" applyFont="1" applyBorder="1" applyAlignment="1">
      <alignment horizontal="right" vertical="center"/>
    </xf>
    <xf numFmtId="182" fontId="7" fillId="0" borderId="9" xfId="0" applyNumberFormat="1" applyFont="1" applyBorder="1" applyAlignment="1">
      <alignment horizontal="left" vertical="center"/>
    </xf>
    <xf numFmtId="182" fontId="7" fillId="0" borderId="12" xfId="0" applyNumberFormat="1" applyFont="1" applyBorder="1" applyAlignment="1">
      <alignment horizontal="left" vertical="center"/>
    </xf>
    <xf numFmtId="182" fontId="10" fillId="2" borderId="25" xfId="0" applyNumberFormat="1" applyFont="1" applyFill="1" applyBorder="1" applyAlignment="1">
      <alignment horizontal="center" vertical="center"/>
    </xf>
    <xf numFmtId="182" fontId="10" fillId="2" borderId="29" xfId="0" applyNumberFormat="1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182" fontId="9" fillId="9" borderId="9" xfId="0" applyNumberFormat="1" applyFont="1" applyFill="1" applyBorder="1" applyAlignment="1">
      <alignment horizontal="center" vertical="center"/>
    </xf>
    <xf numFmtId="182" fontId="9" fillId="9" borderId="12" xfId="0" applyNumberFormat="1" applyFont="1" applyFill="1" applyBorder="1" applyAlignment="1">
      <alignment horizontal="center" vertical="center"/>
    </xf>
    <xf numFmtId="182" fontId="9" fillId="9" borderId="8" xfId="0" applyNumberFormat="1" applyFont="1" applyFill="1" applyBorder="1" applyAlignment="1">
      <alignment horizontal="center" vertical="center"/>
    </xf>
    <xf numFmtId="182" fontId="7" fillId="0" borderId="26" xfId="0" applyNumberFormat="1" applyFont="1" applyBorder="1" applyAlignment="1">
      <alignment horizontal="center" vertical="center" wrapText="1"/>
    </xf>
    <xf numFmtId="182" fontId="7" fillId="0" borderId="27" xfId="0" applyNumberFormat="1" applyFont="1" applyBorder="1" applyAlignment="1">
      <alignment horizontal="center" vertical="center" wrapText="1"/>
    </xf>
    <xf numFmtId="182" fontId="7" fillId="0" borderId="28" xfId="0" applyNumberFormat="1" applyFont="1" applyBorder="1" applyAlignment="1">
      <alignment horizontal="center" vertical="center" wrapText="1"/>
    </xf>
    <xf numFmtId="182" fontId="16" fillId="0" borderId="27" xfId="0" applyNumberFormat="1" applyFont="1" applyBorder="1" applyAlignment="1">
      <alignment horizontal="left" vertical="center" wrapText="1"/>
    </xf>
    <xf numFmtId="182" fontId="7" fillId="9" borderId="27" xfId="0" applyNumberFormat="1" applyFont="1" applyFill="1" applyBorder="1" applyAlignment="1">
      <alignment horizontal="center" vertical="center" wrapText="1"/>
    </xf>
    <xf numFmtId="182" fontId="7" fillId="9" borderId="28" xfId="0" applyNumberFormat="1" applyFont="1" applyFill="1" applyBorder="1" applyAlignment="1">
      <alignment horizontal="center" vertical="center" wrapText="1"/>
    </xf>
    <xf numFmtId="182" fontId="10" fillId="2" borderId="34" xfId="0" applyNumberFormat="1" applyFont="1" applyFill="1" applyBorder="1" applyAlignment="1">
      <alignment horizontal="center" vertical="center"/>
    </xf>
    <xf numFmtId="182" fontId="10" fillId="2" borderId="37" xfId="0" applyNumberFormat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182" fontId="9" fillId="9" borderId="13" xfId="0" applyNumberFormat="1" applyFont="1" applyFill="1" applyBorder="1" applyAlignment="1">
      <alignment horizontal="center" vertical="center"/>
    </xf>
    <xf numFmtId="182" fontId="9" fillId="9" borderId="14" xfId="0" applyNumberFormat="1" applyFont="1" applyFill="1" applyBorder="1" applyAlignment="1">
      <alignment horizontal="center" vertical="center"/>
    </xf>
    <xf numFmtId="182" fontId="9" fillId="9" borderId="16" xfId="0" applyNumberFormat="1" applyFont="1" applyFill="1" applyBorder="1" applyAlignment="1">
      <alignment horizontal="center" vertical="center"/>
    </xf>
    <xf numFmtId="182" fontId="9" fillId="9" borderId="7" xfId="0" applyNumberFormat="1" applyFont="1" applyFill="1" applyBorder="1" applyAlignment="1">
      <alignment horizontal="center" vertical="center"/>
    </xf>
    <xf numFmtId="182" fontId="9" fillId="9" borderId="4" xfId="0" applyNumberFormat="1" applyFont="1" applyFill="1" applyBorder="1" applyAlignment="1">
      <alignment horizontal="center" vertical="center"/>
    </xf>
    <xf numFmtId="182" fontId="9" fillId="9" borderId="36" xfId="0" applyNumberFormat="1" applyFont="1" applyFill="1" applyBorder="1" applyAlignment="1">
      <alignment horizontal="center" vertical="center"/>
    </xf>
    <xf numFmtId="182" fontId="20" fillId="7" borderId="4" xfId="0" applyNumberFormat="1" applyFont="1" applyFill="1" applyBorder="1" applyAlignment="1">
      <alignment horizontal="center" vertical="center"/>
    </xf>
    <xf numFmtId="182" fontId="20" fillId="6" borderId="35" xfId="0" applyNumberFormat="1" applyFont="1" applyFill="1" applyBorder="1" applyAlignment="1">
      <alignment horizontal="center" vertical="center"/>
    </xf>
    <xf numFmtId="182" fontId="18" fillId="5" borderId="36" xfId="0" applyNumberFormat="1" applyFont="1" applyFill="1" applyBorder="1" applyAlignment="1">
      <alignment horizontal="center" vertical="center"/>
    </xf>
    <xf numFmtId="182" fontId="17" fillId="16" borderId="2" xfId="0" quotePrefix="1" applyNumberFormat="1" applyFont="1" applyFill="1" applyBorder="1" applyAlignment="1">
      <alignment horizontal="center" vertical="center"/>
    </xf>
    <xf numFmtId="182" fontId="17" fillId="16" borderId="2" xfId="0" applyNumberFormat="1" applyFont="1" applyFill="1" applyBorder="1" applyAlignment="1">
      <alignment horizontal="center" vertical="center"/>
    </xf>
    <xf numFmtId="182" fontId="17" fillId="16" borderId="5" xfId="0" applyNumberFormat="1" applyFont="1" applyFill="1" applyBorder="1" applyAlignment="1">
      <alignment horizontal="center" vertical="center"/>
    </xf>
    <xf numFmtId="182" fontId="17" fillId="17" borderId="1" xfId="0" quotePrefix="1" applyNumberFormat="1" applyFont="1" applyFill="1" applyBorder="1" applyAlignment="1">
      <alignment horizontal="center" vertical="center"/>
    </xf>
    <xf numFmtId="182" fontId="17" fillId="15" borderId="3" xfId="0" quotePrefix="1" applyNumberFormat="1" applyFont="1" applyFill="1" applyBorder="1" applyAlignment="1">
      <alignment horizontal="center" vertical="center"/>
    </xf>
    <xf numFmtId="182" fontId="17" fillId="15" borderId="3" xfId="0" applyNumberFormat="1" applyFont="1" applyFill="1" applyBorder="1" applyAlignment="1">
      <alignment horizontal="center" vertical="center"/>
    </xf>
    <xf numFmtId="182" fontId="17" fillId="15" borderId="6" xfId="0" applyNumberFormat="1" applyFont="1" applyFill="1" applyBorder="1" applyAlignment="1">
      <alignment horizontal="center" vertical="center"/>
    </xf>
  </cellXfs>
  <cellStyles count="4">
    <cellStyle name="一般" xfId="0" builtinId="0"/>
    <cellStyle name="一般 3" xfId="3" xr:uid="{E1CCBC05-D674-427C-BB89-3F1066EEDEE1}"/>
    <cellStyle name="一般 5" xfId="1" xr:uid="{D625C8AA-BDB4-46CA-90AF-A4761315BDB3}"/>
    <cellStyle name="百分比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72.16.0.5\&#23458;&#25151;&#20107;&#26989;&#34389;\VIP&#36039;&#26009;&#22846;&#20844;&#27284;\1.VIP%20Report\2025&#24180;\2025%20&#40657;&#21345;&#36879;&#36942;LINE&#23458;&#26381;&#35330;&#25151;&#32000;&#37636;.xlsb" TargetMode="External"/><Relationship Id="rId1" Type="http://schemas.openxmlformats.org/officeDocument/2006/relationships/externalLinkPath" Target="file:///\\172.16.0.5\&#23458;&#25151;&#20107;&#26989;&#34389;\VIP&#36039;&#26009;&#22846;&#20844;&#27284;\1.VIP%20Report\2025&#24180;\2025%20&#40657;&#21345;&#36879;&#36942;LINE&#23458;&#26381;&#35330;&#25151;&#32000;&#37636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總表"/>
      <sheetName val="春福+煙波黑卡使用率"/>
      <sheetName val="1月"/>
      <sheetName val="1月取消"/>
      <sheetName val="2月"/>
      <sheetName val="2月取消"/>
      <sheetName val="3月"/>
      <sheetName val="3月取消"/>
      <sheetName val="4月"/>
      <sheetName val="4月取消"/>
      <sheetName val="5月"/>
      <sheetName val="5月取消"/>
      <sheetName val="6月"/>
      <sheetName val="6月取消"/>
      <sheetName val="7月"/>
      <sheetName val="7月取消"/>
      <sheetName val="8月"/>
      <sheetName val="8月取消"/>
      <sheetName val="9月訂房"/>
      <sheetName val="9月取消"/>
      <sheetName val="10月訂房"/>
      <sheetName val="10月取消"/>
      <sheetName val="11月訂房"/>
      <sheetName val="11月取消"/>
      <sheetName val="12月訂房"/>
      <sheetName val="12月取消"/>
      <sheetName val="每月訂房(空白)"/>
      <sheetName val="每月取消(空白)"/>
      <sheetName val="選單"/>
      <sheetName val="單天訂房數超過三間"/>
    </sheetNames>
    <sheetDataSet>
      <sheetData sheetId="0"/>
      <sheetData sheetId="1"/>
      <sheetData sheetId="2">
        <row r="83">
          <cell r="P83">
            <v>135</v>
          </cell>
          <cell r="S83">
            <v>79</v>
          </cell>
          <cell r="V83">
            <v>759418</v>
          </cell>
          <cell r="W83">
            <v>5625.3185185185184</v>
          </cell>
        </row>
      </sheetData>
      <sheetData sheetId="3"/>
      <sheetData sheetId="4">
        <row r="105">
          <cell r="P105">
            <v>183</v>
          </cell>
          <cell r="S105">
            <v>101</v>
          </cell>
          <cell r="V105">
            <v>1059681</v>
          </cell>
          <cell r="W105">
            <v>5790.6065573770493</v>
          </cell>
        </row>
      </sheetData>
      <sheetData sheetId="5"/>
      <sheetData sheetId="6">
        <row r="121">
          <cell r="P121">
            <v>171</v>
          </cell>
          <cell r="S121">
            <v>117</v>
          </cell>
          <cell r="V121">
            <v>1012189</v>
          </cell>
          <cell r="W121">
            <v>5919.2339181286552</v>
          </cell>
        </row>
      </sheetData>
      <sheetData sheetId="7"/>
      <sheetData sheetId="8">
        <row r="96">
          <cell r="P96">
            <v>131</v>
          </cell>
          <cell r="S96">
            <v>92</v>
          </cell>
          <cell r="V96">
            <v>721414</v>
          </cell>
          <cell r="W96">
            <v>5506.9770992366412</v>
          </cell>
        </row>
      </sheetData>
      <sheetData sheetId="9"/>
      <sheetData sheetId="10">
        <row r="104">
          <cell r="P104">
            <v>124</v>
          </cell>
          <cell r="S104">
            <v>100</v>
          </cell>
          <cell r="V104">
            <v>634377</v>
          </cell>
          <cell r="W104">
            <v>5115.9435483870966</v>
          </cell>
        </row>
      </sheetData>
      <sheetData sheetId="11"/>
      <sheetData sheetId="12">
        <row r="100">
          <cell r="P100">
            <v>134</v>
          </cell>
          <cell r="S100">
            <v>96</v>
          </cell>
          <cell r="V100">
            <v>734354</v>
          </cell>
          <cell r="W100">
            <v>5480.253731343284</v>
          </cell>
        </row>
      </sheetData>
      <sheetData sheetId="13"/>
      <sheetData sheetId="14">
        <row r="106">
          <cell r="P106">
            <v>143</v>
          </cell>
          <cell r="S106">
            <v>102</v>
          </cell>
          <cell r="V106">
            <v>868073</v>
          </cell>
          <cell r="W106">
            <v>6070.4405594405598</v>
          </cell>
        </row>
      </sheetData>
      <sheetData sheetId="15"/>
      <sheetData sheetId="16">
        <row r="95">
          <cell r="P95">
            <v>122</v>
          </cell>
          <cell r="S95">
            <v>91</v>
          </cell>
          <cell r="V95">
            <v>713722</v>
          </cell>
          <cell r="W95">
            <v>5850.1803278688521</v>
          </cell>
        </row>
      </sheetData>
      <sheetData sheetId="17"/>
      <sheetData sheetId="18">
        <row r="111">
          <cell r="P111">
            <v>122</v>
          </cell>
          <cell r="S111">
            <v>93</v>
          </cell>
          <cell r="V111">
            <v>711267</v>
          </cell>
          <cell r="W111">
            <v>5830.0573770491801</v>
          </cell>
        </row>
      </sheetData>
      <sheetData sheetId="19"/>
      <sheetData sheetId="20">
        <row r="216">
          <cell r="P216">
            <v>387</v>
          </cell>
          <cell r="S216">
            <v>206</v>
          </cell>
          <cell r="V216">
            <v>2357916</v>
          </cell>
          <cell r="W216">
            <v>6092.8062015503874</v>
          </cell>
        </row>
      </sheetData>
      <sheetData sheetId="21"/>
      <sheetData sheetId="22">
        <row r="159">
          <cell r="P159">
            <v>264</v>
          </cell>
          <cell r="S159">
            <v>150</v>
          </cell>
          <cell r="V159">
            <v>1442482</v>
          </cell>
          <cell r="W159">
            <v>5463.94696969697</v>
          </cell>
        </row>
      </sheetData>
      <sheetData sheetId="23"/>
      <sheetData sheetId="24">
        <row r="170">
          <cell r="P170">
            <v>231</v>
          </cell>
          <cell r="S170">
            <v>159</v>
          </cell>
          <cell r="V170">
            <v>1326676</v>
          </cell>
          <cell r="W170">
            <v>5743.1861471861475</v>
          </cell>
        </row>
      </sheetData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C7650FD-A4DF-4BED-B59A-2ED74DDD6D79}">
  <we:reference id="wa200010215" version="1.0.0.0" store="zh-TW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00084-9D48-4ADC-B290-019F52B38B5B}">
  <dimension ref="A1:AJ55"/>
  <sheetViews>
    <sheetView tabSelected="1" topLeftCell="B17" zoomScale="70" zoomScaleNormal="70" workbookViewId="0">
      <selection activeCell="E37" sqref="E37"/>
    </sheetView>
  </sheetViews>
  <sheetFormatPr defaultColWidth="9.09765625" defaultRowHeight="14.5" x14ac:dyDescent="0.35"/>
  <cols>
    <col min="1" max="1" width="13" style="1" customWidth="1"/>
    <col min="2" max="2" width="13.69921875" style="1" bestFit="1" customWidth="1"/>
    <col min="3" max="3" width="12.59765625" style="1" bestFit="1" customWidth="1"/>
    <col min="4" max="4" width="11.09765625" style="1" bestFit="1" customWidth="1"/>
    <col min="5" max="5" width="9.59765625" style="1" bestFit="1" customWidth="1"/>
    <col min="6" max="6" width="15.3984375" style="1" bestFit="1" customWidth="1"/>
    <col min="7" max="7" width="8.8984375" style="1" customWidth="1"/>
    <col min="8" max="8" width="11.09765625" style="1" bestFit="1" customWidth="1"/>
    <col min="9" max="9" width="11.3984375" style="1" customWidth="1"/>
    <col min="10" max="10" width="11.59765625" style="1" customWidth="1"/>
    <col min="11" max="11" width="12.59765625" style="1" bestFit="1" customWidth="1"/>
    <col min="12" max="12" width="11.59765625" style="1" bestFit="1" customWidth="1"/>
    <col min="13" max="13" width="8.09765625" style="1" bestFit="1" customWidth="1"/>
    <col min="14" max="14" width="11.59765625" style="1" bestFit="1" customWidth="1"/>
    <col min="15" max="15" width="13.09765625" style="1" bestFit="1" customWidth="1"/>
    <col min="16" max="16" width="9.09765625" style="1" bestFit="1"/>
    <col min="17" max="17" width="11.3984375" style="1" bestFit="1" customWidth="1"/>
    <col min="18" max="18" width="9.3984375" style="1" bestFit="1" customWidth="1"/>
    <col min="19" max="19" width="0.69921875" style="1" customWidth="1"/>
    <col min="20" max="20" width="18.3984375" style="1" bestFit="1" customWidth="1"/>
    <col min="21" max="21" width="13.8984375" style="1" bestFit="1" customWidth="1"/>
    <col min="22" max="22" width="15.59765625" style="1" bestFit="1" customWidth="1"/>
    <col min="23" max="30" width="13.59765625" style="1" customWidth="1"/>
    <col min="31" max="31" width="14" style="1" bestFit="1" customWidth="1"/>
    <col min="32" max="32" width="13.8984375" style="1" bestFit="1" customWidth="1"/>
    <col min="33" max="33" width="13.69921875" style="1" bestFit="1" customWidth="1"/>
    <col min="34" max="34" width="14" style="1" bestFit="1" customWidth="1"/>
    <col min="35" max="35" width="11.09765625" style="1" bestFit="1" customWidth="1"/>
    <col min="36" max="36" width="23.296875" style="1" customWidth="1"/>
    <col min="37" max="38" width="9.09765625" style="1" bestFit="1"/>
    <col min="39" max="41" width="9.09765625" style="1"/>
    <col min="42" max="42" width="8.09765625" style="1" bestFit="1" customWidth="1"/>
    <col min="43" max="43" width="20.09765625" style="1" customWidth="1"/>
    <col min="44" max="44" width="12.3984375" style="1" bestFit="1" customWidth="1"/>
    <col min="45" max="46" width="9.09765625" style="1"/>
    <col min="47" max="47" width="12.3984375" style="1" bestFit="1" customWidth="1"/>
    <col min="48" max="16384" width="9.09765625" style="1"/>
  </cols>
  <sheetData>
    <row r="1" spans="1:35" ht="29.25" hidden="1" customHeight="1" thickBot="1" x14ac:dyDescent="0.4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4" t="s">
        <v>1</v>
      </c>
      <c r="N1" s="134"/>
      <c r="O1" s="135">
        <v>10000000</v>
      </c>
      <c r="P1" s="135"/>
      <c r="Q1" s="135"/>
      <c r="R1" s="136"/>
    </row>
    <row r="2" spans="1:35" ht="16" hidden="1" thickBot="1" x14ac:dyDescent="0.4">
      <c r="A2" s="137" t="s">
        <v>2</v>
      </c>
      <c r="B2" s="138"/>
      <c r="C2" s="138"/>
      <c r="D2" s="138"/>
      <c r="E2" s="138"/>
      <c r="F2" s="138"/>
      <c r="G2" s="138"/>
      <c r="H2" s="138"/>
      <c r="I2" s="138"/>
      <c r="J2" s="2"/>
      <c r="K2" s="137" t="s">
        <v>3</v>
      </c>
      <c r="L2" s="138"/>
      <c r="M2" s="138"/>
      <c r="N2" s="139"/>
      <c r="O2" s="137" t="s">
        <v>4</v>
      </c>
      <c r="P2" s="138"/>
      <c r="Q2" s="138"/>
      <c r="R2" s="139"/>
    </row>
    <row r="3" spans="1:35" ht="26" hidden="1" x14ac:dyDescent="0.35">
      <c r="A3" s="3" t="s">
        <v>5</v>
      </c>
      <c r="B3" s="4" t="s">
        <v>6</v>
      </c>
      <c r="C3" s="4" t="s">
        <v>7</v>
      </c>
      <c r="D3" s="4" t="s">
        <v>8</v>
      </c>
      <c r="E3" s="5" t="s">
        <v>9</v>
      </c>
      <c r="F3" s="4" t="s">
        <v>10</v>
      </c>
      <c r="G3" s="4" t="s">
        <v>11</v>
      </c>
      <c r="H3" s="4" t="s">
        <v>12</v>
      </c>
      <c r="I3" s="4" t="s">
        <v>13</v>
      </c>
      <c r="J3" s="6" t="s">
        <v>14</v>
      </c>
      <c r="K3" s="7" t="s">
        <v>15</v>
      </c>
      <c r="L3" s="5" t="s">
        <v>9</v>
      </c>
      <c r="M3" s="4" t="s">
        <v>11</v>
      </c>
      <c r="N3" s="8" t="s">
        <v>13</v>
      </c>
      <c r="O3" s="9" t="s">
        <v>16</v>
      </c>
      <c r="P3" s="5" t="s">
        <v>9</v>
      </c>
      <c r="Q3" s="4" t="s">
        <v>11</v>
      </c>
      <c r="R3" s="8" t="s">
        <v>17</v>
      </c>
    </row>
    <row r="4" spans="1:35" ht="15.5" hidden="1" x14ac:dyDescent="0.35">
      <c r="A4" s="10" t="s">
        <v>18</v>
      </c>
      <c r="B4" s="11">
        <v>759519.66</v>
      </c>
      <c r="C4" s="12">
        <f>'[1]1月'!V83</f>
        <v>759418</v>
      </c>
      <c r="D4" s="13">
        <f>C4/B4</f>
        <v>0.99986615224680286</v>
      </c>
      <c r="E4" s="11">
        <f>'[1]1月'!W83</f>
        <v>5625.3185185185184</v>
      </c>
      <c r="F4" s="14">
        <f>C4-B4</f>
        <v>-101.6600000000326</v>
      </c>
      <c r="G4" s="11">
        <f>'[1]1月'!P83</f>
        <v>135</v>
      </c>
      <c r="H4" s="11">
        <f>G4-M15</f>
        <v>18</v>
      </c>
      <c r="I4" s="11">
        <f>'[1]1月'!S83</f>
        <v>79</v>
      </c>
      <c r="J4" s="15">
        <f>I4-N15</f>
        <v>9</v>
      </c>
      <c r="K4" s="16">
        <v>534873</v>
      </c>
      <c r="L4" s="17">
        <v>5457.8877551020405</v>
      </c>
      <c r="M4" s="17">
        <v>98</v>
      </c>
      <c r="N4" s="18">
        <v>53</v>
      </c>
      <c r="O4" s="19">
        <f>C4-K4</f>
        <v>224545</v>
      </c>
      <c r="P4" s="20">
        <f t="shared" ref="P4:P15" si="0">E4-L4</f>
        <v>167.43076341647793</v>
      </c>
      <c r="Q4" s="20">
        <f t="shared" ref="Q4:Q15" si="1">G4-M4</f>
        <v>37</v>
      </c>
      <c r="R4" s="21">
        <f t="shared" ref="R4:R15" si="2">I4-N4</f>
        <v>26</v>
      </c>
    </row>
    <row r="5" spans="1:35" ht="15.5" hidden="1" x14ac:dyDescent="0.35">
      <c r="A5" s="10" t="s">
        <v>19</v>
      </c>
      <c r="B5" s="11">
        <v>870453.3600000001</v>
      </c>
      <c r="C5" s="12">
        <f>'[1]2月'!V105</f>
        <v>1059681</v>
      </c>
      <c r="D5" s="13">
        <f>C5/B5</f>
        <v>1.217389751933406</v>
      </c>
      <c r="E5" s="11">
        <f>'[1]2月'!W105</f>
        <v>5790.6065573770493</v>
      </c>
      <c r="F5" s="14">
        <f>C5-B5</f>
        <v>189227.6399999999</v>
      </c>
      <c r="G5" s="11">
        <f>'[1]2月'!P105</f>
        <v>183</v>
      </c>
      <c r="H5" s="11">
        <f>G5-G4</f>
        <v>48</v>
      </c>
      <c r="I5" s="11">
        <f>'[1]2月'!S105</f>
        <v>101</v>
      </c>
      <c r="J5" s="15">
        <f>I5-I4</f>
        <v>22</v>
      </c>
      <c r="K5" s="22">
        <v>518127</v>
      </c>
      <c r="L5" s="17">
        <v>7097.6301369863013</v>
      </c>
      <c r="M5" s="17">
        <v>73</v>
      </c>
      <c r="N5" s="18">
        <v>50</v>
      </c>
      <c r="O5" s="23">
        <f t="shared" ref="O5:O15" si="3">C5-K5</f>
        <v>541554</v>
      </c>
      <c r="P5" s="11">
        <f>E5-L5</f>
        <v>-1307.023579609252</v>
      </c>
      <c r="Q5" s="11">
        <f>G5-M5</f>
        <v>110</v>
      </c>
      <c r="R5" s="24">
        <f>I5-N5</f>
        <v>51</v>
      </c>
    </row>
    <row r="6" spans="1:35" ht="15.5" hidden="1" x14ac:dyDescent="0.35">
      <c r="A6" s="10" t="s">
        <v>20</v>
      </c>
      <c r="B6" s="11">
        <v>1118251</v>
      </c>
      <c r="C6" s="12">
        <f>'[1]3月'!V121</f>
        <v>1012189</v>
      </c>
      <c r="D6" s="25">
        <f t="shared" ref="D6:D15" si="4">C6/B6</f>
        <v>0.90515367301258842</v>
      </c>
      <c r="E6" s="11">
        <f>'[1]3月'!W121</f>
        <v>5919.2339181286552</v>
      </c>
      <c r="F6" s="14">
        <f>C6-B6</f>
        <v>-106062</v>
      </c>
      <c r="G6" s="11">
        <f>'[1]3月'!P121</f>
        <v>171</v>
      </c>
      <c r="H6" s="11">
        <f>G6-G5</f>
        <v>-12</v>
      </c>
      <c r="I6" s="11">
        <f>'[1]3月'!S121</f>
        <v>117</v>
      </c>
      <c r="J6" s="15">
        <f>I6-I5</f>
        <v>16</v>
      </c>
      <c r="K6" s="16">
        <v>874499</v>
      </c>
      <c r="L6" s="17">
        <v>6291.3597122302162</v>
      </c>
      <c r="M6" s="17">
        <v>139</v>
      </c>
      <c r="N6" s="18">
        <v>97</v>
      </c>
      <c r="O6" s="23">
        <f t="shared" si="3"/>
        <v>137690</v>
      </c>
      <c r="P6" s="11">
        <f t="shared" si="0"/>
        <v>-372.12579410156104</v>
      </c>
      <c r="Q6" s="11">
        <f t="shared" si="1"/>
        <v>32</v>
      </c>
      <c r="R6" s="24">
        <f t="shared" si="2"/>
        <v>20</v>
      </c>
    </row>
    <row r="7" spans="1:35" ht="15.5" hidden="1" x14ac:dyDescent="0.35">
      <c r="A7" s="10" t="s">
        <v>21</v>
      </c>
      <c r="B7" s="11">
        <v>649060.9</v>
      </c>
      <c r="C7" s="12">
        <f>'[1]4月'!V96</f>
        <v>721414</v>
      </c>
      <c r="D7" s="13">
        <f t="shared" si="4"/>
        <v>1.1114735150430415</v>
      </c>
      <c r="E7" s="11">
        <f>'[1]4月'!W96</f>
        <v>5506.9770992366412</v>
      </c>
      <c r="F7" s="14">
        <f t="shared" ref="F7:F15" si="5">C7-B7</f>
        <v>72353.099999999977</v>
      </c>
      <c r="G7" s="11">
        <f>'[1]4月'!P96</f>
        <v>131</v>
      </c>
      <c r="H7" s="11">
        <f>G7-G6</f>
        <v>-40</v>
      </c>
      <c r="I7" s="11">
        <f>'[1]4月'!S96</f>
        <v>92</v>
      </c>
      <c r="J7" s="15">
        <f t="shared" ref="J7:J15" si="6">I7-I6</f>
        <v>-25</v>
      </c>
      <c r="K7" s="22">
        <v>341611</v>
      </c>
      <c r="L7" s="17">
        <v>6569.4423076923076</v>
      </c>
      <c r="M7" s="26">
        <v>52</v>
      </c>
      <c r="N7" s="18">
        <v>41</v>
      </c>
      <c r="O7" s="23">
        <f t="shared" si="3"/>
        <v>379803</v>
      </c>
      <c r="P7" s="11">
        <f t="shared" si="0"/>
        <v>-1062.4652084556665</v>
      </c>
      <c r="Q7" s="11">
        <f t="shared" si="1"/>
        <v>79</v>
      </c>
      <c r="R7" s="24">
        <f t="shared" si="2"/>
        <v>51</v>
      </c>
    </row>
    <row r="8" spans="1:35" ht="15.5" hidden="1" x14ac:dyDescent="0.35">
      <c r="A8" s="10" t="s">
        <v>22</v>
      </c>
      <c r="B8" s="11">
        <v>799885.37</v>
      </c>
      <c r="C8" s="12">
        <f>'[1]5月'!V104</f>
        <v>634377</v>
      </c>
      <c r="D8" s="25">
        <f t="shared" si="4"/>
        <v>0.79308488915105424</v>
      </c>
      <c r="E8" s="11">
        <f>'[1]5月'!W104</f>
        <v>5115.9435483870966</v>
      </c>
      <c r="F8" s="14">
        <f t="shared" si="5"/>
        <v>-165508.37</v>
      </c>
      <c r="G8" s="11">
        <f>'[1]5月'!P104</f>
        <v>124</v>
      </c>
      <c r="H8" s="11">
        <f t="shared" ref="H8:H15" si="7">G8-G7</f>
        <v>-7</v>
      </c>
      <c r="I8" s="11">
        <f>'[1]5月'!S104</f>
        <v>100</v>
      </c>
      <c r="J8" s="15">
        <f t="shared" si="6"/>
        <v>8</v>
      </c>
      <c r="K8" s="16">
        <v>617090</v>
      </c>
      <c r="L8" s="17">
        <v>6170.9</v>
      </c>
      <c r="M8" s="17">
        <v>100</v>
      </c>
      <c r="N8" s="18">
        <v>76</v>
      </c>
      <c r="O8" s="23">
        <f t="shared" si="3"/>
        <v>17287</v>
      </c>
      <c r="P8" s="11">
        <f t="shared" si="0"/>
        <v>-1054.956451612903</v>
      </c>
      <c r="Q8" s="11">
        <f t="shared" si="1"/>
        <v>24</v>
      </c>
      <c r="R8" s="24">
        <f t="shared" si="2"/>
        <v>24</v>
      </c>
    </row>
    <row r="9" spans="1:35" ht="15.5" hidden="1" x14ac:dyDescent="0.35">
      <c r="A9" s="10" t="s">
        <v>23</v>
      </c>
      <c r="B9" s="11">
        <v>749617.41999999993</v>
      </c>
      <c r="C9" s="12">
        <f>'[1]6月'!V100</f>
        <v>734354</v>
      </c>
      <c r="D9" s="25">
        <f t="shared" si="4"/>
        <v>0.97963838673866477</v>
      </c>
      <c r="E9" s="11">
        <f>'[1]6月'!W100</f>
        <v>5480.253731343284</v>
      </c>
      <c r="F9" s="14">
        <f t="shared" si="5"/>
        <v>-15263.419999999925</v>
      </c>
      <c r="G9" s="11">
        <f>'[1]6月'!P100</f>
        <v>134</v>
      </c>
      <c r="H9" s="11">
        <f t="shared" si="7"/>
        <v>10</v>
      </c>
      <c r="I9" s="11">
        <f>'[1]6月'!S100</f>
        <v>96</v>
      </c>
      <c r="J9" s="15">
        <f t="shared" si="6"/>
        <v>-4</v>
      </c>
      <c r="K9" s="22">
        <v>547166</v>
      </c>
      <c r="L9" s="17">
        <v>5759.6421052631576</v>
      </c>
      <c r="M9" s="17">
        <v>95</v>
      </c>
      <c r="N9" s="18">
        <v>75</v>
      </c>
      <c r="O9" s="23">
        <f t="shared" si="3"/>
        <v>187188</v>
      </c>
      <c r="P9" s="11">
        <f t="shared" si="0"/>
        <v>-279.38837391987363</v>
      </c>
      <c r="Q9" s="11">
        <f t="shared" si="1"/>
        <v>39</v>
      </c>
      <c r="R9" s="24">
        <f t="shared" si="2"/>
        <v>21</v>
      </c>
      <c r="T9" s="1" t="s">
        <v>24</v>
      </c>
    </row>
    <row r="10" spans="1:35" ht="15.5" hidden="1" x14ac:dyDescent="0.35">
      <c r="A10" s="10" t="s">
        <v>25</v>
      </c>
      <c r="B10" s="11">
        <v>699275.52</v>
      </c>
      <c r="C10" s="12">
        <f>'[1]7月'!V106</f>
        <v>868073</v>
      </c>
      <c r="D10" s="13">
        <f t="shared" si="4"/>
        <v>1.2413890879520564</v>
      </c>
      <c r="E10" s="11">
        <f>'[1]7月'!W106</f>
        <v>6070.4405594405598</v>
      </c>
      <c r="F10" s="14">
        <f t="shared" si="5"/>
        <v>168797.47999999998</v>
      </c>
      <c r="G10" s="11">
        <f>'[1]7月'!P106</f>
        <v>143</v>
      </c>
      <c r="H10" s="11">
        <f t="shared" si="7"/>
        <v>9</v>
      </c>
      <c r="I10" s="11">
        <f>'[1]7月'!S106</f>
        <v>102</v>
      </c>
      <c r="J10" s="15">
        <f t="shared" si="6"/>
        <v>6</v>
      </c>
      <c r="K10" s="16">
        <v>546309</v>
      </c>
      <c r="L10" s="17">
        <v>6427.1647058823528</v>
      </c>
      <c r="M10" s="17">
        <v>85</v>
      </c>
      <c r="N10" s="18">
        <v>59</v>
      </c>
      <c r="O10" s="23">
        <f t="shared" si="3"/>
        <v>321764</v>
      </c>
      <c r="P10" s="11">
        <f t="shared" si="0"/>
        <v>-356.72414644179298</v>
      </c>
      <c r="Q10" s="11">
        <f t="shared" si="1"/>
        <v>58</v>
      </c>
      <c r="R10" s="24">
        <f t="shared" si="2"/>
        <v>43</v>
      </c>
    </row>
    <row r="11" spans="1:35" ht="15.5" hidden="1" x14ac:dyDescent="0.35">
      <c r="A11" s="10" t="s">
        <v>26</v>
      </c>
      <c r="B11" s="11">
        <v>890590.8</v>
      </c>
      <c r="C11" s="12">
        <f>'[1]8月'!V95</f>
        <v>713722</v>
      </c>
      <c r="D11" s="25">
        <f t="shared" si="4"/>
        <v>0.8014028440446499</v>
      </c>
      <c r="E11" s="11">
        <f>'[1]8月'!W95</f>
        <v>5850.1803278688521</v>
      </c>
      <c r="F11" s="14">
        <f>C11-B11</f>
        <v>-176868.80000000005</v>
      </c>
      <c r="G11" s="11">
        <f>'[1]8月'!P95</f>
        <v>122</v>
      </c>
      <c r="H11" s="11">
        <f t="shared" si="7"/>
        <v>-21</v>
      </c>
      <c r="I11" s="11">
        <f>'[1]8月'!S95</f>
        <v>91</v>
      </c>
      <c r="J11" s="15">
        <f t="shared" si="6"/>
        <v>-11</v>
      </c>
      <c r="K11" s="22">
        <v>742159</v>
      </c>
      <c r="L11" s="17">
        <v>5538.5</v>
      </c>
      <c r="M11" s="17">
        <v>134</v>
      </c>
      <c r="N11" s="18">
        <v>92</v>
      </c>
      <c r="O11" s="23">
        <f t="shared" si="3"/>
        <v>-28437</v>
      </c>
      <c r="P11" s="11">
        <f t="shared" si="0"/>
        <v>311.68032786885215</v>
      </c>
      <c r="Q11" s="11">
        <f t="shared" si="1"/>
        <v>-12</v>
      </c>
      <c r="R11" s="24">
        <f t="shared" si="2"/>
        <v>-1</v>
      </c>
    </row>
    <row r="12" spans="1:35" ht="15.5" hidden="1" x14ac:dyDescent="0.35">
      <c r="A12" s="10" t="s">
        <v>27</v>
      </c>
      <c r="B12" s="11">
        <v>582941.25</v>
      </c>
      <c r="C12" s="12">
        <f>'[1]9月訂房'!V111</f>
        <v>711267</v>
      </c>
      <c r="D12" s="13">
        <f t="shared" si="4"/>
        <v>1.2201349621424114</v>
      </c>
      <c r="E12" s="11">
        <f>'[1]9月訂房'!W111</f>
        <v>5830.0573770491801</v>
      </c>
      <c r="F12" s="14">
        <f t="shared" si="5"/>
        <v>128325.75</v>
      </c>
      <c r="G12" s="11">
        <f>'[1]9月訂房'!P111</f>
        <v>122</v>
      </c>
      <c r="H12" s="11">
        <f t="shared" si="7"/>
        <v>0</v>
      </c>
      <c r="I12" s="11">
        <f>'[1]9月訂房'!S111</f>
        <v>93</v>
      </c>
      <c r="J12" s="15">
        <f t="shared" si="6"/>
        <v>2</v>
      </c>
      <c r="K12" s="16">
        <v>468580</v>
      </c>
      <c r="L12" s="17">
        <v>6007.4358974358975</v>
      </c>
      <c r="M12" s="17">
        <v>78</v>
      </c>
      <c r="N12" s="18">
        <v>55</v>
      </c>
      <c r="O12" s="23">
        <f t="shared" si="3"/>
        <v>242687</v>
      </c>
      <c r="P12" s="11">
        <f t="shared" si="0"/>
        <v>-177.37852038671735</v>
      </c>
      <c r="Q12" s="11">
        <f t="shared" si="1"/>
        <v>44</v>
      </c>
      <c r="R12" s="24">
        <f t="shared" si="2"/>
        <v>38</v>
      </c>
      <c r="T12" s="1" t="s">
        <v>28</v>
      </c>
    </row>
    <row r="13" spans="1:35" ht="15.5" hidden="1" x14ac:dyDescent="0.35">
      <c r="A13" s="10" t="s">
        <v>29</v>
      </c>
      <c r="B13" s="11">
        <v>1330146.3500000001</v>
      </c>
      <c r="C13" s="12">
        <f>'[1]10月訂房'!V216</f>
        <v>2357916</v>
      </c>
      <c r="D13" s="13">
        <f t="shared" si="4"/>
        <v>1.7726741121381115</v>
      </c>
      <c r="E13" s="11">
        <f>'[1]10月訂房'!W216</f>
        <v>6092.8062015503874</v>
      </c>
      <c r="F13" s="14">
        <f t="shared" si="5"/>
        <v>1027769.6499999999</v>
      </c>
      <c r="G13" s="11">
        <f>'[1]10月訂房'!P216</f>
        <v>387</v>
      </c>
      <c r="H13" s="11">
        <f t="shared" si="7"/>
        <v>265</v>
      </c>
      <c r="I13" s="11">
        <f>'[1]10月訂房'!S216</f>
        <v>206</v>
      </c>
      <c r="J13" s="15">
        <f t="shared" si="6"/>
        <v>113</v>
      </c>
      <c r="K13" s="22">
        <v>1156649</v>
      </c>
      <c r="L13" s="17">
        <v>6534.7401129943501</v>
      </c>
      <c r="M13" s="17">
        <v>177</v>
      </c>
      <c r="N13" s="18">
        <v>115</v>
      </c>
      <c r="O13" s="23">
        <f t="shared" si="3"/>
        <v>1201267</v>
      </c>
      <c r="P13" s="11">
        <f t="shared" si="0"/>
        <v>-441.93391144396264</v>
      </c>
      <c r="Q13" s="11">
        <f t="shared" si="1"/>
        <v>210</v>
      </c>
      <c r="R13" s="24">
        <f t="shared" si="2"/>
        <v>91</v>
      </c>
      <c r="T13" s="1" t="s">
        <v>30</v>
      </c>
    </row>
    <row r="14" spans="1:35" ht="15.5" hidden="1" x14ac:dyDescent="0.35">
      <c r="A14" s="10" t="s">
        <v>31</v>
      </c>
      <c r="B14" s="11">
        <v>722576.54</v>
      </c>
      <c r="C14" s="12">
        <f>'[1]11月訂房'!V159</f>
        <v>1442482</v>
      </c>
      <c r="D14" s="13">
        <f t="shared" si="4"/>
        <v>1.9963033950700917</v>
      </c>
      <c r="E14" s="11">
        <f>'[1]11月訂房'!W159</f>
        <v>5463.94696969697</v>
      </c>
      <c r="F14" s="14">
        <f t="shared" si="5"/>
        <v>719905.46</v>
      </c>
      <c r="G14" s="11">
        <f>'[1]11月訂房'!P159</f>
        <v>264</v>
      </c>
      <c r="H14" s="11">
        <f t="shared" si="7"/>
        <v>-123</v>
      </c>
      <c r="I14" s="11">
        <f>'[1]11月訂房'!S159</f>
        <v>150</v>
      </c>
      <c r="J14" s="15">
        <f t="shared" si="6"/>
        <v>-56</v>
      </c>
      <c r="K14" s="16">
        <v>593473</v>
      </c>
      <c r="L14" s="17">
        <v>6182.010416666667</v>
      </c>
      <c r="M14" s="17">
        <v>96</v>
      </c>
      <c r="N14" s="18">
        <v>66</v>
      </c>
      <c r="O14" s="23">
        <f t="shared" si="3"/>
        <v>849009</v>
      </c>
      <c r="P14" s="11">
        <f t="shared" si="0"/>
        <v>-718.063446969697</v>
      </c>
      <c r="Q14" s="11">
        <f t="shared" si="1"/>
        <v>168</v>
      </c>
      <c r="R14" s="24">
        <f t="shared" si="2"/>
        <v>84</v>
      </c>
    </row>
    <row r="15" spans="1:35" ht="15.5" hidden="1" x14ac:dyDescent="0.35">
      <c r="A15" s="10" t="s">
        <v>32</v>
      </c>
      <c r="B15" s="11">
        <v>827682.16</v>
      </c>
      <c r="C15" s="12">
        <f>'[1]12月訂房'!V170</f>
        <v>1326676</v>
      </c>
      <c r="D15" s="13">
        <f t="shared" si="4"/>
        <v>1.6028809899684198</v>
      </c>
      <c r="E15" s="11">
        <f>'[1]12月訂房'!W170</f>
        <v>5743.1861471861475</v>
      </c>
      <c r="F15" s="14">
        <f t="shared" si="5"/>
        <v>498993.83999999997</v>
      </c>
      <c r="G15" s="11">
        <f>'[1]12月訂房'!P170</f>
        <v>231</v>
      </c>
      <c r="H15" s="11">
        <f t="shared" si="7"/>
        <v>-33</v>
      </c>
      <c r="I15" s="11">
        <f>'[1]12月訂房'!S170</f>
        <v>159</v>
      </c>
      <c r="J15" s="15">
        <f t="shared" si="6"/>
        <v>9</v>
      </c>
      <c r="K15" s="22">
        <v>678428</v>
      </c>
      <c r="L15" s="17">
        <v>5798.5299145299141</v>
      </c>
      <c r="M15" s="17">
        <v>117</v>
      </c>
      <c r="N15" s="18">
        <v>70</v>
      </c>
      <c r="O15" s="23">
        <f t="shared" si="3"/>
        <v>648248</v>
      </c>
      <c r="P15" s="11">
        <f t="shared" si="0"/>
        <v>-55.343767343766558</v>
      </c>
      <c r="Q15" s="11">
        <f t="shared" si="1"/>
        <v>114</v>
      </c>
      <c r="R15" s="24">
        <f t="shared" si="2"/>
        <v>89</v>
      </c>
    </row>
    <row r="16" spans="1:35" ht="19" hidden="1" thickBot="1" x14ac:dyDescent="0.5">
      <c r="A16" s="27" t="s">
        <v>33</v>
      </c>
      <c r="B16" s="28">
        <f>SUM(B4:B15)</f>
        <v>10000000.330000002</v>
      </c>
      <c r="C16" s="28">
        <f>SUM(C4:C15)</f>
        <v>12341569</v>
      </c>
      <c r="D16" s="29">
        <f>C16/B16</f>
        <v>1.2341568592728234</v>
      </c>
      <c r="E16" s="30">
        <f>C16/G16</f>
        <v>5748.2855146716347</v>
      </c>
      <c r="F16" s="28">
        <f>SUM(F4:F15)</f>
        <v>2341568.6699999995</v>
      </c>
      <c r="G16" s="30">
        <f>SUM(G4:G15)</f>
        <v>2147</v>
      </c>
      <c r="H16" s="30" t="s">
        <v>34</v>
      </c>
      <c r="I16" s="30">
        <f>SUM(I4:I15)</f>
        <v>1386</v>
      </c>
      <c r="J16" s="31" t="s">
        <v>34</v>
      </c>
      <c r="K16" s="32">
        <f>SUM(K4:K15)</f>
        <v>7618964</v>
      </c>
      <c r="L16" s="33">
        <f>K16/M16</f>
        <v>6124.5691318327972</v>
      </c>
      <c r="M16" s="33">
        <f>SUM(M4:M15)</f>
        <v>1244</v>
      </c>
      <c r="N16" s="34">
        <f>SUM(N4:N15)</f>
        <v>849</v>
      </c>
      <c r="O16" s="35">
        <f>SUM(O4:O15)</f>
        <v>4722605</v>
      </c>
      <c r="P16" s="36">
        <f>O16/Q16</f>
        <v>5229.9058693244742</v>
      </c>
      <c r="Q16" s="36">
        <f>SUM(Q4:Q15)</f>
        <v>903</v>
      </c>
      <c r="R16" s="37">
        <f>SUM(R4:R15)</f>
        <v>537</v>
      </c>
      <c r="T16" s="140" t="s">
        <v>35</v>
      </c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</row>
    <row r="17" spans="1:35" ht="26" thickBot="1" x14ac:dyDescent="0.4">
      <c r="T17" s="141" t="s">
        <v>36</v>
      </c>
      <c r="U17" s="142"/>
      <c r="V17" s="142"/>
      <c r="W17" s="142"/>
      <c r="X17" s="142"/>
      <c r="Y17" s="142"/>
      <c r="Z17" s="142"/>
      <c r="AA17" s="38" t="s">
        <v>1</v>
      </c>
      <c r="AB17" s="143">
        <v>10000000</v>
      </c>
      <c r="AC17" s="144"/>
      <c r="AD17" s="145" t="s">
        <v>37</v>
      </c>
      <c r="AE17" s="146"/>
      <c r="AF17" s="146"/>
      <c r="AG17" s="146"/>
      <c r="AH17" s="146"/>
      <c r="AI17" s="147"/>
    </row>
    <row r="18" spans="1:35" ht="27.75" customHeight="1" thickBot="1" x14ac:dyDescent="0.4">
      <c r="A18" s="132" t="s">
        <v>38</v>
      </c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48" t="s">
        <v>1</v>
      </c>
      <c r="N18" s="148"/>
      <c r="O18" s="149">
        <v>12316589</v>
      </c>
      <c r="P18" s="149"/>
      <c r="Q18" s="149"/>
      <c r="R18" s="150"/>
      <c r="T18" s="151" t="s">
        <v>5</v>
      </c>
      <c r="U18" s="153" t="s">
        <v>39</v>
      </c>
      <c r="V18" s="154"/>
      <c r="W18" s="155"/>
      <c r="X18" s="156" t="s">
        <v>40</v>
      </c>
      <c r="Y18" s="157"/>
      <c r="Z18" s="158"/>
      <c r="AA18" s="156" t="s">
        <v>41</v>
      </c>
      <c r="AB18" s="157"/>
      <c r="AC18" s="158"/>
      <c r="AD18" s="159" t="s">
        <v>42</v>
      </c>
      <c r="AE18" s="159"/>
      <c r="AF18" s="160"/>
      <c r="AG18" s="161" t="s">
        <v>43</v>
      </c>
      <c r="AH18" s="159"/>
      <c r="AI18" s="160"/>
    </row>
    <row r="19" spans="1:35" ht="16" thickBot="1" x14ac:dyDescent="0.4">
      <c r="A19" s="137" t="s">
        <v>44</v>
      </c>
      <c r="B19" s="138"/>
      <c r="C19" s="138"/>
      <c r="D19" s="138"/>
      <c r="E19" s="138"/>
      <c r="F19" s="138"/>
      <c r="G19" s="138"/>
      <c r="H19" s="138"/>
      <c r="I19" s="138"/>
      <c r="J19" s="2"/>
      <c r="K19" s="137" t="s">
        <v>45</v>
      </c>
      <c r="L19" s="138"/>
      <c r="M19" s="138"/>
      <c r="N19" s="139"/>
      <c r="O19" s="138" t="s">
        <v>4</v>
      </c>
      <c r="P19" s="138"/>
      <c r="Q19" s="138"/>
      <c r="R19" s="139"/>
      <c r="T19" s="152"/>
      <c r="U19" s="39" t="s">
        <v>46</v>
      </c>
      <c r="V19" s="40" t="s">
        <v>47</v>
      </c>
      <c r="W19" s="41" t="s">
        <v>48</v>
      </c>
      <c r="X19" s="39" t="s">
        <v>46</v>
      </c>
      <c r="Y19" s="40" t="s">
        <v>47</v>
      </c>
      <c r="Z19" s="41" t="s">
        <v>48</v>
      </c>
      <c r="AA19" s="39" t="s">
        <v>46</v>
      </c>
      <c r="AB19" s="40" t="s">
        <v>47</v>
      </c>
      <c r="AC19" s="41" t="s">
        <v>48</v>
      </c>
      <c r="AD19" s="42" t="s">
        <v>46</v>
      </c>
      <c r="AE19" s="43" t="s">
        <v>47</v>
      </c>
      <c r="AF19" s="44" t="s">
        <v>48</v>
      </c>
      <c r="AG19" s="45" t="s">
        <v>46</v>
      </c>
      <c r="AH19" s="43" t="s">
        <v>47</v>
      </c>
      <c r="AI19" s="44" t="s">
        <v>48</v>
      </c>
    </row>
    <row r="20" spans="1:35" ht="26" x14ac:dyDescent="0.35">
      <c r="A20" s="3" t="s">
        <v>5</v>
      </c>
      <c r="B20" s="4" t="s">
        <v>6</v>
      </c>
      <c r="C20" s="4" t="s">
        <v>7</v>
      </c>
      <c r="D20" s="4" t="s">
        <v>8</v>
      </c>
      <c r="E20" s="5" t="s">
        <v>9</v>
      </c>
      <c r="F20" s="4" t="s">
        <v>10</v>
      </c>
      <c r="G20" s="4" t="s">
        <v>11</v>
      </c>
      <c r="H20" s="4" t="s">
        <v>12</v>
      </c>
      <c r="I20" s="4" t="s">
        <v>13</v>
      </c>
      <c r="J20" s="6" t="s">
        <v>14</v>
      </c>
      <c r="K20" s="7" t="s">
        <v>15</v>
      </c>
      <c r="L20" s="5" t="s">
        <v>9</v>
      </c>
      <c r="M20" s="4" t="s">
        <v>11</v>
      </c>
      <c r="N20" s="8" t="s">
        <v>13</v>
      </c>
      <c r="O20" s="9" t="s">
        <v>16</v>
      </c>
      <c r="P20" s="5" t="s">
        <v>9</v>
      </c>
      <c r="Q20" s="4" t="s">
        <v>11</v>
      </c>
      <c r="R20" s="8" t="s">
        <v>17</v>
      </c>
      <c r="T20" s="46" t="s">
        <v>18</v>
      </c>
      <c r="U20" s="47">
        <v>132.53333333333299</v>
      </c>
      <c r="V20" s="48">
        <v>750225</v>
      </c>
      <c r="W20" s="49">
        <f>V20/U20</f>
        <v>5660.6514084507189</v>
      </c>
      <c r="X20" s="180">
        <v>152</v>
      </c>
      <c r="Y20" s="179">
        <v>819004</v>
      </c>
      <c r="Z20" s="181">
        <f>Y20/X20</f>
        <v>5388.1842105263158</v>
      </c>
      <c r="AA20" s="50">
        <f>X20/U20</f>
        <v>1.1468812877263612</v>
      </c>
      <c r="AB20" s="51">
        <f>Y20/V20</f>
        <v>1.0916778299843379</v>
      </c>
      <c r="AC20" s="52">
        <f>Z20/W20</f>
        <v>0.95186645877581511</v>
      </c>
      <c r="AD20" s="186">
        <v>101</v>
      </c>
      <c r="AE20" s="182">
        <v>582200</v>
      </c>
      <c r="AF20" s="185">
        <f>AE20/AD20</f>
        <v>5764.3564356435645</v>
      </c>
      <c r="AG20" s="53">
        <f t="shared" ref="AG20:AI31" si="8">X20-AD20</f>
        <v>51</v>
      </c>
      <c r="AH20" s="54">
        <f t="shared" si="8"/>
        <v>236804</v>
      </c>
      <c r="AI20" s="55">
        <f t="shared" si="8"/>
        <v>-376.17222511724867</v>
      </c>
    </row>
    <row r="21" spans="1:35" ht="15.5" x14ac:dyDescent="0.35">
      <c r="A21" s="10" t="s">
        <v>18</v>
      </c>
      <c r="B21" s="11">
        <v>1300312</v>
      </c>
      <c r="C21" s="12">
        <v>1500101</v>
      </c>
      <c r="D21" s="13">
        <f t="shared" ref="D21:D28" si="9">C21/B21</f>
        <v>1.1536469708808348</v>
      </c>
      <c r="E21" s="11">
        <v>5862</v>
      </c>
      <c r="F21" s="14">
        <f t="shared" ref="F21:F28" si="10">C21-B21</f>
        <v>199789</v>
      </c>
      <c r="G21" s="11">
        <v>256</v>
      </c>
      <c r="H21" s="11"/>
      <c r="I21" s="11">
        <v>150</v>
      </c>
      <c r="J21" s="15"/>
      <c r="K21" s="16">
        <v>759418</v>
      </c>
      <c r="L21" s="17">
        <v>5625</v>
      </c>
      <c r="M21" s="17">
        <v>135</v>
      </c>
      <c r="N21" s="18">
        <v>79</v>
      </c>
      <c r="O21" s="19">
        <f>C21-K21</f>
        <v>740683</v>
      </c>
      <c r="P21" s="20">
        <f>E21-L21</f>
        <v>237</v>
      </c>
      <c r="Q21" s="20">
        <f>G21-M21</f>
        <v>121</v>
      </c>
      <c r="R21" s="21">
        <f>I21-N21</f>
        <v>71</v>
      </c>
      <c r="T21" s="56" t="s">
        <v>19</v>
      </c>
      <c r="U21" s="57">
        <v>116.8</v>
      </c>
      <c r="V21" s="58">
        <v>835200</v>
      </c>
      <c r="W21" s="49">
        <f t="shared" ref="W21:W31" si="11">V21/U21</f>
        <v>7150.6849315068494</v>
      </c>
      <c r="X21" s="180">
        <f t="shared" ref="X20:X31" si="12">G5</f>
        <v>183</v>
      </c>
      <c r="Y21" s="179">
        <v>902154</v>
      </c>
      <c r="Z21" s="181">
        <f t="shared" ref="Z21:Z31" si="13">Y21/X21</f>
        <v>4929.8032786885242</v>
      </c>
      <c r="AA21" s="60">
        <f t="shared" ref="AA21:AC31" si="14">X21/U21</f>
        <v>1.5667808219178083</v>
      </c>
      <c r="AB21" s="61">
        <f t="shared" si="14"/>
        <v>1.0801652298850575</v>
      </c>
      <c r="AC21" s="62">
        <f t="shared" si="14"/>
        <v>0.6894169336096978</v>
      </c>
      <c r="AD21" s="187">
        <v>92</v>
      </c>
      <c r="AE21" s="183">
        <v>490254</v>
      </c>
      <c r="AF21" s="185">
        <f t="shared" ref="AF21:AF31" si="15">AE21/AD21</f>
        <v>5328.847826086957</v>
      </c>
      <c r="AG21" s="63">
        <f t="shared" si="8"/>
        <v>91</v>
      </c>
      <c r="AH21" s="64">
        <f t="shared" si="8"/>
        <v>411900</v>
      </c>
      <c r="AI21" s="65">
        <f t="shared" si="8"/>
        <v>-399.04454739843277</v>
      </c>
    </row>
    <row r="22" spans="1:35" ht="15.5" x14ac:dyDescent="0.35">
      <c r="A22" s="10" t="s">
        <v>19</v>
      </c>
      <c r="B22" s="11">
        <v>900423</v>
      </c>
      <c r="C22" s="12">
        <v>910542</v>
      </c>
      <c r="D22" s="13">
        <f t="shared" si="9"/>
        <v>1.0112380514491521</v>
      </c>
      <c r="E22" s="11">
        <v>4954</v>
      </c>
      <c r="F22" s="14">
        <f t="shared" si="10"/>
        <v>10119</v>
      </c>
      <c r="G22" s="11">
        <v>184</v>
      </c>
      <c r="H22" s="11"/>
      <c r="I22" s="11">
        <v>172</v>
      </c>
      <c r="J22" s="15"/>
      <c r="K22" s="16">
        <v>1059681</v>
      </c>
      <c r="L22" s="17">
        <v>5791</v>
      </c>
      <c r="M22" s="17">
        <v>183</v>
      </c>
      <c r="N22" s="18">
        <v>101</v>
      </c>
      <c r="O22" s="23"/>
      <c r="P22" s="11"/>
      <c r="Q22" s="11"/>
      <c r="R22" s="24"/>
      <c r="T22" s="66" t="s">
        <v>20</v>
      </c>
      <c r="U22" s="57">
        <v>169.27993328860566</v>
      </c>
      <c r="V22" s="58">
        <v>980145</v>
      </c>
      <c r="W22" s="49">
        <f t="shared" si="11"/>
        <v>5790.0838035477545</v>
      </c>
      <c r="X22" s="180">
        <f t="shared" si="12"/>
        <v>171</v>
      </c>
      <c r="Y22" s="179">
        <v>1100025</v>
      </c>
      <c r="Z22" s="181">
        <f t="shared" si="13"/>
        <v>6432.894736842105</v>
      </c>
      <c r="AA22" s="60">
        <f t="shared" si="14"/>
        <v>1.0101610786227202</v>
      </c>
      <c r="AB22" s="61">
        <f t="shared" si="14"/>
        <v>1.1223084339562004</v>
      </c>
      <c r="AC22" s="62">
        <f t="shared" si="14"/>
        <v>1.1110192797037723</v>
      </c>
      <c r="AD22" s="187">
        <v>150</v>
      </c>
      <c r="AE22" s="183">
        <v>858025</v>
      </c>
      <c r="AF22" s="185">
        <f t="shared" si="15"/>
        <v>5720.166666666667</v>
      </c>
      <c r="AG22" s="63">
        <f t="shared" si="8"/>
        <v>21</v>
      </c>
      <c r="AH22" s="64">
        <f t="shared" si="8"/>
        <v>242000</v>
      </c>
      <c r="AI22" s="65">
        <f t="shared" si="8"/>
        <v>712.72807017543801</v>
      </c>
    </row>
    <row r="23" spans="1:35" ht="15.5" x14ac:dyDescent="0.35">
      <c r="A23" s="10" t="s">
        <v>20</v>
      </c>
      <c r="B23" s="11">
        <v>1200756</v>
      </c>
      <c r="C23" s="12">
        <v>1250178</v>
      </c>
      <c r="D23" s="13">
        <f t="shared" si="9"/>
        <v>1.0411590697860349</v>
      </c>
      <c r="E23" s="11">
        <v>5889</v>
      </c>
      <c r="F23" s="14">
        <f t="shared" si="10"/>
        <v>49422</v>
      </c>
      <c r="G23" s="11">
        <v>212</v>
      </c>
      <c r="H23" s="11"/>
      <c r="I23" s="11">
        <v>135</v>
      </c>
      <c r="J23" s="15"/>
      <c r="K23" s="16">
        <v>1012189</v>
      </c>
      <c r="L23" s="17">
        <v>6287</v>
      </c>
      <c r="M23" s="17">
        <v>161</v>
      </c>
      <c r="N23" s="18">
        <v>117</v>
      </c>
      <c r="O23" s="23"/>
      <c r="P23" s="11"/>
      <c r="Q23" s="11"/>
      <c r="R23" s="24"/>
      <c r="T23" s="56" t="s">
        <v>21</v>
      </c>
      <c r="U23" s="57">
        <v>94.095238095238088</v>
      </c>
      <c r="V23" s="58">
        <v>649060.9</v>
      </c>
      <c r="W23" s="49">
        <f t="shared" si="11"/>
        <v>6897.9144230769243</v>
      </c>
      <c r="X23" s="180">
        <f t="shared" si="12"/>
        <v>131</v>
      </c>
      <c r="Y23" s="179">
        <v>651024</v>
      </c>
      <c r="Z23" s="181">
        <f t="shared" si="13"/>
        <v>4969.6488549618325</v>
      </c>
      <c r="AA23" s="60">
        <f t="shared" si="14"/>
        <v>1.3922064777327936</v>
      </c>
      <c r="AB23" s="61">
        <f t="shared" si="14"/>
        <v>1.0030245235847668</v>
      </c>
      <c r="AC23" s="62">
        <f t="shared" si="14"/>
        <v>0.72045672795474336</v>
      </c>
      <c r="AD23" s="187">
        <v>65</v>
      </c>
      <c r="AE23" s="183">
        <v>325501</v>
      </c>
      <c r="AF23" s="185">
        <f t="shared" si="15"/>
        <v>5007.707692307692</v>
      </c>
      <c r="AG23" s="63">
        <f t="shared" si="8"/>
        <v>66</v>
      </c>
      <c r="AH23" s="64">
        <f t="shared" si="8"/>
        <v>325523</v>
      </c>
      <c r="AI23" s="65">
        <f t="shared" si="8"/>
        <v>-38.058837345859502</v>
      </c>
    </row>
    <row r="24" spans="1:35" ht="15.5" x14ac:dyDescent="0.35">
      <c r="A24" s="10" t="s">
        <v>21</v>
      </c>
      <c r="B24" s="11">
        <v>760931</v>
      </c>
      <c r="C24" s="12">
        <v>850085</v>
      </c>
      <c r="D24" s="13">
        <f t="shared" si="9"/>
        <v>1.1171643683855699</v>
      </c>
      <c r="E24" s="11">
        <v>5901</v>
      </c>
      <c r="F24" s="14">
        <f t="shared" si="10"/>
        <v>89154</v>
      </c>
      <c r="G24" s="11">
        <v>144</v>
      </c>
      <c r="H24" s="11"/>
      <c r="I24" s="11">
        <v>85</v>
      </c>
      <c r="J24" s="15"/>
      <c r="K24" s="16">
        <v>721414</v>
      </c>
      <c r="L24" s="17">
        <v>5507</v>
      </c>
      <c r="M24" s="26">
        <v>131</v>
      </c>
      <c r="N24" s="18">
        <v>92</v>
      </c>
      <c r="O24" s="23"/>
      <c r="P24" s="11"/>
      <c r="Q24" s="11"/>
      <c r="R24" s="24"/>
      <c r="T24" s="56" t="s">
        <v>22</v>
      </c>
      <c r="U24" s="57">
        <v>123.44967354457057</v>
      </c>
      <c r="V24" s="58">
        <v>650025</v>
      </c>
      <c r="W24" s="49">
        <f t="shared" si="11"/>
        <v>5265.5060263510004</v>
      </c>
      <c r="X24" s="180">
        <f t="shared" si="12"/>
        <v>124</v>
      </c>
      <c r="Y24" s="179">
        <v>584004</v>
      </c>
      <c r="Z24" s="181">
        <f t="shared" si="13"/>
        <v>4709.7096774193551</v>
      </c>
      <c r="AA24" s="60">
        <f t="shared" si="14"/>
        <v>1.0044579012615269</v>
      </c>
      <c r="AB24" s="61">
        <f t="shared" si="14"/>
        <v>0.89843313718703122</v>
      </c>
      <c r="AC24" s="62">
        <f t="shared" si="14"/>
        <v>0.89444578618841453</v>
      </c>
      <c r="AD24" s="187">
        <v>123</v>
      </c>
      <c r="AE24" s="183">
        <v>658050</v>
      </c>
      <c r="AF24" s="185">
        <f t="shared" si="15"/>
        <v>5350</v>
      </c>
      <c r="AG24" s="63">
        <f t="shared" si="8"/>
        <v>1</v>
      </c>
      <c r="AH24" s="64">
        <f t="shared" si="8"/>
        <v>-74046</v>
      </c>
      <c r="AI24" s="65">
        <f t="shared" si="8"/>
        <v>-640.2903225806449</v>
      </c>
    </row>
    <row r="25" spans="1:35" ht="15.5" x14ac:dyDescent="0.35">
      <c r="A25" s="10" t="s">
        <v>22</v>
      </c>
      <c r="B25" s="11">
        <v>600504</v>
      </c>
      <c r="C25" s="12">
        <v>750001</v>
      </c>
      <c r="D25" s="13">
        <f t="shared" si="9"/>
        <v>1.2489525465275835</v>
      </c>
      <c r="E25" s="11">
        <v>5894</v>
      </c>
      <c r="F25" s="14">
        <f t="shared" si="10"/>
        <v>149497</v>
      </c>
      <c r="G25" s="11">
        <v>127</v>
      </c>
      <c r="H25" s="11"/>
      <c r="I25" s="11">
        <v>101</v>
      </c>
      <c r="J25" s="15"/>
      <c r="K25" s="16">
        <v>634377</v>
      </c>
      <c r="L25" s="17">
        <v>5116</v>
      </c>
      <c r="M25" s="17">
        <v>124</v>
      </c>
      <c r="N25" s="18">
        <v>100</v>
      </c>
      <c r="O25" s="23"/>
      <c r="P25" s="11"/>
      <c r="Q25" s="11"/>
      <c r="R25" s="24"/>
      <c r="T25" s="56" t="s">
        <v>23</v>
      </c>
      <c r="U25" s="57">
        <v>123.95238095238095</v>
      </c>
      <c r="V25" s="58">
        <v>652521</v>
      </c>
      <c r="W25" s="49">
        <f t="shared" si="11"/>
        <v>5264.2877449097195</v>
      </c>
      <c r="X25" s="180">
        <f t="shared" si="12"/>
        <v>134</v>
      </c>
      <c r="Y25" s="179">
        <v>840525</v>
      </c>
      <c r="Z25" s="181">
        <f t="shared" si="13"/>
        <v>6272.5746268656712</v>
      </c>
      <c r="AA25" s="60">
        <f t="shared" si="14"/>
        <v>1.0810603150211295</v>
      </c>
      <c r="AB25" s="61">
        <f t="shared" si="14"/>
        <v>1.2881194628218862</v>
      </c>
      <c r="AC25" s="62">
        <f t="shared" si="14"/>
        <v>1.1915333908050354</v>
      </c>
      <c r="AD25" s="187">
        <v>99</v>
      </c>
      <c r="AE25" s="183">
        <v>547100</v>
      </c>
      <c r="AF25" s="185">
        <f t="shared" si="15"/>
        <v>5526.2626262626263</v>
      </c>
      <c r="AG25" s="63">
        <f t="shared" si="8"/>
        <v>35</v>
      </c>
      <c r="AH25" s="64">
        <f t="shared" si="8"/>
        <v>293425</v>
      </c>
      <c r="AI25" s="65">
        <f t="shared" si="8"/>
        <v>746.31200060304491</v>
      </c>
    </row>
    <row r="26" spans="1:35" ht="15.5" x14ac:dyDescent="0.35">
      <c r="A26" s="10" t="s">
        <v>23</v>
      </c>
      <c r="B26" s="11">
        <v>700942</v>
      </c>
      <c r="C26" s="12">
        <v>700102</v>
      </c>
      <c r="D26" s="13">
        <f t="shared" si="9"/>
        <v>0.99880161268692702</v>
      </c>
      <c r="E26" s="11">
        <v>5780</v>
      </c>
      <c r="F26" s="14">
        <f t="shared" si="10"/>
        <v>-840</v>
      </c>
      <c r="G26" s="11">
        <v>121</v>
      </c>
      <c r="H26" s="11"/>
      <c r="I26" s="11">
        <v>115</v>
      </c>
      <c r="J26" s="15"/>
      <c r="K26" s="16">
        <v>734354</v>
      </c>
      <c r="L26" s="17">
        <v>5480</v>
      </c>
      <c r="M26" s="17">
        <v>134</v>
      </c>
      <c r="N26" s="18">
        <v>96</v>
      </c>
      <c r="O26" s="23"/>
      <c r="P26" s="11"/>
      <c r="Q26" s="11"/>
      <c r="R26" s="24"/>
      <c r="T26" s="66" t="s">
        <v>25</v>
      </c>
      <c r="U26" s="57">
        <v>103.61904761904762</v>
      </c>
      <c r="V26" s="58">
        <v>645200</v>
      </c>
      <c r="W26" s="49">
        <f t="shared" si="11"/>
        <v>6226.6544117647054</v>
      </c>
      <c r="X26" s="180">
        <f t="shared" si="12"/>
        <v>143</v>
      </c>
      <c r="Y26" s="179">
        <v>782456</v>
      </c>
      <c r="Z26" s="181">
        <f t="shared" si="13"/>
        <v>5471.7202797202799</v>
      </c>
      <c r="AA26" s="60">
        <f t="shared" si="14"/>
        <v>1.3800551470588236</v>
      </c>
      <c r="AB26" s="61">
        <f t="shared" si="14"/>
        <v>1.2127340359578425</v>
      </c>
      <c r="AC26" s="62">
        <f t="shared" si="14"/>
        <v>0.87875766308500358</v>
      </c>
      <c r="AD26" s="187">
        <v>101</v>
      </c>
      <c r="AE26" s="183">
        <v>582500</v>
      </c>
      <c r="AF26" s="185">
        <f t="shared" si="15"/>
        <v>5767.3267326732675</v>
      </c>
      <c r="AG26" s="63">
        <f t="shared" si="8"/>
        <v>42</v>
      </c>
      <c r="AH26" s="64">
        <f t="shared" si="8"/>
        <v>199956</v>
      </c>
      <c r="AI26" s="65">
        <f t="shared" si="8"/>
        <v>-295.60645295298764</v>
      </c>
    </row>
    <row r="27" spans="1:35" ht="15.5" x14ac:dyDescent="0.35">
      <c r="A27" s="10" t="s">
        <v>25</v>
      </c>
      <c r="B27" s="11">
        <v>1200339</v>
      </c>
      <c r="C27" s="12">
        <v>1400112</v>
      </c>
      <c r="D27" s="13">
        <f t="shared" si="9"/>
        <v>1.1664304833884427</v>
      </c>
      <c r="E27" s="11">
        <v>5845</v>
      </c>
      <c r="F27" s="14">
        <f t="shared" si="10"/>
        <v>199773</v>
      </c>
      <c r="G27" s="11">
        <v>240</v>
      </c>
      <c r="H27" s="11"/>
      <c r="I27" s="11">
        <v>205</v>
      </c>
      <c r="J27" s="15"/>
      <c r="K27" s="16">
        <v>868073</v>
      </c>
      <c r="L27" s="17">
        <v>6070</v>
      </c>
      <c r="M27" s="17">
        <v>143</v>
      </c>
      <c r="N27" s="18">
        <v>102</v>
      </c>
      <c r="O27" s="23"/>
      <c r="P27" s="11"/>
      <c r="Q27" s="11"/>
      <c r="R27" s="24"/>
      <c r="T27" s="66" t="s">
        <v>26</v>
      </c>
      <c r="U27" s="57">
        <v>153.14285714285714</v>
      </c>
      <c r="V27" s="58">
        <v>824550</v>
      </c>
      <c r="W27" s="49">
        <f t="shared" si="11"/>
        <v>5384.188432835821</v>
      </c>
      <c r="X27" s="180">
        <f t="shared" si="12"/>
        <v>122</v>
      </c>
      <c r="Y27" s="179">
        <v>658210</v>
      </c>
      <c r="Z27" s="181">
        <f t="shared" si="13"/>
        <v>5395.1639344262294</v>
      </c>
      <c r="AA27" s="60">
        <f t="shared" si="14"/>
        <v>0.79664179104477617</v>
      </c>
      <c r="AB27" s="61">
        <f t="shared" si="14"/>
        <v>0.79826572069613733</v>
      </c>
      <c r="AC27" s="62">
        <f t="shared" si="14"/>
        <v>1.002038469070561</v>
      </c>
      <c r="AD27" s="187">
        <v>132</v>
      </c>
      <c r="AE27" s="183">
        <v>736522</v>
      </c>
      <c r="AF27" s="185">
        <f t="shared" si="15"/>
        <v>5579.712121212121</v>
      </c>
      <c r="AG27" s="63">
        <f t="shared" si="8"/>
        <v>-10</v>
      </c>
      <c r="AH27" s="64">
        <f t="shared" si="8"/>
        <v>-78312</v>
      </c>
      <c r="AI27" s="65">
        <f t="shared" si="8"/>
        <v>-184.54818678589163</v>
      </c>
    </row>
    <row r="28" spans="1:35" ht="15.5" x14ac:dyDescent="0.35">
      <c r="A28" s="10" t="s">
        <v>26</v>
      </c>
      <c r="B28" s="11">
        <v>1200601</v>
      </c>
      <c r="C28" s="12">
        <v>1629177</v>
      </c>
      <c r="D28" s="13">
        <f t="shared" si="9"/>
        <v>1.3569678852508036</v>
      </c>
      <c r="E28" s="11">
        <v>5860</v>
      </c>
      <c r="F28" s="14">
        <f t="shared" si="10"/>
        <v>428576</v>
      </c>
      <c r="G28" s="11">
        <v>278</v>
      </c>
      <c r="H28" s="11"/>
      <c r="I28" s="11">
        <v>198</v>
      </c>
      <c r="J28" s="15"/>
      <c r="K28" s="16">
        <v>734522</v>
      </c>
      <c r="L28" s="17">
        <v>5738</v>
      </c>
      <c r="M28" s="17">
        <v>128</v>
      </c>
      <c r="N28" s="18">
        <v>94</v>
      </c>
      <c r="O28" s="23"/>
      <c r="P28" s="11"/>
      <c r="Q28" s="11"/>
      <c r="R28" s="24"/>
      <c r="T28" s="66" t="s">
        <v>27</v>
      </c>
      <c r="U28" s="57">
        <v>92.41582471052358</v>
      </c>
      <c r="V28" s="58">
        <v>582941.25</v>
      </c>
      <c r="W28" s="49">
        <f t="shared" si="11"/>
        <v>6307.8076923076933</v>
      </c>
      <c r="X28" s="180">
        <f t="shared" si="12"/>
        <v>122</v>
      </c>
      <c r="Y28" s="179">
        <v>695214</v>
      </c>
      <c r="Z28" s="181">
        <f t="shared" si="13"/>
        <v>5698.4754098360654</v>
      </c>
      <c r="AA28" s="60">
        <f t="shared" si="14"/>
        <v>1.320120232461742</v>
      </c>
      <c r="AB28" s="61">
        <f t="shared" si="14"/>
        <v>1.1925970241426558</v>
      </c>
      <c r="AC28" s="62">
        <f t="shared" si="14"/>
        <v>0.9034003076513093</v>
      </c>
      <c r="AD28" s="187">
        <v>87</v>
      </c>
      <c r="AE28" s="183">
        <v>456025</v>
      </c>
      <c r="AF28" s="185">
        <f t="shared" si="15"/>
        <v>5241.666666666667</v>
      </c>
      <c r="AG28" s="63">
        <f t="shared" si="8"/>
        <v>35</v>
      </c>
      <c r="AH28" s="64">
        <f t="shared" si="8"/>
        <v>239189</v>
      </c>
      <c r="AI28" s="65">
        <f t="shared" si="8"/>
        <v>456.80874316939844</v>
      </c>
    </row>
    <row r="29" spans="1:35" ht="15.5" x14ac:dyDescent="0.35">
      <c r="A29" s="10" t="s">
        <v>27</v>
      </c>
      <c r="B29" s="11">
        <v>650813</v>
      </c>
      <c r="C29" s="12"/>
      <c r="D29" s="13"/>
      <c r="E29" s="11"/>
      <c r="F29" s="14"/>
      <c r="G29" s="11"/>
      <c r="H29" s="11"/>
      <c r="I29" s="11"/>
      <c r="J29" s="15"/>
      <c r="K29" s="16">
        <v>711267</v>
      </c>
      <c r="L29" s="17">
        <v>5830</v>
      </c>
      <c r="M29" s="17">
        <v>122</v>
      </c>
      <c r="N29" s="18">
        <v>93</v>
      </c>
      <c r="O29" s="23"/>
      <c r="P29" s="11"/>
      <c r="Q29" s="11"/>
      <c r="R29" s="24"/>
      <c r="T29" s="56" t="s">
        <v>29</v>
      </c>
      <c r="U29" s="57">
        <v>193.85714285714289</v>
      </c>
      <c r="V29" s="58">
        <v>1152020</v>
      </c>
      <c r="W29" s="49">
        <f t="shared" si="11"/>
        <v>5942.6234340456876</v>
      </c>
      <c r="X29" s="180">
        <f t="shared" si="12"/>
        <v>387</v>
      </c>
      <c r="Y29" s="179">
        <v>1256048</v>
      </c>
      <c r="Z29" s="181">
        <f t="shared" si="13"/>
        <v>3245.6020671834626</v>
      </c>
      <c r="AA29" s="60">
        <f t="shared" si="14"/>
        <v>1.996315401621223</v>
      </c>
      <c r="AB29" s="61">
        <f t="shared" si="14"/>
        <v>1.0903005156160483</v>
      </c>
      <c r="AC29" s="62">
        <f t="shared" si="14"/>
        <v>0.54615644137725283</v>
      </c>
      <c r="AD29" s="187">
        <v>177</v>
      </c>
      <c r="AE29" s="183">
        <v>990024</v>
      </c>
      <c r="AF29" s="185">
        <f t="shared" si="15"/>
        <v>5593.3559322033898</v>
      </c>
      <c r="AG29" s="63">
        <f t="shared" si="8"/>
        <v>210</v>
      </c>
      <c r="AH29" s="64">
        <f t="shared" si="8"/>
        <v>266024</v>
      </c>
      <c r="AI29" s="65">
        <f t="shared" si="8"/>
        <v>-2347.7538650199272</v>
      </c>
    </row>
    <row r="30" spans="1:35" ht="15.5" x14ac:dyDescent="0.35">
      <c r="A30" s="10" t="s">
        <v>29</v>
      </c>
      <c r="B30" s="11">
        <v>1700299</v>
      </c>
      <c r="C30" s="12"/>
      <c r="D30" s="13"/>
      <c r="E30" s="11"/>
      <c r="F30" s="14"/>
      <c r="G30" s="11"/>
      <c r="H30" s="11"/>
      <c r="I30" s="11"/>
      <c r="J30" s="15"/>
      <c r="K30" s="16">
        <v>2414206</v>
      </c>
      <c r="L30" s="17">
        <v>6112</v>
      </c>
      <c r="M30" s="17">
        <v>395</v>
      </c>
      <c r="N30" s="18">
        <v>209</v>
      </c>
      <c r="O30" s="23"/>
      <c r="P30" s="11"/>
      <c r="Q30" s="11"/>
      <c r="R30" s="24"/>
      <c r="T30" s="66" t="s">
        <v>31</v>
      </c>
      <c r="U30" s="57">
        <v>111.31785405570261</v>
      </c>
      <c r="V30" s="58">
        <v>722576.54</v>
      </c>
      <c r="W30" s="49">
        <f t="shared" si="11"/>
        <v>6491.1109375000005</v>
      </c>
      <c r="X30" s="180">
        <f t="shared" si="12"/>
        <v>264</v>
      </c>
      <c r="Y30" s="179">
        <v>850250</v>
      </c>
      <c r="Z30" s="181">
        <f t="shared" si="13"/>
        <v>3220.6439393939395</v>
      </c>
      <c r="AA30" s="60">
        <f t="shared" si="14"/>
        <v>2.3715872196736418</v>
      </c>
      <c r="AB30" s="61">
        <f t="shared" si="14"/>
        <v>1.1766919529383004</v>
      </c>
      <c r="AC30" s="62">
        <f t="shared" si="14"/>
        <v>0.49616220865797506</v>
      </c>
      <c r="AD30" s="187">
        <v>121</v>
      </c>
      <c r="AE30" s="183">
        <v>658205</v>
      </c>
      <c r="AF30" s="185">
        <f t="shared" si="15"/>
        <v>5439.7107438016528</v>
      </c>
      <c r="AG30" s="63">
        <f t="shared" si="8"/>
        <v>143</v>
      </c>
      <c r="AH30" s="64">
        <f t="shared" si="8"/>
        <v>192045</v>
      </c>
      <c r="AI30" s="65">
        <f t="shared" si="8"/>
        <v>-2219.0668044077133</v>
      </c>
    </row>
    <row r="31" spans="1:35" ht="16" thickBot="1" x14ac:dyDescent="0.4">
      <c r="A31" s="10" t="s">
        <v>31</v>
      </c>
      <c r="B31" s="11">
        <v>1000652</v>
      </c>
      <c r="C31" s="12"/>
      <c r="D31" s="13"/>
      <c r="E31" s="11"/>
      <c r="F31" s="14"/>
      <c r="G31" s="11"/>
      <c r="H31" s="11"/>
      <c r="I31" s="11"/>
      <c r="J31" s="15"/>
      <c r="K31" s="16">
        <v>1478917</v>
      </c>
      <c r="L31" s="17">
        <v>5490</v>
      </c>
      <c r="M31" s="17">
        <v>271</v>
      </c>
      <c r="N31" s="18">
        <v>156</v>
      </c>
      <c r="O31" s="23"/>
      <c r="P31" s="11"/>
      <c r="Q31" s="11"/>
      <c r="R31" s="24"/>
      <c r="T31" s="67" t="s">
        <v>32</v>
      </c>
      <c r="U31" s="68">
        <v>135.94285714285715</v>
      </c>
      <c r="V31" s="69">
        <v>1002541</v>
      </c>
      <c r="W31" s="49">
        <f t="shared" si="11"/>
        <v>7374.7236233711637</v>
      </c>
      <c r="X31" s="180">
        <f t="shared" si="12"/>
        <v>231</v>
      </c>
      <c r="Y31" s="179">
        <v>1205225</v>
      </c>
      <c r="Z31" s="181">
        <f t="shared" si="13"/>
        <v>5217.424242424242</v>
      </c>
      <c r="AA31" s="70">
        <f t="shared" si="14"/>
        <v>1.6992433795712483</v>
      </c>
      <c r="AB31" s="71">
        <f t="shared" si="14"/>
        <v>1.20217028530504</v>
      </c>
      <c r="AC31" s="72">
        <f t="shared" si="14"/>
        <v>0.70747386734463569</v>
      </c>
      <c r="AD31" s="188">
        <v>117</v>
      </c>
      <c r="AE31" s="184">
        <v>6784585</v>
      </c>
      <c r="AF31" s="185">
        <f t="shared" si="15"/>
        <v>57987.905982905984</v>
      </c>
      <c r="AG31" s="73">
        <f t="shared" si="8"/>
        <v>114</v>
      </c>
      <c r="AH31" s="74">
        <f t="shared" si="8"/>
        <v>-5579360</v>
      </c>
      <c r="AI31" s="75">
        <f t="shared" si="8"/>
        <v>-52770.481740481744</v>
      </c>
    </row>
    <row r="32" spans="1:35" ht="16" thickBot="1" x14ac:dyDescent="0.4">
      <c r="A32" s="10" t="s">
        <v>32</v>
      </c>
      <c r="B32" s="11">
        <v>1100017</v>
      </c>
      <c r="C32" s="12"/>
      <c r="D32" s="13"/>
      <c r="E32" s="11"/>
      <c r="F32" s="14"/>
      <c r="G32" s="11"/>
      <c r="H32" s="11"/>
      <c r="I32" s="11"/>
      <c r="J32" s="15"/>
      <c r="K32" s="76">
        <v>827682</v>
      </c>
      <c r="L32" s="17"/>
      <c r="M32" s="17"/>
      <c r="N32" s="18"/>
      <c r="O32" s="23"/>
      <c r="P32" s="11"/>
      <c r="Q32" s="11"/>
      <c r="R32" s="24"/>
      <c r="T32" s="77" t="s">
        <v>49</v>
      </c>
      <c r="U32" s="78">
        <f>SUM(U20:U31)</f>
        <v>1550.4061427422591</v>
      </c>
      <c r="V32" s="79">
        <f>SUM(V20:V31)</f>
        <v>9447005.6900000013</v>
      </c>
      <c r="W32" s="80">
        <f>V32/U32</f>
        <v>6093.2457822249999</v>
      </c>
      <c r="X32" s="81">
        <f>SUM(X20:X31)</f>
        <v>2164</v>
      </c>
      <c r="Y32" s="82">
        <f>SUM(Y20:Y31)</f>
        <v>10344139</v>
      </c>
      <c r="Z32" s="83">
        <f>Y32/X32</f>
        <v>4780.101201478743</v>
      </c>
      <c r="AA32" s="84">
        <f>X32/U32</f>
        <v>1.3957633037833914</v>
      </c>
      <c r="AB32" s="85">
        <f>Y32/V32</f>
        <v>1.0949648321848315</v>
      </c>
      <c r="AC32" s="86">
        <f>Z32/W32</f>
        <v>0.78449177537250903</v>
      </c>
      <c r="AD32" s="87">
        <f>SUM(AD20:AD31)</f>
        <v>1365</v>
      </c>
      <c r="AE32" s="87">
        <f>SUM(AE20:AE31)</f>
        <v>13668991</v>
      </c>
      <c r="AF32" s="87">
        <f>AE32/AD32</f>
        <v>10013.91282051282</v>
      </c>
      <c r="AG32" s="87">
        <f>SUM(AG20:AG31)</f>
        <v>799</v>
      </c>
      <c r="AH32" s="87">
        <f>SUM(AH20:AH31)</f>
        <v>-3324852</v>
      </c>
      <c r="AI32" s="88">
        <f>AH32/AG32</f>
        <v>-4161.2665832290359</v>
      </c>
    </row>
    <row r="33" spans="1:36" ht="15" thickBot="1" x14ac:dyDescent="0.4">
      <c r="A33" s="27" t="s">
        <v>33</v>
      </c>
      <c r="B33" s="28">
        <f>SUM(B21:B32)</f>
        <v>12316589</v>
      </c>
      <c r="C33" s="28"/>
      <c r="D33" s="29"/>
      <c r="E33" s="30"/>
      <c r="F33" s="28"/>
      <c r="G33" s="30"/>
      <c r="H33" s="30"/>
      <c r="I33" s="30"/>
      <c r="J33" s="31"/>
      <c r="K33" s="32">
        <f>SUM(K21:K32)</f>
        <v>11956100</v>
      </c>
      <c r="L33" s="33">
        <f>K33/M33</f>
        <v>6204.5147898287496</v>
      </c>
      <c r="M33" s="33">
        <f>SUM(M21:M32)</f>
        <v>1927</v>
      </c>
      <c r="N33" s="34">
        <f>SUM(N21:N32)</f>
        <v>1239</v>
      </c>
      <c r="O33" s="35"/>
      <c r="P33" s="36"/>
      <c r="Q33" s="36"/>
      <c r="R33" s="37"/>
    </row>
    <row r="35" spans="1:36" ht="15" thickBot="1" x14ac:dyDescent="0.4">
      <c r="D35" s="130"/>
    </row>
    <row r="36" spans="1:36" ht="26.25" customHeight="1" thickBot="1" x14ac:dyDescent="0.4">
      <c r="T36" s="162" t="s">
        <v>50</v>
      </c>
      <c r="U36" s="163"/>
      <c r="V36" s="163"/>
      <c r="W36" s="163"/>
      <c r="X36" s="163"/>
      <c r="Y36" s="163"/>
      <c r="Z36" s="164"/>
      <c r="AA36" s="129" t="s">
        <v>1</v>
      </c>
      <c r="AB36" s="165">
        <v>12316589</v>
      </c>
      <c r="AC36" s="165"/>
      <c r="AD36" s="166" t="s">
        <v>51</v>
      </c>
      <c r="AE36" s="166"/>
      <c r="AF36" s="166"/>
      <c r="AG36" s="166"/>
      <c r="AH36" s="166"/>
      <c r="AI36" s="167"/>
    </row>
    <row r="37" spans="1:36" ht="15.5" x14ac:dyDescent="0.35">
      <c r="T37" s="168" t="s">
        <v>5</v>
      </c>
      <c r="U37" s="170" t="s">
        <v>39</v>
      </c>
      <c r="V37" s="171"/>
      <c r="W37" s="172"/>
      <c r="X37" s="170" t="s">
        <v>40</v>
      </c>
      <c r="Y37" s="171"/>
      <c r="Z37" s="172"/>
      <c r="AA37" s="170" t="s">
        <v>41</v>
      </c>
      <c r="AB37" s="171"/>
      <c r="AC37" s="172"/>
      <c r="AD37" s="173" t="s">
        <v>52</v>
      </c>
      <c r="AE37" s="174"/>
      <c r="AF37" s="175"/>
      <c r="AG37" s="176" t="s">
        <v>53</v>
      </c>
      <c r="AH37" s="177"/>
      <c r="AI37" s="178"/>
    </row>
    <row r="38" spans="1:36" x14ac:dyDescent="0.35">
      <c r="T38" s="169"/>
      <c r="U38" s="104" t="s">
        <v>46</v>
      </c>
      <c r="V38" s="89" t="s">
        <v>47</v>
      </c>
      <c r="W38" s="105" t="s">
        <v>48</v>
      </c>
      <c r="X38" s="104" t="s">
        <v>46</v>
      </c>
      <c r="Y38" s="89" t="s">
        <v>47</v>
      </c>
      <c r="Z38" s="105" t="s">
        <v>48</v>
      </c>
      <c r="AA38" s="104" t="s">
        <v>46</v>
      </c>
      <c r="AB38" s="89" t="s">
        <v>47</v>
      </c>
      <c r="AC38" s="105" t="s">
        <v>48</v>
      </c>
      <c r="AD38" s="120" t="s">
        <v>46</v>
      </c>
      <c r="AE38" s="90" t="s">
        <v>47</v>
      </c>
      <c r="AF38" s="97" t="s">
        <v>48</v>
      </c>
      <c r="AG38" s="114" t="s">
        <v>46</v>
      </c>
      <c r="AH38" s="90" t="s">
        <v>47</v>
      </c>
      <c r="AI38" s="97" t="s">
        <v>48</v>
      </c>
    </row>
    <row r="39" spans="1:36" ht="15.5" x14ac:dyDescent="0.35">
      <c r="T39" s="66" t="s">
        <v>18</v>
      </c>
      <c r="U39" s="11">
        <v>241</v>
      </c>
      <c r="V39" s="11">
        <v>1300312</v>
      </c>
      <c r="W39" s="11">
        <f>V39/U39</f>
        <v>5395.485477178423</v>
      </c>
      <c r="X39" s="11">
        <v>256</v>
      </c>
      <c r="Y39" s="12">
        <v>1500101</v>
      </c>
      <c r="Z39" s="11">
        <v>5862</v>
      </c>
      <c r="AA39" s="60">
        <f>X39/U40</f>
        <v>1.4883720930232558</v>
      </c>
      <c r="AB39" s="61">
        <f t="shared" ref="AA39:AC50" si="16">Y39/V39</f>
        <v>1.1536469708808348</v>
      </c>
      <c r="AC39" s="62">
        <f>Z39/W39</f>
        <v>1.0864638640572417</v>
      </c>
      <c r="AD39" s="121">
        <v>152</v>
      </c>
      <c r="AE39" s="179">
        <v>819004</v>
      </c>
      <c r="AF39" s="122">
        <v>5388.1842105263158</v>
      </c>
      <c r="AG39" s="119">
        <f t="shared" ref="AG39:AH43" si="17">X39-AD39</f>
        <v>104</v>
      </c>
      <c r="AH39" s="64">
        <f t="shared" si="17"/>
        <v>681097</v>
      </c>
      <c r="AI39" s="65">
        <f t="shared" ref="AI39:AI50" si="18">Z39-AF39</f>
        <v>473.81578947368416</v>
      </c>
    </row>
    <row r="40" spans="1:36" ht="15.5" x14ac:dyDescent="0.35">
      <c r="T40" s="56" t="s">
        <v>19</v>
      </c>
      <c r="U40" s="11">
        <v>172</v>
      </c>
      <c r="V40" s="11">
        <v>900423</v>
      </c>
      <c r="W40" s="11">
        <f t="shared" ref="W40:W46" si="19">V40/U40</f>
        <v>5235.0174418604647</v>
      </c>
      <c r="X40" s="11">
        <v>184</v>
      </c>
      <c r="Y40" s="12">
        <v>910542</v>
      </c>
      <c r="Z40" s="11">
        <v>4954</v>
      </c>
      <c r="AA40" s="60">
        <f>X40/U41</f>
        <v>0.78969957081545061</v>
      </c>
      <c r="AB40" s="61">
        <f t="shared" si="16"/>
        <v>1.0112380514491521</v>
      </c>
      <c r="AC40" s="62">
        <f t="shared" si="16"/>
        <v>0.94631967419757168</v>
      </c>
      <c r="AD40" s="123">
        <v>183</v>
      </c>
      <c r="AE40" s="179">
        <v>902154</v>
      </c>
      <c r="AF40" s="122">
        <v>4929.8032786885242</v>
      </c>
      <c r="AG40" s="119">
        <f t="shared" si="17"/>
        <v>1</v>
      </c>
      <c r="AH40" s="64">
        <f t="shared" si="17"/>
        <v>8388</v>
      </c>
      <c r="AI40" s="65">
        <f t="shared" si="18"/>
        <v>24.196721311475812</v>
      </c>
    </row>
    <row r="41" spans="1:36" ht="15.5" x14ac:dyDescent="0.35">
      <c r="T41" s="66" t="s">
        <v>20</v>
      </c>
      <c r="U41" s="11">
        <v>233</v>
      </c>
      <c r="V41" s="11">
        <v>1200756</v>
      </c>
      <c r="W41" s="11">
        <f t="shared" si="19"/>
        <v>5153.4592274678107</v>
      </c>
      <c r="X41" s="11">
        <v>212</v>
      </c>
      <c r="Y41" s="12">
        <v>1250178</v>
      </c>
      <c r="Z41" s="11">
        <v>5889</v>
      </c>
      <c r="AA41" s="60">
        <f t="shared" si="16"/>
        <v>0.90987124463519309</v>
      </c>
      <c r="AB41" s="61">
        <f t="shared" si="16"/>
        <v>1.0411590697860349</v>
      </c>
      <c r="AC41" s="62">
        <f t="shared" si="16"/>
        <v>1.1427275816235773</v>
      </c>
      <c r="AD41" s="123">
        <v>171</v>
      </c>
      <c r="AE41" s="179">
        <v>1100025</v>
      </c>
      <c r="AF41" s="122">
        <v>6432.894736842105</v>
      </c>
      <c r="AG41" s="119">
        <f t="shared" si="17"/>
        <v>41</v>
      </c>
      <c r="AH41" s="64">
        <f t="shared" si="17"/>
        <v>150153</v>
      </c>
      <c r="AI41" s="65">
        <f t="shared" si="18"/>
        <v>-543.89473684210498</v>
      </c>
    </row>
    <row r="42" spans="1:36" ht="15.5" x14ac:dyDescent="0.35">
      <c r="T42" s="56" t="s">
        <v>21</v>
      </c>
      <c r="U42" s="11">
        <v>131</v>
      </c>
      <c r="V42" s="11">
        <v>760931</v>
      </c>
      <c r="W42" s="11">
        <f t="shared" si="19"/>
        <v>5808.6335877862593</v>
      </c>
      <c r="X42" s="11">
        <v>144</v>
      </c>
      <c r="Y42" s="12">
        <v>850085</v>
      </c>
      <c r="Z42" s="11">
        <v>5901</v>
      </c>
      <c r="AA42" s="60">
        <f t="shared" si="16"/>
        <v>1.0992366412213741</v>
      </c>
      <c r="AB42" s="61">
        <f t="shared" si="16"/>
        <v>1.1171643683855699</v>
      </c>
      <c r="AC42" s="62">
        <f>Z42/W42</f>
        <v>1.0159015732044037</v>
      </c>
      <c r="AD42" s="123">
        <v>131</v>
      </c>
      <c r="AE42" s="179">
        <v>651024</v>
      </c>
      <c r="AF42" s="122">
        <v>4969.6488549618325</v>
      </c>
      <c r="AG42" s="119">
        <f t="shared" si="17"/>
        <v>13</v>
      </c>
      <c r="AH42" s="64">
        <f t="shared" si="17"/>
        <v>199061</v>
      </c>
      <c r="AI42" s="65">
        <f t="shared" si="18"/>
        <v>931.35114503816749</v>
      </c>
    </row>
    <row r="43" spans="1:36" ht="15.5" x14ac:dyDescent="0.35">
      <c r="T43" s="56" t="s">
        <v>22</v>
      </c>
      <c r="U43" s="11">
        <v>115</v>
      </c>
      <c r="V43" s="11">
        <v>600504</v>
      </c>
      <c r="W43" s="11">
        <f t="shared" si="19"/>
        <v>5221.7739130434784</v>
      </c>
      <c r="X43" s="11">
        <v>127</v>
      </c>
      <c r="Y43" s="12">
        <v>750001</v>
      </c>
      <c r="Z43" s="11">
        <v>5894</v>
      </c>
      <c r="AA43" s="60">
        <f t="shared" si="16"/>
        <v>1.1043478260869566</v>
      </c>
      <c r="AB43" s="61">
        <f t="shared" si="16"/>
        <v>1.2489525465275835</v>
      </c>
      <c r="AC43" s="62">
        <f>Z43/W43</f>
        <v>1.1287351957688874</v>
      </c>
      <c r="AD43" s="123">
        <v>124</v>
      </c>
      <c r="AE43" s="179">
        <v>584004</v>
      </c>
      <c r="AF43" s="122">
        <v>4709.7096774193551</v>
      </c>
      <c r="AG43" s="119">
        <f t="shared" si="17"/>
        <v>3</v>
      </c>
      <c r="AH43" s="64">
        <f t="shared" si="17"/>
        <v>165997</v>
      </c>
      <c r="AI43" s="65">
        <f t="shared" si="18"/>
        <v>1184.2903225806449</v>
      </c>
    </row>
    <row r="44" spans="1:36" ht="15.5" x14ac:dyDescent="0.35">
      <c r="T44" s="56" t="s">
        <v>23</v>
      </c>
      <c r="U44" s="11">
        <v>135</v>
      </c>
      <c r="V44" s="11">
        <v>700942</v>
      </c>
      <c r="W44" s="11">
        <f t="shared" si="19"/>
        <v>5192.1629629629633</v>
      </c>
      <c r="X44" s="11">
        <v>121</v>
      </c>
      <c r="Y44" s="12">
        <v>700102</v>
      </c>
      <c r="Z44" s="11">
        <v>5780</v>
      </c>
      <c r="AA44" s="60">
        <f t="shared" si="16"/>
        <v>0.89629629629629626</v>
      </c>
      <c r="AB44" s="61">
        <f t="shared" si="16"/>
        <v>0.99880161268692702</v>
      </c>
      <c r="AC44" s="62">
        <f>Z44/W44</f>
        <v>1.1132162147510065</v>
      </c>
      <c r="AD44" s="123">
        <v>134</v>
      </c>
      <c r="AE44" s="179">
        <v>840525</v>
      </c>
      <c r="AF44" s="122">
        <v>6272.5746268656712</v>
      </c>
      <c r="AG44" s="119">
        <f>X44-AD44</f>
        <v>-13</v>
      </c>
      <c r="AH44" s="64">
        <f>Y44-AE44</f>
        <v>-140423</v>
      </c>
      <c r="AI44" s="65">
        <f t="shared" si="18"/>
        <v>-492.57462686567123</v>
      </c>
    </row>
    <row r="45" spans="1:36" ht="15.5" x14ac:dyDescent="0.35">
      <c r="T45" s="66" t="s">
        <v>25</v>
      </c>
      <c r="U45" s="11">
        <v>223</v>
      </c>
      <c r="V45" s="11">
        <v>1200339</v>
      </c>
      <c r="W45" s="11">
        <f t="shared" si="19"/>
        <v>5382.6860986547081</v>
      </c>
      <c r="X45" s="11">
        <v>240</v>
      </c>
      <c r="Y45" s="12">
        <v>1400112</v>
      </c>
      <c r="Z45" s="11">
        <v>5845</v>
      </c>
      <c r="AA45" s="60">
        <f t="shared" si="16"/>
        <v>1.0762331838565022</v>
      </c>
      <c r="AB45" s="61">
        <f t="shared" si="16"/>
        <v>1.1664304833884427</v>
      </c>
      <c r="AC45" s="62">
        <f t="shared" ref="AC45:AC50" si="20">Z45/W45</f>
        <v>1.0858890696711514</v>
      </c>
      <c r="AD45" s="123">
        <v>143</v>
      </c>
      <c r="AE45" s="179">
        <v>782456</v>
      </c>
      <c r="AF45" s="122">
        <v>5471.7202797202799</v>
      </c>
      <c r="AG45" s="119">
        <f t="shared" ref="AG45:AG50" si="21">X45-AD45</f>
        <v>97</v>
      </c>
      <c r="AH45" s="64">
        <f t="shared" ref="AH45:AH50" si="22">Y45-AE45</f>
        <v>617656</v>
      </c>
      <c r="AI45" s="65">
        <f t="shared" si="18"/>
        <v>373.2797202797201</v>
      </c>
    </row>
    <row r="46" spans="1:36" ht="15.5" x14ac:dyDescent="0.35">
      <c r="T46" s="66" t="s">
        <v>26</v>
      </c>
      <c r="U46" s="11">
        <v>223</v>
      </c>
      <c r="V46" s="11">
        <v>1200601</v>
      </c>
      <c r="W46" s="11">
        <f t="shared" si="19"/>
        <v>5383.8609865470853</v>
      </c>
      <c r="X46" s="11">
        <v>278</v>
      </c>
      <c r="Y46" s="12">
        <v>1629177</v>
      </c>
      <c r="Z46" s="11">
        <v>5860</v>
      </c>
      <c r="AA46" s="60">
        <f t="shared" si="16"/>
        <v>1.2466367713004485</v>
      </c>
      <c r="AB46" s="61">
        <f t="shared" si="16"/>
        <v>1.3569678852508036</v>
      </c>
      <c r="AC46" s="62">
        <f t="shared" si="20"/>
        <v>1.0884382071978951</v>
      </c>
      <c r="AD46" s="123">
        <v>122</v>
      </c>
      <c r="AE46" s="179">
        <v>658210</v>
      </c>
      <c r="AF46" s="122">
        <v>5395.1639344262294</v>
      </c>
      <c r="AG46" s="119">
        <f t="shared" si="21"/>
        <v>156</v>
      </c>
      <c r="AH46" s="64">
        <f t="shared" si="22"/>
        <v>970967</v>
      </c>
      <c r="AI46" s="65">
        <f t="shared" si="18"/>
        <v>464.83606557377061</v>
      </c>
    </row>
    <row r="47" spans="1:36" ht="15.5" hidden="1" x14ac:dyDescent="0.35">
      <c r="T47" s="56" t="s">
        <v>27</v>
      </c>
      <c r="U47" s="57"/>
      <c r="V47" s="58">
        <f t="shared" ref="V41:V50" si="23">U47*W47</f>
        <v>0</v>
      </c>
      <c r="W47" s="59">
        <v>6063</v>
      </c>
      <c r="X47" s="108">
        <f t="shared" ref="X39:X50" si="24">G29</f>
        <v>0</v>
      </c>
      <c r="Y47" s="91">
        <f t="shared" ref="Y39:Y50" si="25">C29</f>
        <v>0</v>
      </c>
      <c r="Z47" s="109">
        <f t="shared" ref="Z39:Z50" si="26">E29</f>
        <v>0</v>
      </c>
      <c r="AA47" s="60" t="e">
        <f t="shared" si="16"/>
        <v>#DIV/0!</v>
      </c>
      <c r="AB47" s="61" t="e">
        <f t="shared" si="16"/>
        <v>#DIV/0!</v>
      </c>
      <c r="AC47" s="62">
        <f t="shared" si="20"/>
        <v>0</v>
      </c>
      <c r="AD47" s="123">
        <v>122</v>
      </c>
      <c r="AE47" s="92">
        <v>711267</v>
      </c>
      <c r="AF47" s="122">
        <f t="shared" ref="AF41:AF50" si="27">Z28</f>
        <v>5698.4754098360654</v>
      </c>
      <c r="AG47" s="119">
        <f t="shared" si="21"/>
        <v>-122</v>
      </c>
      <c r="AH47" s="64">
        <f t="shared" si="22"/>
        <v>-711267</v>
      </c>
      <c r="AI47" s="65">
        <f t="shared" si="18"/>
        <v>-5698.4754098360654</v>
      </c>
      <c r="AJ47" s="1" t="s">
        <v>54</v>
      </c>
    </row>
    <row r="48" spans="1:36" ht="15.5" hidden="1" x14ac:dyDescent="0.35">
      <c r="T48" s="56" t="s">
        <v>29</v>
      </c>
      <c r="U48" s="57"/>
      <c r="V48" s="58">
        <f t="shared" si="23"/>
        <v>0</v>
      </c>
      <c r="W48" s="59">
        <v>6306</v>
      </c>
      <c r="X48" s="108">
        <f t="shared" si="24"/>
        <v>0</v>
      </c>
      <c r="Y48" s="91">
        <f t="shared" si="25"/>
        <v>0</v>
      </c>
      <c r="Z48" s="109">
        <f t="shared" si="26"/>
        <v>0</v>
      </c>
      <c r="AA48" s="60" t="e">
        <f t="shared" si="16"/>
        <v>#DIV/0!</v>
      </c>
      <c r="AB48" s="61" t="e">
        <f t="shared" si="16"/>
        <v>#DIV/0!</v>
      </c>
      <c r="AC48" s="62">
        <f t="shared" si="20"/>
        <v>0</v>
      </c>
      <c r="AD48" s="123">
        <v>387</v>
      </c>
      <c r="AE48" s="92">
        <v>2357916</v>
      </c>
      <c r="AF48" s="122">
        <f t="shared" si="27"/>
        <v>3245.6020671834626</v>
      </c>
      <c r="AG48" s="119">
        <f t="shared" si="21"/>
        <v>-387</v>
      </c>
      <c r="AH48" s="64">
        <f t="shared" si="22"/>
        <v>-2357916</v>
      </c>
      <c r="AI48" s="65">
        <f t="shared" si="18"/>
        <v>-3245.6020671834626</v>
      </c>
    </row>
    <row r="49" spans="20:35" ht="15.5" hidden="1" x14ac:dyDescent="0.35">
      <c r="T49" s="66" t="s">
        <v>31</v>
      </c>
      <c r="U49" s="57"/>
      <c r="V49" s="58">
        <f t="shared" si="23"/>
        <v>0</v>
      </c>
      <c r="W49" s="59">
        <v>5705</v>
      </c>
      <c r="X49" s="108">
        <f t="shared" si="24"/>
        <v>0</v>
      </c>
      <c r="Y49" s="91">
        <f t="shared" si="25"/>
        <v>0</v>
      </c>
      <c r="Z49" s="109">
        <f t="shared" si="26"/>
        <v>0</v>
      </c>
      <c r="AA49" s="60" t="e">
        <f t="shared" si="16"/>
        <v>#DIV/0!</v>
      </c>
      <c r="AB49" s="61" t="e">
        <f t="shared" si="16"/>
        <v>#DIV/0!</v>
      </c>
      <c r="AC49" s="62">
        <f t="shared" si="20"/>
        <v>0</v>
      </c>
      <c r="AD49" s="123">
        <v>264</v>
      </c>
      <c r="AE49" s="92">
        <v>1442482</v>
      </c>
      <c r="AF49" s="122">
        <f t="shared" si="27"/>
        <v>3220.6439393939395</v>
      </c>
      <c r="AG49" s="119">
        <f t="shared" si="21"/>
        <v>-264</v>
      </c>
      <c r="AH49" s="64">
        <f t="shared" si="22"/>
        <v>-1442482</v>
      </c>
      <c r="AI49" s="65">
        <f t="shared" si="18"/>
        <v>-3220.6439393939395</v>
      </c>
    </row>
    <row r="50" spans="20:35" ht="15.5" hidden="1" x14ac:dyDescent="0.35">
      <c r="T50" s="56" t="s">
        <v>32</v>
      </c>
      <c r="U50" s="57"/>
      <c r="V50" s="58">
        <f t="shared" si="23"/>
        <v>0</v>
      </c>
      <c r="W50" s="59">
        <v>5920</v>
      </c>
      <c r="X50" s="108">
        <f t="shared" si="24"/>
        <v>0</v>
      </c>
      <c r="Y50" s="91">
        <f t="shared" si="25"/>
        <v>0</v>
      </c>
      <c r="Z50" s="109">
        <f t="shared" si="26"/>
        <v>0</v>
      </c>
      <c r="AA50" s="60" t="e">
        <f t="shared" si="16"/>
        <v>#DIV/0!</v>
      </c>
      <c r="AB50" s="61" t="e">
        <f t="shared" si="16"/>
        <v>#DIV/0!</v>
      </c>
      <c r="AC50" s="62">
        <f t="shared" si="20"/>
        <v>0</v>
      </c>
      <c r="AD50" s="123">
        <v>231</v>
      </c>
      <c r="AE50" s="92">
        <v>1326676</v>
      </c>
      <c r="AF50" s="122">
        <f t="shared" si="27"/>
        <v>5217.424242424242</v>
      </c>
      <c r="AG50" s="119">
        <f t="shared" si="21"/>
        <v>-231</v>
      </c>
      <c r="AH50" s="64">
        <f t="shared" si="22"/>
        <v>-1326676</v>
      </c>
      <c r="AI50" s="65">
        <f t="shared" si="18"/>
        <v>-5217.424242424242</v>
      </c>
    </row>
    <row r="51" spans="20:35" ht="15.5" x14ac:dyDescent="0.35">
      <c r="T51" s="101" t="s">
        <v>55</v>
      </c>
      <c r="U51" s="106">
        <f>SUM(U40:U50)</f>
        <v>1232</v>
      </c>
      <c r="V51" s="93">
        <f>SUM(V39:V46)</f>
        <v>7864808</v>
      </c>
      <c r="W51" s="107">
        <f>V51/U51</f>
        <v>6383.772727272727</v>
      </c>
      <c r="X51" s="110">
        <f>SUM(X39:X46)</f>
        <v>1562</v>
      </c>
      <c r="Y51" s="94">
        <f>SUM(Y39:Y46)</f>
        <v>8990298</v>
      </c>
      <c r="Z51" s="111">
        <f>Y51/X51</f>
        <v>5755.6325224071707</v>
      </c>
      <c r="AA51" s="115">
        <f>X51/U51</f>
        <v>1.2678571428571428</v>
      </c>
      <c r="AB51" s="96">
        <f>Y51/V51</f>
        <v>1.1431045741993955</v>
      </c>
      <c r="AC51" s="116">
        <f>Z51/W51</f>
        <v>0.90160360781924165</v>
      </c>
      <c r="AD51" s="124">
        <f>SUM(AD39:AD45)</f>
        <v>1038</v>
      </c>
      <c r="AE51" s="95">
        <f>SUM(AE39:AE45)</f>
        <v>5679192</v>
      </c>
      <c r="AF51" s="111">
        <f>AE51/AD51</f>
        <v>5471.2832369942198</v>
      </c>
      <c r="AG51" s="103">
        <f>SUM(AG39:AG45)</f>
        <v>246</v>
      </c>
      <c r="AH51" s="94">
        <f>SUM(AH39:AH45)</f>
        <v>1681929</v>
      </c>
      <c r="AI51" s="98">
        <f>(AI39+AI40+AI41+AI42+AI43+AI44+AI45)/7</f>
        <v>278.63776213941662</v>
      </c>
    </row>
    <row r="52" spans="20:35" ht="15" thickBot="1" x14ac:dyDescent="0.4">
      <c r="T52" s="102" t="s">
        <v>49</v>
      </c>
      <c r="U52" s="112" t="s">
        <v>34</v>
      </c>
      <c r="V52" s="112" t="s">
        <v>34</v>
      </c>
      <c r="W52" s="112" t="s">
        <v>34</v>
      </c>
      <c r="X52" s="112" t="s">
        <v>34</v>
      </c>
      <c r="Y52" s="99" t="s">
        <v>34</v>
      </c>
      <c r="Z52" s="113" t="s">
        <v>34</v>
      </c>
      <c r="AA52" s="117" t="s">
        <v>34</v>
      </c>
      <c r="AB52" s="100" t="s">
        <v>34</v>
      </c>
      <c r="AC52" s="118" t="s">
        <v>34</v>
      </c>
      <c r="AD52" s="125">
        <f>SUM(AD39:AD50)</f>
        <v>2164</v>
      </c>
      <c r="AE52" s="126">
        <v>10344139</v>
      </c>
      <c r="AF52" s="127">
        <f>AE52/AD52</f>
        <v>4780.101201478743</v>
      </c>
      <c r="AG52" s="128" t="s">
        <v>34</v>
      </c>
      <c r="AH52" s="126" t="s">
        <v>34</v>
      </c>
      <c r="AI52" s="127" t="s">
        <v>34</v>
      </c>
    </row>
    <row r="55" spans="20:35" x14ac:dyDescent="0.35">
      <c r="Z55" s="131"/>
    </row>
  </sheetData>
  <mergeCells count="31">
    <mergeCell ref="T36:Z36"/>
    <mergeCell ref="AB36:AC36"/>
    <mergeCell ref="AD36:AI36"/>
    <mergeCell ref="T37:T38"/>
    <mergeCell ref="U37:W37"/>
    <mergeCell ref="X37:Z37"/>
    <mergeCell ref="AA37:AC37"/>
    <mergeCell ref="AD37:AF37"/>
    <mergeCell ref="AG37:AI37"/>
    <mergeCell ref="T16:AI16"/>
    <mergeCell ref="T17:Z17"/>
    <mergeCell ref="AB17:AC17"/>
    <mergeCell ref="AD17:AI17"/>
    <mergeCell ref="A18:L18"/>
    <mergeCell ref="M18:N18"/>
    <mergeCell ref="O18:R18"/>
    <mergeCell ref="T18:T19"/>
    <mergeCell ref="U18:W18"/>
    <mergeCell ref="X18:Z18"/>
    <mergeCell ref="AA18:AC18"/>
    <mergeCell ref="AD18:AF18"/>
    <mergeCell ref="AG18:AI18"/>
    <mergeCell ref="A19:I19"/>
    <mergeCell ref="K19:N19"/>
    <mergeCell ref="O19:R19"/>
    <mergeCell ref="A1:L1"/>
    <mergeCell ref="M1:N1"/>
    <mergeCell ref="O1:R1"/>
    <mergeCell ref="A2:I2"/>
    <mergeCell ref="K2:N2"/>
    <mergeCell ref="O2:R2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1227BA-E029-4F65-B39A-409046F4BB40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991d8fc-075a-40d9-9005-ea82ca0145cf}" enabled="1" method="Privileged" siteId="{54eb9440-cf03-45fe-835e-61bd4ce515c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總表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陳穎萱</dc:creator>
  <cp:lastModifiedBy>陳勁棧</cp:lastModifiedBy>
  <cp:lastPrinted>2026-07-16T05:43:50Z</cp:lastPrinted>
  <dcterms:created xsi:type="dcterms:W3CDTF">2025-12-18T03:33:15Z</dcterms:created>
  <dcterms:modified xsi:type="dcterms:W3CDTF">2026-09-12T00:52:28Z</dcterms:modified>
</cp:coreProperties>
</file>