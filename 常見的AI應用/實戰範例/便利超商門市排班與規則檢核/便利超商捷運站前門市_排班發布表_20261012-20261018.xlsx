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門市排班總表" sheetId="1" state="visible" r:id="rId1"/>
    <sheet xmlns:r="http://schemas.openxmlformats.org/officeDocument/2006/relationships" name="A_店長" sheetId="2" state="visible" r:id="rId2"/>
    <sheet xmlns:r="http://schemas.openxmlformats.org/officeDocument/2006/relationships" name="B_副店長" sheetId="3" state="visible" r:id="rId3"/>
    <sheet xmlns:r="http://schemas.openxmlformats.org/officeDocument/2006/relationships" name="C_專職大夜" sheetId="4" state="visible" r:id="rId4"/>
    <sheet xmlns:r="http://schemas.openxmlformats.org/officeDocument/2006/relationships" name="G_正職店員" sheetId="5" state="visible" r:id="rId5"/>
    <sheet xmlns:r="http://schemas.openxmlformats.org/officeDocument/2006/relationships" name="D_大三工讀" sheetId="6" state="visible" r:id="rId6"/>
    <sheet xmlns:r="http://schemas.openxmlformats.org/officeDocument/2006/relationships" name="E_大四工讀" sheetId="7" state="visible" r:id="rId7"/>
    <sheet xmlns:r="http://schemas.openxmlformats.org/officeDocument/2006/relationships" name="H_早班兼職" sheetId="8" state="visible" r:id="rId8"/>
    <sheet xmlns:r="http://schemas.openxmlformats.org/officeDocument/2006/relationships" name="F_假日兼職" sheetId="9" state="visible" r:id="rId9"/>
  </sheets>
  <definedNames>
    <definedName name="_xlnm.Print_Area" localSheetId="0">'門市排班總表'!$A$1:$K$14</definedName>
    <definedName name="_xlnm.Print_Area" localSheetId="1">'A_店長'!$A$1:$G$10</definedName>
    <definedName name="_xlnm.Print_Area" localSheetId="2">'B_副店長'!$A$1:$G$10</definedName>
    <definedName name="_xlnm.Print_Area" localSheetId="3">'C_專職大夜'!$A$1:$G$10</definedName>
    <definedName name="_xlnm.Print_Area" localSheetId="4">'G_正職店員'!$A$1:$G$10</definedName>
    <definedName name="_xlnm.Print_Area" localSheetId="5">'D_大三工讀'!$A$1:$G$10</definedName>
    <definedName name="_xlnm.Print_Area" localSheetId="6">'E_大四工讀'!$A$1:$G$10</definedName>
    <definedName name="_xlnm.Print_Area" localSheetId="7">'H_早班兼職'!$A$1:$G$10</definedName>
    <definedName name="_xlnm.Print_Area" localSheetId="8">'F_假日兼職'!$A$1:$G$10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4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color rgb="00233143"/>
      <sz val="11"/>
    </font>
    <font>
      <name val="Microsoft JhengHei"/>
      <b val="1"/>
      <color rgb="00233143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595959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5">
    <border>
      <left/>
      <right/>
      <top/>
      <bottom/>
      <diagonal/>
    </border>
    <border>
      <left style="thin">
        <color rgb="00B7C6D5"/>
      </left>
      <right style="thin">
        <color rgb="00B7C6D5"/>
      </right>
      <top style="thin">
        <color rgb="00B7C6D5"/>
      </top>
      <bottom style="thin">
        <color rgb="00B7C6D5"/>
      </bottom>
    </border>
    <border>
      <left/>
      <right/>
      <top style="thin">
        <color rgb="00B7C6D5"/>
      </top>
      <bottom/>
      <diagonal/>
    </border>
    <border>
      <left/>
      <right style="thin">
        <color rgb="00B7C6D5"/>
      </right>
      <top style="thin">
        <color rgb="00B7C6D5"/>
      </top>
      <bottom/>
      <diagonal/>
    </border>
    <border>
      <left/>
      <right style="thin">
        <color rgb="00B7C6D5"/>
      </right>
      <top style="thin">
        <color rgb="00B7C6D5"/>
      </top>
      <bottom style="thin">
        <color rgb="00B7C6D5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165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5" customWidth="1" min="10" max="10"/>
    <col width="24" customWidth="1" min="11" max="11"/>
  </cols>
  <sheetData>
    <row r="1" ht="34" customHeight="1">
      <c r="A1" s="1" t="inlineStr">
        <is>
          <t>員工姓名與代號</t>
        </is>
      </c>
      <c r="B1" s="1" t="inlineStr">
        <is>
          <t>職稱 / 身分</t>
        </is>
      </c>
      <c r="C1" s="1" t="inlineStr">
        <is>
          <t>10/12(週一)</t>
        </is>
      </c>
      <c r="D1" s="1" t="inlineStr">
        <is>
          <t>10/13(週二)</t>
        </is>
      </c>
      <c r="E1" s="1" t="inlineStr">
        <is>
          <t>10/14(週三)</t>
        </is>
      </c>
      <c r="F1" s="1" t="inlineStr">
        <is>
          <t>10/15(週四)</t>
        </is>
      </c>
      <c r="G1" s="1" t="inlineStr">
        <is>
          <t>10/16(週五)</t>
        </is>
      </c>
      <c r="H1" s="1" t="inlineStr">
        <is>
          <t>10/17(週六)</t>
        </is>
      </c>
      <c r="I1" s="1" t="inlineStr">
        <is>
          <t>10/18(週日)</t>
        </is>
      </c>
      <c r="J1" s="1" t="inlineStr">
        <is>
          <t>本週累計工時</t>
        </is>
      </c>
      <c r="K1" s="1" t="inlineStr">
        <is>
          <t>本週出勤天數</t>
        </is>
      </c>
    </row>
    <row r="2" ht="29" customHeight="1">
      <c r="A2" s="2" t="inlineStr">
        <is>
          <t>A 店長</t>
        </is>
      </c>
      <c r="B2" s="2" t="inlineStr">
        <is>
          <t>店長</t>
        </is>
      </c>
      <c r="C2" s="3" t="inlineStr">
        <is>
          <t>D</t>
        </is>
      </c>
      <c r="D2" s="3" t="inlineStr">
        <is>
          <t>D</t>
        </is>
      </c>
      <c r="E2" s="4" t="inlineStr">
        <is>
          <t>E</t>
        </is>
      </c>
      <c r="F2" s="4" t="inlineStr">
        <is>
          <t>E</t>
        </is>
      </c>
      <c r="G2" s="5" t="inlineStr">
        <is>
          <t>N</t>
        </is>
      </c>
      <c r="H2" s="6" t="inlineStr">
        <is>
          <t>休</t>
        </is>
      </c>
      <c r="I2" s="6" t="inlineStr">
        <is>
          <t>休</t>
        </is>
      </c>
      <c r="J2" s="2">
        <f>8*(COUNTIF(C2:I2,"D")+COUNTIF(C2:I2,"E")+COUNTIF(C2:I2,"N"))</f>
        <v/>
      </c>
      <c r="K2" s="2">
        <f>COUNTIF(C2:I2,"D")+COUNTIF(C2:I2,"E")+COUNTIF(C2:I2,"N")</f>
        <v/>
      </c>
    </row>
    <row r="3" ht="29" customHeight="1">
      <c r="A3" s="2" t="inlineStr">
        <is>
          <t>B 副店長</t>
        </is>
      </c>
      <c r="B3" s="2" t="inlineStr">
        <is>
          <t>副店長</t>
        </is>
      </c>
      <c r="C3" s="6" t="inlineStr">
        <is>
          <t>休</t>
        </is>
      </c>
      <c r="D3" s="4" t="inlineStr">
        <is>
          <t>E</t>
        </is>
      </c>
      <c r="E3" s="6" t="inlineStr">
        <is>
          <t>休</t>
        </is>
      </c>
      <c r="F3" s="3" t="inlineStr">
        <is>
          <t>D</t>
        </is>
      </c>
      <c r="G3" s="3" t="inlineStr">
        <is>
          <t>D</t>
        </is>
      </c>
      <c r="H3" s="4" t="inlineStr">
        <is>
          <t>E</t>
        </is>
      </c>
      <c r="I3" s="5" t="inlineStr">
        <is>
          <t>N</t>
        </is>
      </c>
      <c r="J3" s="2">
        <f>8*(COUNTIF(C3:I3,"D")+COUNTIF(C3:I3,"E")+COUNTIF(C3:I3,"N"))</f>
        <v/>
      </c>
      <c r="K3" s="2">
        <f>COUNTIF(C3:I3,"D")+COUNTIF(C3:I3,"E")+COUNTIF(C3:I3,"N")</f>
        <v/>
      </c>
    </row>
    <row r="4" ht="29" customHeight="1">
      <c r="A4" s="2" t="inlineStr">
        <is>
          <t>C 專職大夜</t>
        </is>
      </c>
      <c r="B4" s="2" t="inlineStr">
        <is>
          <t>專職大夜</t>
        </is>
      </c>
      <c r="C4" s="5" t="inlineStr">
        <is>
          <t>N</t>
        </is>
      </c>
      <c r="D4" s="5" t="inlineStr">
        <is>
          <t>N</t>
        </is>
      </c>
      <c r="E4" s="5" t="inlineStr">
        <is>
          <t>N</t>
        </is>
      </c>
      <c r="F4" s="5" t="inlineStr">
        <is>
          <t>N</t>
        </is>
      </c>
      <c r="G4" s="6" t="inlineStr">
        <is>
          <t>休</t>
        </is>
      </c>
      <c r="H4" s="5" t="inlineStr">
        <is>
          <t>N</t>
        </is>
      </c>
      <c r="I4" s="6" t="inlineStr">
        <is>
          <t>休</t>
        </is>
      </c>
      <c r="J4" s="2">
        <f>8*(COUNTIF(C4:I4,"D")+COUNTIF(C4:I4,"E")+COUNTIF(C4:I4,"N"))</f>
        <v/>
      </c>
      <c r="K4" s="2">
        <f>COUNTIF(C4:I4,"D")+COUNTIF(C4:I4,"E")+COUNTIF(C4:I4,"N")</f>
        <v/>
      </c>
    </row>
    <row r="5" ht="29" customHeight="1">
      <c r="A5" s="2" t="inlineStr">
        <is>
          <t>G 正職店員</t>
        </is>
      </c>
      <c r="B5" s="2" t="inlineStr">
        <is>
          <t>正職店員</t>
        </is>
      </c>
      <c r="C5" s="3" t="inlineStr">
        <is>
          <t>D</t>
        </is>
      </c>
      <c r="D5" s="3" t="inlineStr">
        <is>
          <t>D</t>
        </is>
      </c>
      <c r="E5" s="3" t="inlineStr">
        <is>
          <t>D</t>
        </is>
      </c>
      <c r="F5" s="4" t="inlineStr">
        <is>
          <t>E</t>
        </is>
      </c>
      <c r="G5" s="4" t="inlineStr">
        <is>
          <t>E</t>
        </is>
      </c>
      <c r="H5" s="6" t="inlineStr">
        <is>
          <t>休</t>
        </is>
      </c>
      <c r="I5" s="6" t="inlineStr">
        <is>
          <t>休</t>
        </is>
      </c>
      <c r="J5" s="2">
        <f>8*(COUNTIF(C5:I5,"D")+COUNTIF(C5:I5,"E")+COUNTIF(C5:I5,"N"))</f>
        <v/>
      </c>
      <c r="K5" s="2">
        <f>COUNTIF(C5:I5,"D")+COUNTIF(C5:I5,"E")+COUNTIF(C5:I5,"N")</f>
        <v/>
      </c>
    </row>
    <row r="6" ht="29" customHeight="1">
      <c r="A6" s="2" t="inlineStr">
        <is>
          <t>D 大三工讀</t>
        </is>
      </c>
      <c r="B6" s="2" t="inlineStr">
        <is>
          <t>大三工讀</t>
        </is>
      </c>
      <c r="C6" s="4" t="inlineStr">
        <is>
          <t>E</t>
        </is>
      </c>
      <c r="D6" s="6" t="inlineStr">
        <is>
          <t>休</t>
        </is>
      </c>
      <c r="E6" s="6" t="inlineStr">
        <is>
          <t>休</t>
        </is>
      </c>
      <c r="F6" s="6" t="inlineStr">
        <is>
          <t>休</t>
        </is>
      </c>
      <c r="G6" s="4" t="inlineStr">
        <is>
          <t>E</t>
        </is>
      </c>
      <c r="H6" s="4" t="inlineStr">
        <is>
          <t>E</t>
        </is>
      </c>
      <c r="I6" s="6" t="inlineStr">
        <is>
          <t>休</t>
        </is>
      </c>
      <c r="J6" s="2">
        <f>8*(COUNTIF(C6:I6,"D")+COUNTIF(C6:I6,"E")+COUNTIF(C6:I6,"N"))</f>
        <v/>
      </c>
      <c r="K6" s="2">
        <f>COUNTIF(C6:I6,"D")+COUNTIF(C6:I6,"E")+COUNTIF(C6:I6,"N")</f>
        <v/>
      </c>
    </row>
    <row r="7" ht="29" customHeight="1">
      <c r="A7" s="2" t="inlineStr">
        <is>
          <t>E 大四工讀</t>
        </is>
      </c>
      <c r="B7" s="2" t="inlineStr">
        <is>
          <t>大四工讀</t>
        </is>
      </c>
      <c r="C7" s="6" t="inlineStr">
        <is>
          <t>休</t>
        </is>
      </c>
      <c r="D7" s="4" t="inlineStr">
        <is>
          <t>E</t>
        </is>
      </c>
      <c r="E7" s="4" t="inlineStr">
        <is>
          <t>E</t>
        </is>
      </c>
      <c r="F7" s="6" t="inlineStr">
        <is>
          <t>休</t>
        </is>
      </c>
      <c r="G7" s="6" t="inlineStr">
        <is>
          <t>休</t>
        </is>
      </c>
      <c r="H7" s="6" t="inlineStr">
        <is>
          <t>休</t>
        </is>
      </c>
      <c r="I7" s="3" t="inlineStr">
        <is>
          <t>D</t>
        </is>
      </c>
      <c r="J7" s="2">
        <f>8*(COUNTIF(C7:I7,"D")+COUNTIF(C7:I7,"E")+COUNTIF(C7:I7,"N"))</f>
        <v/>
      </c>
      <c r="K7" s="2">
        <f>COUNTIF(C7:I7,"D")+COUNTIF(C7:I7,"E")+COUNTIF(C7:I7,"N")</f>
        <v/>
      </c>
    </row>
    <row r="8" ht="29" customHeight="1">
      <c r="A8" s="2" t="inlineStr">
        <is>
          <t>H 早班兼職</t>
        </is>
      </c>
      <c r="B8" s="2" t="inlineStr">
        <is>
          <t>早班兼職</t>
        </is>
      </c>
      <c r="C8" s="6" t="inlineStr">
        <is>
          <t>休</t>
        </is>
      </c>
      <c r="D8" s="6" t="inlineStr">
        <is>
          <t>休</t>
        </is>
      </c>
      <c r="E8" s="3" t="inlineStr">
        <is>
          <t>D</t>
        </is>
      </c>
      <c r="F8" s="3" t="inlineStr">
        <is>
          <t>D</t>
        </is>
      </c>
      <c r="G8" s="3" t="inlineStr">
        <is>
          <t>D</t>
        </is>
      </c>
      <c r="H8" s="6" t="inlineStr">
        <is>
          <t>休</t>
        </is>
      </c>
      <c r="I8" s="6" t="inlineStr">
        <is>
          <t>休</t>
        </is>
      </c>
      <c r="J8" s="2">
        <f>8*(COUNTIF(C8:I8,"D")+COUNTIF(C8:I8,"E")+COUNTIF(C8:I8,"N"))</f>
        <v/>
      </c>
      <c r="K8" s="2">
        <f>COUNTIF(C8:I8,"D")+COUNTIF(C8:I8,"E")+COUNTIF(C8:I8,"N")</f>
        <v/>
      </c>
    </row>
    <row r="9" ht="29" customHeight="1">
      <c r="A9" s="2" t="inlineStr">
        <is>
          <t>F 假日兼職</t>
        </is>
      </c>
      <c r="B9" s="2" t="inlineStr">
        <is>
          <t>假日兼職</t>
        </is>
      </c>
      <c r="C9" s="6" t="inlineStr">
        <is>
          <t>休</t>
        </is>
      </c>
      <c r="D9" s="6" t="inlineStr">
        <is>
          <t>休</t>
        </is>
      </c>
      <c r="E9" s="6" t="inlineStr">
        <is>
          <t>休</t>
        </is>
      </c>
      <c r="F9" s="6" t="inlineStr">
        <is>
          <t>休</t>
        </is>
      </c>
      <c r="G9" s="6" t="inlineStr">
        <is>
          <t>休</t>
        </is>
      </c>
      <c r="H9" s="3" t="inlineStr">
        <is>
          <t>D</t>
        </is>
      </c>
      <c r="I9" s="4" t="inlineStr">
        <is>
          <t>E</t>
        </is>
      </c>
      <c r="J9" s="2">
        <f>8*(COUNTIF(C9:I9,"D")+COUNTIF(C9:I9,"E")+COUNTIF(C9:I9,"N"))</f>
        <v/>
      </c>
      <c r="K9" s="2">
        <f>COUNTIF(C9:I9,"D")+COUNTIF(C9:I9,"E")+COUNTIF(C9:I9,"N")</f>
        <v/>
      </c>
    </row>
    <row r="11" ht="31" customHeight="1">
      <c r="A11" s="1" t="inlineStr">
        <is>
          <t>早班 (D) 當值人數（平日需 2 人；週末需 1 人）</t>
        </is>
      </c>
      <c r="B11" s="1" t="n"/>
      <c r="C11" s="2">
        <f>COUNTIF(C2:C9,"D")</f>
        <v/>
      </c>
      <c r="D11" s="2">
        <f>COUNTIF(D2:D9,"D")</f>
        <v/>
      </c>
      <c r="E11" s="2">
        <f>COUNTIF(E2:E9,"D")</f>
        <v/>
      </c>
      <c r="F11" s="2">
        <f>COUNTIF(F2:F9,"D")</f>
        <v/>
      </c>
      <c r="G11" s="2">
        <f>COUNTIF(G2:G9,"D")</f>
        <v/>
      </c>
      <c r="H11" s="2">
        <f>COUNTIF(H2:H9,"D")</f>
        <v/>
      </c>
      <c r="I11" s="2">
        <f>COUNTIF(I2:I9,"D")</f>
        <v/>
      </c>
      <c r="J11" s="2" t="n"/>
      <c r="K11" s="2" t="n"/>
    </row>
    <row r="12" ht="31" customHeight="1">
      <c r="A12" s="1" t="inlineStr">
        <is>
          <t>晚班 (E) 當值人數（每日需 2 人）</t>
        </is>
      </c>
      <c r="B12" s="1" t="n"/>
      <c r="C12" s="2">
        <f>COUNTIF(C2:C9,"E")</f>
        <v/>
      </c>
      <c r="D12" s="2">
        <f>COUNTIF(D2:D9,"E")</f>
        <v/>
      </c>
      <c r="E12" s="2">
        <f>COUNTIF(E2:E9,"E")</f>
        <v/>
      </c>
      <c r="F12" s="2">
        <f>COUNTIF(F2:F9,"E")</f>
        <v/>
      </c>
      <c r="G12" s="2">
        <f>COUNTIF(G2:G9,"E")</f>
        <v/>
      </c>
      <c r="H12" s="2">
        <f>COUNTIF(H2:H9,"E")</f>
        <v/>
      </c>
      <c r="I12" s="2">
        <f>COUNTIF(I2:I9,"E")</f>
        <v/>
      </c>
      <c r="J12" s="2" t="n"/>
      <c r="K12" s="2" t="n"/>
    </row>
    <row r="13" ht="31" customHeight="1">
      <c r="A13" s="1" t="inlineStr">
        <is>
          <t>大夜 (N) 當值人數（每日需 1 人）</t>
        </is>
      </c>
      <c r="B13" s="1" t="n"/>
      <c r="C13" s="2">
        <f>COUNTIF(C2:C9,"N")</f>
        <v/>
      </c>
      <c r="D13" s="2">
        <f>COUNTIF(D2:D9,"N")</f>
        <v/>
      </c>
      <c r="E13" s="2">
        <f>COUNTIF(E2:E9,"N")</f>
        <v/>
      </c>
      <c r="F13" s="2">
        <f>COUNTIF(F2:F9,"N")</f>
        <v/>
      </c>
      <c r="G13" s="2">
        <f>COUNTIF(G2:G9,"N")</f>
        <v/>
      </c>
      <c r="H13" s="2">
        <f>COUNTIF(H2:H9,"N")</f>
        <v/>
      </c>
      <c r="I13" s="2">
        <f>COUNTIF(I2:I9,"N")</f>
        <v/>
      </c>
      <c r="J13" s="2" t="n"/>
      <c r="K13" s="2" t="n"/>
    </row>
    <row r="14" ht="38" customHeight="1">
      <c r="A14" s="1" t="inlineStr">
        <is>
          <t>缺額檢核狀態</t>
        </is>
      </c>
      <c r="B14" s="1" t="n"/>
      <c r="C14" s="7">
        <f>IF(AND(C11&gt;=2,C12&gt;=2,C13&gt;=1),"達標","⚠️ 缺額")</f>
        <v/>
      </c>
      <c r="D14" s="8">
        <f>IF(AND(D11&gt;=2,D12&gt;=2,D13&gt;=1),"達標","⚠️ 缺額")</f>
        <v/>
      </c>
      <c r="E14" s="8">
        <f>IF(AND(E11&gt;=2,E12&gt;=2,E13&gt;=1),"達標","⚠️ 缺額")</f>
        <v/>
      </c>
      <c r="F14" s="8">
        <f>IF(AND(F11&gt;=2,F12&gt;=2,F13&gt;=1),"達標","⚠️ 缺額")</f>
        <v/>
      </c>
      <c r="G14" s="8">
        <f>IF(AND(G11&gt;=2,G12&gt;=2,G13&gt;=1),"達標","⚠️ 缺額")</f>
        <v/>
      </c>
      <c r="H14" s="8">
        <f>IF(AND(H11&gt;=1,H12&gt;=2,H13&gt;=1),"達標","⚠️ 缺額")</f>
        <v/>
      </c>
      <c r="I14" s="7">
        <f>IF(AND(I11&gt;=1,I12&gt;=2,I13&gt;=1),"達標","⚠️ 缺額")</f>
        <v/>
      </c>
      <c r="J14" s="7" t="inlineStr">
        <is>
          <t>全週缺額：週一晚班 1 人、週日晚班 1 人</t>
        </is>
      </c>
      <c r="K14" s="9" t="n"/>
    </row>
  </sheetData>
  <mergeCells count="5">
    <mergeCell ref="J14:K14"/>
    <mergeCell ref="A11:B11"/>
    <mergeCell ref="A13:B13"/>
    <mergeCell ref="A14:B14"/>
    <mergeCell ref="A12:B12"/>
  </mergeCells>
  <printOptions horizontalCentered="1"/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6" customWidth="1" min="4" max="4"/>
    <col width="23" customWidth="1" min="5" max="5"/>
    <col width="15" customWidth="1" min="6" max="6"/>
    <col width="58" customWidth="1" min="7" max="7"/>
  </cols>
  <sheetData>
    <row r="1" ht="38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班別代碼</t>
        </is>
      </c>
      <c r="D1" s="1" t="inlineStr">
        <is>
          <t>班別名稱</t>
        </is>
      </c>
      <c r="E1" s="1" t="inlineStr">
        <is>
          <t>出勤起訖時段</t>
        </is>
      </c>
      <c r="F1" s="1" t="inlineStr">
        <is>
          <t>當日工時</t>
        </is>
      </c>
      <c r="G1" s="1" t="inlineStr">
        <is>
          <t>當班工作重點與營運注意事項</t>
        </is>
      </c>
    </row>
    <row r="2" ht="35" customHeight="1">
      <c r="A2" s="10" t="n">
        <v>46307</v>
      </c>
      <c r="B2" s="2" t="inlineStr">
        <is>
          <t>週一</t>
        </is>
      </c>
      <c r="C2" s="3" t="inlineStr">
        <is>
          <t>D</t>
        </is>
      </c>
      <c r="D2" s="2" t="inlineStr">
        <is>
          <t>早班</t>
        </is>
      </c>
      <c r="E2" s="2" t="inlineStr">
        <is>
          <t>07:00 – 15:00</t>
        </is>
      </c>
      <c r="F2" s="2" t="n">
        <v>8</v>
      </c>
      <c r="G2" s="2" t="inlineStr">
        <is>
          <t>捷運通勤早餐、咖啡尖峰；日配鮮食進貨驗收</t>
        </is>
      </c>
    </row>
    <row r="3" ht="35" customHeight="1">
      <c r="A3" s="10" t="n">
        <v>46308</v>
      </c>
      <c r="B3" s="2" t="inlineStr">
        <is>
          <t>週二</t>
        </is>
      </c>
      <c r="C3" s="3" t="inlineStr">
        <is>
          <t>D</t>
        </is>
      </c>
      <c r="D3" s="2" t="inlineStr">
        <is>
          <t>早班</t>
        </is>
      </c>
      <c r="E3" s="2" t="inlineStr">
        <is>
          <t>07:00 – 15:00</t>
        </is>
      </c>
      <c r="F3" s="2" t="n">
        <v>8</v>
      </c>
      <c r="G3" s="2" t="inlineStr">
        <is>
          <t>捷運通勤早餐、咖啡尖峰；日配鮮食進貨驗收</t>
        </is>
      </c>
    </row>
    <row r="4" ht="35" customHeight="1">
      <c r="A4" s="10" t="n">
        <v>46309</v>
      </c>
      <c r="B4" s="2" t="inlineStr">
        <is>
          <t>週三</t>
        </is>
      </c>
      <c r="C4" s="4" t="inlineStr">
        <is>
          <t>E</t>
        </is>
      </c>
      <c r="D4" s="2" t="inlineStr">
        <is>
          <t>晚班</t>
        </is>
      </c>
      <c r="E4" s="2" t="inlineStr">
        <is>
          <t>15:00 – 23:00</t>
        </is>
      </c>
      <c r="F4" s="2" t="n">
        <v>8</v>
      </c>
      <c r="G4" s="2" t="inlineStr">
        <is>
          <t>下班人潮、晚餐熱食與網購包裹取件尖峰</t>
        </is>
      </c>
    </row>
    <row r="5" ht="35" customHeight="1">
      <c r="A5" s="10" t="n">
        <v>46310</v>
      </c>
      <c r="B5" s="2" t="inlineStr">
        <is>
          <t>週四</t>
        </is>
      </c>
      <c r="C5" s="4" t="inlineStr">
        <is>
          <t>E</t>
        </is>
      </c>
      <c r="D5" s="2" t="inlineStr">
        <is>
          <t>晚班</t>
        </is>
      </c>
      <c r="E5" s="2" t="inlineStr">
        <is>
          <t>15:00 – 23:00</t>
        </is>
      </c>
      <c r="F5" s="2" t="n">
        <v>8</v>
      </c>
      <c r="G5" s="2" t="inlineStr">
        <is>
          <t>下班人潮、晚餐熱食與網購包裹取件尖峰</t>
        </is>
      </c>
    </row>
    <row r="6" ht="35" customHeight="1">
      <c r="A6" s="10" t="n">
        <v>46311</v>
      </c>
      <c r="B6" s="2" t="inlineStr">
        <is>
          <t>週五</t>
        </is>
      </c>
      <c r="C6" s="5" t="inlineStr">
        <is>
          <t>N</t>
        </is>
      </c>
      <c r="D6" s="2" t="inlineStr">
        <is>
          <t>大夜班</t>
        </is>
      </c>
      <c r="E6" s="2" t="inlineStr">
        <is>
          <t>23:00 – 翌日 07:00</t>
        </is>
      </c>
      <c r="F6" s="2" t="n">
        <v>8</v>
      </c>
      <c r="G6" s="2" t="inlineStr">
        <is>
          <t>物流進貨、全店清潔消毒與日盤點</t>
        </is>
      </c>
    </row>
    <row r="7" ht="35" customHeight="1">
      <c r="A7" s="10" t="n">
        <v>46312</v>
      </c>
      <c r="B7" s="2" t="inlineStr">
        <is>
          <t>週六</t>
        </is>
      </c>
      <c r="C7" s="6" t="inlineStr">
        <is>
          <t>休</t>
        </is>
      </c>
      <c r="D7" s="2" t="inlineStr">
        <is>
          <t>例休</t>
        </is>
      </c>
      <c r="E7" s="2" t="inlineStr">
        <is>
          <t>免出勤</t>
        </is>
      </c>
      <c r="F7" s="2" t="n">
        <v>0</v>
      </c>
      <c r="G7" s="2" t="inlineStr">
        <is>
          <t>休假，免出勤</t>
        </is>
      </c>
    </row>
    <row r="8" ht="35" customHeight="1">
      <c r="A8" s="10" t="n">
        <v>46313</v>
      </c>
      <c r="B8" s="2" t="inlineStr">
        <is>
          <t>週日</t>
        </is>
      </c>
      <c r="C8" s="6" t="inlineStr">
        <is>
          <t>休</t>
        </is>
      </c>
      <c r="D8" s="2" t="inlineStr">
        <is>
          <t>例休</t>
        </is>
      </c>
      <c r="E8" s="2" t="inlineStr">
        <is>
          <t>免出勤</t>
        </is>
      </c>
      <c r="F8" s="2" t="n">
        <v>0</v>
      </c>
      <c r="G8" s="2" t="inlineStr">
        <is>
          <t>休假，免出勤</t>
        </is>
      </c>
    </row>
    <row r="9" ht="34" customHeight="1">
      <c r="A9" s="1" t="inlineStr">
        <is>
          <t>本週合計</t>
        </is>
      </c>
      <c r="B9" s="1" t="n"/>
      <c r="C9" s="1" t="n"/>
      <c r="D9" s="1" t="n"/>
      <c r="E9" s="1" t="n"/>
      <c r="F9" s="1">
        <f>SUM(F2:F8)</f>
        <v/>
      </c>
      <c r="G9" s="1">
        <f>"本週出勤天數："&amp;(COUNTIF(C2:C8,"D")+COUNTIF(C2:C8,"E")+COUNTIF(C2:C8,"N"))&amp;" 天"</f>
        <v/>
      </c>
    </row>
    <row r="10" ht="34" customHeight="1">
      <c r="A10" s="6" t="inlineStr">
        <is>
          <t>每週工時上限</t>
        </is>
      </c>
      <c r="B10" s="6" t="n"/>
      <c r="C10" s="6" t="n"/>
      <c r="D10" s="6" t="n"/>
      <c r="E10" s="6" t="n"/>
      <c r="F10" s="6" t="n">
        <v>40</v>
      </c>
      <c r="G10" s="6">
        <f>IF(F9&lt;=F10,"工時合規","⚠️ 超過工時上限")</f>
        <v/>
      </c>
    </row>
  </sheetData>
  <printOptions horizontalCentered="1"/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6" customWidth="1" min="4" max="4"/>
    <col width="23" customWidth="1" min="5" max="5"/>
    <col width="15" customWidth="1" min="6" max="6"/>
    <col width="58" customWidth="1" min="7" max="7"/>
  </cols>
  <sheetData>
    <row r="1" ht="38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班別代碼</t>
        </is>
      </c>
      <c r="D1" s="1" t="inlineStr">
        <is>
          <t>班別名稱</t>
        </is>
      </c>
      <c r="E1" s="1" t="inlineStr">
        <is>
          <t>出勤起訖時段</t>
        </is>
      </c>
      <c r="F1" s="1" t="inlineStr">
        <is>
          <t>當日工時</t>
        </is>
      </c>
      <c r="G1" s="1" t="inlineStr">
        <is>
          <t>當班工作重點與營運注意事項</t>
        </is>
      </c>
    </row>
    <row r="2" ht="35" customHeight="1">
      <c r="A2" s="10" t="n">
        <v>46307</v>
      </c>
      <c r="B2" s="2" t="inlineStr">
        <is>
          <t>週一</t>
        </is>
      </c>
      <c r="C2" s="6" t="inlineStr">
        <is>
          <t>休</t>
        </is>
      </c>
      <c r="D2" s="2" t="inlineStr">
        <is>
          <t>例休</t>
        </is>
      </c>
      <c r="E2" s="2" t="inlineStr">
        <is>
          <t>免出勤</t>
        </is>
      </c>
      <c r="F2" s="2" t="n">
        <v>0</v>
      </c>
      <c r="G2" s="2" t="inlineStr">
        <is>
          <t>休假，免出勤</t>
        </is>
      </c>
    </row>
    <row r="3" ht="35" customHeight="1">
      <c r="A3" s="10" t="n">
        <v>46308</v>
      </c>
      <c r="B3" s="2" t="inlineStr">
        <is>
          <t>週二</t>
        </is>
      </c>
      <c r="C3" s="4" t="inlineStr">
        <is>
          <t>E</t>
        </is>
      </c>
      <c r="D3" s="2" t="inlineStr">
        <is>
          <t>晚班</t>
        </is>
      </c>
      <c r="E3" s="2" t="inlineStr">
        <is>
          <t>15:00 – 23:00</t>
        </is>
      </c>
      <c r="F3" s="2" t="n">
        <v>8</v>
      </c>
      <c r="G3" s="2" t="inlineStr">
        <is>
          <t>下班人潮、晚餐熱食與網購包裹取件尖峰</t>
        </is>
      </c>
    </row>
    <row r="4" ht="35" customHeight="1">
      <c r="A4" s="10" t="n">
        <v>46309</v>
      </c>
      <c r="B4" s="2" t="inlineStr">
        <is>
          <t>週三</t>
        </is>
      </c>
      <c r="C4" s="6" t="inlineStr">
        <is>
          <t>休</t>
        </is>
      </c>
      <c r="D4" s="2" t="inlineStr">
        <is>
          <t>例休</t>
        </is>
      </c>
      <c r="E4" s="2" t="inlineStr">
        <is>
          <t>免出勤</t>
        </is>
      </c>
      <c r="F4" s="2" t="n">
        <v>0</v>
      </c>
      <c r="G4" s="2" t="inlineStr">
        <is>
          <t>休假，免出勤</t>
        </is>
      </c>
    </row>
    <row r="5" ht="35" customHeight="1">
      <c r="A5" s="10" t="n">
        <v>46310</v>
      </c>
      <c r="B5" s="2" t="inlineStr">
        <is>
          <t>週四</t>
        </is>
      </c>
      <c r="C5" s="3" t="inlineStr">
        <is>
          <t>D</t>
        </is>
      </c>
      <c r="D5" s="2" t="inlineStr">
        <is>
          <t>早班</t>
        </is>
      </c>
      <c r="E5" s="2" t="inlineStr">
        <is>
          <t>07:00 – 15:00</t>
        </is>
      </c>
      <c r="F5" s="2" t="n">
        <v>8</v>
      </c>
      <c r="G5" s="2" t="inlineStr">
        <is>
          <t>捷運通勤早餐、咖啡尖峰；日配鮮食進貨驗收</t>
        </is>
      </c>
    </row>
    <row r="6" ht="35" customHeight="1">
      <c r="A6" s="10" t="n">
        <v>46311</v>
      </c>
      <c r="B6" s="2" t="inlineStr">
        <is>
          <t>週五</t>
        </is>
      </c>
      <c r="C6" s="3" t="inlineStr">
        <is>
          <t>D</t>
        </is>
      </c>
      <c r="D6" s="2" t="inlineStr">
        <is>
          <t>早班</t>
        </is>
      </c>
      <c r="E6" s="2" t="inlineStr">
        <is>
          <t>07:00 – 15:00</t>
        </is>
      </c>
      <c r="F6" s="2" t="n">
        <v>8</v>
      </c>
      <c r="G6" s="2" t="inlineStr">
        <is>
          <t>捷運通勤早餐、咖啡尖峰；日配鮮食進貨驗收</t>
        </is>
      </c>
    </row>
    <row r="7" ht="35" customHeight="1">
      <c r="A7" s="10" t="n">
        <v>46312</v>
      </c>
      <c r="B7" s="2" t="inlineStr">
        <is>
          <t>週六</t>
        </is>
      </c>
      <c r="C7" s="4" t="inlineStr">
        <is>
          <t>E</t>
        </is>
      </c>
      <c r="D7" s="2" t="inlineStr">
        <is>
          <t>晚班</t>
        </is>
      </c>
      <c r="E7" s="2" t="inlineStr">
        <is>
          <t>15:00 – 23:00</t>
        </is>
      </c>
      <c r="F7" s="2" t="n">
        <v>8</v>
      </c>
      <c r="G7" s="2" t="inlineStr">
        <is>
          <t>下班人潮、晚餐熱食與網購包裹取件尖峰</t>
        </is>
      </c>
    </row>
    <row r="8" ht="35" customHeight="1">
      <c r="A8" s="10" t="n">
        <v>46313</v>
      </c>
      <c r="B8" s="2" t="inlineStr">
        <is>
          <t>週日</t>
        </is>
      </c>
      <c r="C8" s="5" t="inlineStr">
        <is>
          <t>N</t>
        </is>
      </c>
      <c r="D8" s="2" t="inlineStr">
        <is>
          <t>大夜班</t>
        </is>
      </c>
      <c r="E8" s="2" t="inlineStr">
        <is>
          <t>23:00 – 翌日 07:00</t>
        </is>
      </c>
      <c r="F8" s="2" t="n">
        <v>8</v>
      </c>
      <c r="G8" s="2" t="inlineStr">
        <is>
          <t>物流進貨、全店清潔消毒與日盤點</t>
        </is>
      </c>
    </row>
    <row r="9" ht="34" customHeight="1">
      <c r="A9" s="1" t="inlineStr">
        <is>
          <t>本週合計</t>
        </is>
      </c>
      <c r="B9" s="1" t="n"/>
      <c r="C9" s="1" t="n"/>
      <c r="D9" s="1" t="n"/>
      <c r="E9" s="1" t="n"/>
      <c r="F9" s="1">
        <f>SUM(F2:F8)</f>
        <v/>
      </c>
      <c r="G9" s="1">
        <f>"本週出勤天數："&amp;(COUNTIF(C2:C8,"D")+COUNTIF(C2:C8,"E")+COUNTIF(C2:C8,"N"))&amp;" 天"</f>
        <v/>
      </c>
    </row>
    <row r="10" ht="34" customHeight="1">
      <c r="A10" s="6" t="inlineStr">
        <is>
          <t>每週工時上限</t>
        </is>
      </c>
      <c r="B10" s="6" t="n"/>
      <c r="C10" s="6" t="n"/>
      <c r="D10" s="6" t="n"/>
      <c r="E10" s="6" t="n"/>
      <c r="F10" s="6" t="n">
        <v>40</v>
      </c>
      <c r="G10" s="6">
        <f>IF(F9&lt;=F10,"工時合規","⚠️ 超過工時上限")</f>
        <v/>
      </c>
    </row>
  </sheetData>
  <printOptions horizontalCentered="1"/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6" customWidth="1" min="4" max="4"/>
    <col width="23" customWidth="1" min="5" max="5"/>
    <col width="15" customWidth="1" min="6" max="6"/>
    <col width="58" customWidth="1" min="7" max="7"/>
  </cols>
  <sheetData>
    <row r="1" ht="38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班別代碼</t>
        </is>
      </c>
      <c r="D1" s="1" t="inlineStr">
        <is>
          <t>班別名稱</t>
        </is>
      </c>
      <c r="E1" s="1" t="inlineStr">
        <is>
          <t>出勤起訖時段</t>
        </is>
      </c>
      <c r="F1" s="1" t="inlineStr">
        <is>
          <t>當日工時</t>
        </is>
      </c>
      <c r="G1" s="1" t="inlineStr">
        <is>
          <t>當班工作重點與營運注意事項</t>
        </is>
      </c>
    </row>
    <row r="2" ht="35" customHeight="1">
      <c r="A2" s="10" t="n">
        <v>46307</v>
      </c>
      <c r="B2" s="2" t="inlineStr">
        <is>
          <t>週一</t>
        </is>
      </c>
      <c r="C2" s="5" t="inlineStr">
        <is>
          <t>N</t>
        </is>
      </c>
      <c r="D2" s="2" t="inlineStr">
        <is>
          <t>大夜班</t>
        </is>
      </c>
      <c r="E2" s="2" t="inlineStr">
        <is>
          <t>23:00 – 翌日 07:00</t>
        </is>
      </c>
      <c r="F2" s="2" t="n">
        <v>8</v>
      </c>
      <c r="G2" s="2" t="inlineStr">
        <is>
          <t>物流進貨、全店清潔消毒與日盤點</t>
        </is>
      </c>
    </row>
    <row r="3" ht="35" customHeight="1">
      <c r="A3" s="10" t="n">
        <v>46308</v>
      </c>
      <c r="B3" s="2" t="inlineStr">
        <is>
          <t>週二</t>
        </is>
      </c>
      <c r="C3" s="5" t="inlineStr">
        <is>
          <t>N</t>
        </is>
      </c>
      <c r="D3" s="2" t="inlineStr">
        <is>
          <t>大夜班</t>
        </is>
      </c>
      <c r="E3" s="2" t="inlineStr">
        <is>
          <t>23:00 – 翌日 07:00</t>
        </is>
      </c>
      <c r="F3" s="2" t="n">
        <v>8</v>
      </c>
      <c r="G3" s="2" t="inlineStr">
        <is>
          <t>物流進貨、全店清潔消毒與日盤點</t>
        </is>
      </c>
    </row>
    <row r="4" ht="35" customHeight="1">
      <c r="A4" s="10" t="n">
        <v>46309</v>
      </c>
      <c r="B4" s="2" t="inlineStr">
        <is>
          <t>週三</t>
        </is>
      </c>
      <c r="C4" s="5" t="inlineStr">
        <is>
          <t>N</t>
        </is>
      </c>
      <c r="D4" s="2" t="inlineStr">
        <is>
          <t>大夜班</t>
        </is>
      </c>
      <c r="E4" s="2" t="inlineStr">
        <is>
          <t>23:00 – 翌日 07:00</t>
        </is>
      </c>
      <c r="F4" s="2" t="n">
        <v>8</v>
      </c>
      <c r="G4" s="2" t="inlineStr">
        <is>
          <t>物流進貨、全店清潔消毒與日盤點</t>
        </is>
      </c>
    </row>
    <row r="5" ht="35" customHeight="1">
      <c r="A5" s="10" t="n">
        <v>46310</v>
      </c>
      <c r="B5" s="2" t="inlineStr">
        <is>
          <t>週四</t>
        </is>
      </c>
      <c r="C5" s="5" t="inlineStr">
        <is>
          <t>N</t>
        </is>
      </c>
      <c r="D5" s="2" t="inlineStr">
        <is>
          <t>大夜班</t>
        </is>
      </c>
      <c r="E5" s="2" t="inlineStr">
        <is>
          <t>23:00 – 翌日 07:00</t>
        </is>
      </c>
      <c r="F5" s="2" t="n">
        <v>8</v>
      </c>
      <c r="G5" s="2" t="inlineStr">
        <is>
          <t>物流進貨、全店清潔消毒與日盤點</t>
        </is>
      </c>
    </row>
    <row r="6" ht="35" customHeight="1">
      <c r="A6" s="10" t="n">
        <v>46311</v>
      </c>
      <c r="B6" s="2" t="inlineStr">
        <is>
          <t>週五</t>
        </is>
      </c>
      <c r="C6" s="6" t="inlineStr">
        <is>
          <t>休</t>
        </is>
      </c>
      <c r="D6" s="2" t="inlineStr">
        <is>
          <t>特休</t>
        </is>
      </c>
      <c r="E6" s="2" t="inlineStr">
        <is>
          <t>免出勤</t>
        </is>
      </c>
      <c r="F6" s="2" t="n">
        <v>0</v>
      </c>
      <c r="G6" s="2" t="inlineStr">
        <is>
          <t>特別休假，免出勤</t>
        </is>
      </c>
    </row>
    <row r="7" ht="35" customHeight="1">
      <c r="A7" s="10" t="n">
        <v>46312</v>
      </c>
      <c r="B7" s="2" t="inlineStr">
        <is>
          <t>週六</t>
        </is>
      </c>
      <c r="C7" s="5" t="inlineStr">
        <is>
          <t>N</t>
        </is>
      </c>
      <c r="D7" s="2" t="inlineStr">
        <is>
          <t>大夜班</t>
        </is>
      </c>
      <c r="E7" s="2" t="inlineStr">
        <is>
          <t>23:00 – 翌日 07:00</t>
        </is>
      </c>
      <c r="F7" s="2" t="n">
        <v>8</v>
      </c>
      <c r="G7" s="2" t="inlineStr">
        <is>
          <t>物流進貨、全店清潔消毒與日盤點</t>
        </is>
      </c>
    </row>
    <row r="8" ht="35" customHeight="1">
      <c r="A8" s="10" t="n">
        <v>46313</v>
      </c>
      <c r="B8" s="2" t="inlineStr">
        <is>
          <t>週日</t>
        </is>
      </c>
      <c r="C8" s="6" t="inlineStr">
        <is>
          <t>休</t>
        </is>
      </c>
      <c r="D8" s="2" t="inlineStr">
        <is>
          <t>例休</t>
        </is>
      </c>
      <c r="E8" s="2" t="inlineStr">
        <is>
          <t>免出勤</t>
        </is>
      </c>
      <c r="F8" s="2" t="n">
        <v>0</v>
      </c>
      <c r="G8" s="2" t="inlineStr">
        <is>
          <t>休假，免出勤</t>
        </is>
      </c>
    </row>
    <row r="9" ht="34" customHeight="1">
      <c r="A9" s="1" t="inlineStr">
        <is>
          <t>本週合計</t>
        </is>
      </c>
      <c r="B9" s="1" t="n"/>
      <c r="C9" s="1" t="n"/>
      <c r="D9" s="1" t="n"/>
      <c r="E9" s="1" t="n"/>
      <c r="F9" s="1">
        <f>SUM(F2:F8)</f>
        <v/>
      </c>
      <c r="G9" s="1">
        <f>"本週出勤天數："&amp;(COUNTIF(C2:C8,"D")+COUNTIF(C2:C8,"E")+COUNTIF(C2:C8,"N"))&amp;" 天"</f>
        <v/>
      </c>
    </row>
    <row r="10" ht="34" customHeight="1">
      <c r="A10" s="6" t="inlineStr">
        <is>
          <t>每週工時上限</t>
        </is>
      </c>
      <c r="B10" s="6" t="n"/>
      <c r="C10" s="6" t="n"/>
      <c r="D10" s="6" t="n"/>
      <c r="E10" s="6" t="n"/>
      <c r="F10" s="6" t="n">
        <v>40</v>
      </c>
      <c r="G10" s="6">
        <f>IF(F9&lt;=F10,"工時合規","⚠️ 超過工時上限")</f>
        <v/>
      </c>
    </row>
  </sheetData>
  <printOptions horizontalCentered="1"/>
  <pageMargins left="0.75" right="0.7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6" customWidth="1" min="4" max="4"/>
    <col width="23" customWidth="1" min="5" max="5"/>
    <col width="15" customWidth="1" min="6" max="6"/>
    <col width="58" customWidth="1" min="7" max="7"/>
  </cols>
  <sheetData>
    <row r="1" ht="38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班別代碼</t>
        </is>
      </c>
      <c r="D1" s="1" t="inlineStr">
        <is>
          <t>班別名稱</t>
        </is>
      </c>
      <c r="E1" s="1" t="inlineStr">
        <is>
          <t>出勤起訖時段</t>
        </is>
      </c>
      <c r="F1" s="1" t="inlineStr">
        <is>
          <t>當日工時</t>
        </is>
      </c>
      <c r="G1" s="1" t="inlineStr">
        <is>
          <t>當班工作重點與營運注意事項</t>
        </is>
      </c>
    </row>
    <row r="2" ht="35" customHeight="1">
      <c r="A2" s="10" t="n">
        <v>46307</v>
      </c>
      <c r="B2" s="2" t="inlineStr">
        <is>
          <t>週一</t>
        </is>
      </c>
      <c r="C2" s="3" t="inlineStr">
        <is>
          <t>D</t>
        </is>
      </c>
      <c r="D2" s="2" t="inlineStr">
        <is>
          <t>早班</t>
        </is>
      </c>
      <c r="E2" s="2" t="inlineStr">
        <is>
          <t>07:00 – 15:00</t>
        </is>
      </c>
      <c r="F2" s="2" t="n">
        <v>8</v>
      </c>
      <c r="G2" s="2" t="inlineStr">
        <is>
          <t>捷運通勤早餐、咖啡尖峰；日配鮮食進貨驗收</t>
        </is>
      </c>
    </row>
    <row r="3" ht="35" customHeight="1">
      <c r="A3" s="10" t="n">
        <v>46308</v>
      </c>
      <c r="B3" s="2" t="inlineStr">
        <is>
          <t>週二</t>
        </is>
      </c>
      <c r="C3" s="3" t="inlineStr">
        <is>
          <t>D</t>
        </is>
      </c>
      <c r="D3" s="2" t="inlineStr">
        <is>
          <t>早班</t>
        </is>
      </c>
      <c r="E3" s="2" t="inlineStr">
        <is>
          <t>07:00 – 15:00</t>
        </is>
      </c>
      <c r="F3" s="2" t="n">
        <v>8</v>
      </c>
      <c r="G3" s="2" t="inlineStr">
        <is>
          <t>捷運通勤早餐、咖啡尖峰；日配鮮食進貨驗收</t>
        </is>
      </c>
    </row>
    <row r="4" ht="35" customHeight="1">
      <c r="A4" s="10" t="n">
        <v>46309</v>
      </c>
      <c r="B4" s="2" t="inlineStr">
        <is>
          <t>週三</t>
        </is>
      </c>
      <c r="C4" s="3" t="inlineStr">
        <is>
          <t>D</t>
        </is>
      </c>
      <c r="D4" s="2" t="inlineStr">
        <is>
          <t>早班</t>
        </is>
      </c>
      <c r="E4" s="2" t="inlineStr">
        <is>
          <t>07:00 – 15:00</t>
        </is>
      </c>
      <c r="F4" s="2" t="n">
        <v>8</v>
      </c>
      <c r="G4" s="2" t="inlineStr">
        <is>
          <t>捷運通勤早餐、咖啡尖峰；日配鮮食進貨驗收</t>
        </is>
      </c>
    </row>
    <row r="5" ht="35" customHeight="1">
      <c r="A5" s="10" t="n">
        <v>46310</v>
      </c>
      <c r="B5" s="2" t="inlineStr">
        <is>
          <t>週四</t>
        </is>
      </c>
      <c r="C5" s="4" t="inlineStr">
        <is>
          <t>E</t>
        </is>
      </c>
      <c r="D5" s="2" t="inlineStr">
        <is>
          <t>晚班</t>
        </is>
      </c>
      <c r="E5" s="2" t="inlineStr">
        <is>
          <t>15:00 – 23:00</t>
        </is>
      </c>
      <c r="F5" s="2" t="n">
        <v>8</v>
      </c>
      <c r="G5" s="2" t="inlineStr">
        <is>
          <t>下班人潮、晚餐熱食與網購包裹取件尖峰</t>
        </is>
      </c>
    </row>
    <row r="6" ht="35" customHeight="1">
      <c r="A6" s="10" t="n">
        <v>46311</v>
      </c>
      <c r="B6" s="2" t="inlineStr">
        <is>
          <t>週五</t>
        </is>
      </c>
      <c r="C6" s="4" t="inlineStr">
        <is>
          <t>E</t>
        </is>
      </c>
      <c r="D6" s="2" t="inlineStr">
        <is>
          <t>晚班</t>
        </is>
      </c>
      <c r="E6" s="2" t="inlineStr">
        <is>
          <t>15:00 – 23:00</t>
        </is>
      </c>
      <c r="F6" s="2" t="n">
        <v>8</v>
      </c>
      <c r="G6" s="2" t="inlineStr">
        <is>
          <t>下班人潮、晚餐熱食與網購包裹取件尖峰</t>
        </is>
      </c>
    </row>
    <row r="7" ht="35" customHeight="1">
      <c r="A7" s="10" t="n">
        <v>46312</v>
      </c>
      <c r="B7" s="2" t="inlineStr">
        <is>
          <t>週六</t>
        </is>
      </c>
      <c r="C7" s="6" t="inlineStr">
        <is>
          <t>休</t>
        </is>
      </c>
      <c r="D7" s="2" t="inlineStr">
        <is>
          <t>例休</t>
        </is>
      </c>
      <c r="E7" s="2" t="inlineStr">
        <is>
          <t>免出勤</t>
        </is>
      </c>
      <c r="F7" s="2" t="n">
        <v>0</v>
      </c>
      <c r="G7" s="2" t="inlineStr">
        <is>
          <t>休假，免出勤</t>
        </is>
      </c>
    </row>
    <row r="8" ht="35" customHeight="1">
      <c r="A8" s="10" t="n">
        <v>46313</v>
      </c>
      <c r="B8" s="2" t="inlineStr">
        <is>
          <t>週日</t>
        </is>
      </c>
      <c r="C8" s="6" t="inlineStr">
        <is>
          <t>休</t>
        </is>
      </c>
      <c r="D8" s="2" t="inlineStr">
        <is>
          <t>例休</t>
        </is>
      </c>
      <c r="E8" s="2" t="inlineStr">
        <is>
          <t>免出勤</t>
        </is>
      </c>
      <c r="F8" s="2" t="n">
        <v>0</v>
      </c>
      <c r="G8" s="2" t="inlineStr">
        <is>
          <t>休假，免出勤</t>
        </is>
      </c>
    </row>
    <row r="9" ht="34" customHeight="1">
      <c r="A9" s="1" t="inlineStr">
        <is>
          <t>本週合計</t>
        </is>
      </c>
      <c r="B9" s="1" t="n"/>
      <c r="C9" s="1" t="n"/>
      <c r="D9" s="1" t="n"/>
      <c r="E9" s="1" t="n"/>
      <c r="F9" s="1">
        <f>SUM(F2:F8)</f>
        <v/>
      </c>
      <c r="G9" s="1">
        <f>"本週出勤天數："&amp;(COUNTIF(C2:C8,"D")+COUNTIF(C2:C8,"E")+COUNTIF(C2:C8,"N"))&amp;" 天"</f>
        <v/>
      </c>
    </row>
    <row r="10" ht="34" customHeight="1">
      <c r="A10" s="6" t="inlineStr">
        <is>
          <t>每週工時上限</t>
        </is>
      </c>
      <c r="B10" s="6" t="n"/>
      <c r="C10" s="6" t="n"/>
      <c r="D10" s="6" t="n"/>
      <c r="E10" s="6" t="n"/>
      <c r="F10" s="6" t="n">
        <v>40</v>
      </c>
      <c r="G10" s="6">
        <f>IF(F9&lt;=F10,"工時合規","⚠️ 超過工時上限")</f>
        <v/>
      </c>
    </row>
  </sheetData>
  <printOptions horizontalCentered="1"/>
  <pageMargins left="0.75" right="0.7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6" customWidth="1" min="4" max="4"/>
    <col width="23" customWidth="1" min="5" max="5"/>
    <col width="15" customWidth="1" min="6" max="6"/>
    <col width="58" customWidth="1" min="7" max="7"/>
  </cols>
  <sheetData>
    <row r="1" ht="38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班別代碼</t>
        </is>
      </c>
      <c r="D1" s="1" t="inlineStr">
        <is>
          <t>班別名稱</t>
        </is>
      </c>
      <c r="E1" s="1" t="inlineStr">
        <is>
          <t>出勤起訖時段</t>
        </is>
      </c>
      <c r="F1" s="1" t="inlineStr">
        <is>
          <t>當日工時</t>
        </is>
      </c>
      <c r="G1" s="1" t="inlineStr">
        <is>
          <t>當班工作重點與營運注意事項</t>
        </is>
      </c>
    </row>
    <row r="2" ht="35" customHeight="1">
      <c r="A2" s="10" t="n">
        <v>46307</v>
      </c>
      <c r="B2" s="2" t="inlineStr">
        <is>
          <t>週一</t>
        </is>
      </c>
      <c r="C2" s="4" t="inlineStr">
        <is>
          <t>E</t>
        </is>
      </c>
      <c r="D2" s="2" t="inlineStr">
        <is>
          <t>晚班</t>
        </is>
      </c>
      <c r="E2" s="2" t="inlineStr">
        <is>
          <t>15:00 – 23:00</t>
        </is>
      </c>
      <c r="F2" s="2" t="n">
        <v>8</v>
      </c>
      <c r="G2" s="2" t="inlineStr">
        <is>
          <t>下班人潮、晚餐熱食與網購包裹取件尖峰</t>
        </is>
      </c>
    </row>
    <row r="3" ht="35" customHeight="1">
      <c r="A3" s="10" t="n">
        <v>46308</v>
      </c>
      <c r="B3" s="2" t="inlineStr">
        <is>
          <t>週二</t>
        </is>
      </c>
      <c r="C3" s="6" t="inlineStr">
        <is>
          <t>休</t>
        </is>
      </c>
      <c r="D3" s="2" t="inlineStr">
        <is>
          <t>例休</t>
        </is>
      </c>
      <c r="E3" s="2" t="inlineStr">
        <is>
          <t>免出勤</t>
        </is>
      </c>
      <c r="F3" s="2" t="n">
        <v>0</v>
      </c>
      <c r="G3" s="2" t="inlineStr">
        <is>
          <t>休假，免出勤</t>
        </is>
      </c>
    </row>
    <row r="4" ht="35" customHeight="1">
      <c r="A4" s="10" t="n">
        <v>46309</v>
      </c>
      <c r="B4" s="2" t="inlineStr">
        <is>
          <t>週三</t>
        </is>
      </c>
      <c r="C4" s="6" t="inlineStr">
        <is>
          <t>休</t>
        </is>
      </c>
      <c r="D4" s="2" t="inlineStr">
        <is>
          <t>例休</t>
        </is>
      </c>
      <c r="E4" s="2" t="inlineStr">
        <is>
          <t>免出勤</t>
        </is>
      </c>
      <c r="F4" s="2" t="n">
        <v>0</v>
      </c>
      <c r="G4" s="2" t="inlineStr">
        <is>
          <t>休假，免出勤</t>
        </is>
      </c>
    </row>
    <row r="5" ht="35" customHeight="1">
      <c r="A5" s="10" t="n">
        <v>46310</v>
      </c>
      <c r="B5" s="2" t="inlineStr">
        <is>
          <t>週四</t>
        </is>
      </c>
      <c r="C5" s="6" t="inlineStr">
        <is>
          <t>休</t>
        </is>
      </c>
      <c r="D5" s="2" t="inlineStr">
        <is>
          <t>例休</t>
        </is>
      </c>
      <c r="E5" s="2" t="inlineStr">
        <is>
          <t>免出勤</t>
        </is>
      </c>
      <c r="F5" s="2" t="n">
        <v>0</v>
      </c>
      <c r="G5" s="2" t="inlineStr">
        <is>
          <t>休假，免出勤</t>
        </is>
      </c>
    </row>
    <row r="6" ht="35" customHeight="1">
      <c r="A6" s="10" t="n">
        <v>46311</v>
      </c>
      <c r="B6" s="2" t="inlineStr">
        <is>
          <t>週五</t>
        </is>
      </c>
      <c r="C6" s="4" t="inlineStr">
        <is>
          <t>E</t>
        </is>
      </c>
      <c r="D6" s="2" t="inlineStr">
        <is>
          <t>晚班</t>
        </is>
      </c>
      <c r="E6" s="2" t="inlineStr">
        <is>
          <t>15:00 – 23:00</t>
        </is>
      </c>
      <c r="F6" s="2" t="n">
        <v>8</v>
      </c>
      <c r="G6" s="2" t="inlineStr">
        <is>
          <t>下班人潮、晚餐熱食與網購包裹取件尖峰</t>
        </is>
      </c>
    </row>
    <row r="7" ht="35" customHeight="1">
      <c r="A7" s="10" t="n">
        <v>46312</v>
      </c>
      <c r="B7" s="2" t="inlineStr">
        <is>
          <t>週六</t>
        </is>
      </c>
      <c r="C7" s="4" t="inlineStr">
        <is>
          <t>E</t>
        </is>
      </c>
      <c r="D7" s="2" t="inlineStr">
        <is>
          <t>晚班</t>
        </is>
      </c>
      <c r="E7" s="2" t="inlineStr">
        <is>
          <t>15:00 – 23:00</t>
        </is>
      </c>
      <c r="F7" s="2" t="n">
        <v>8</v>
      </c>
      <c r="G7" s="2" t="inlineStr">
        <is>
          <t>下班人潮、晚餐熱食與網購包裹取件尖峰</t>
        </is>
      </c>
    </row>
    <row r="8" ht="35" customHeight="1">
      <c r="A8" s="10" t="n">
        <v>46313</v>
      </c>
      <c r="B8" s="2" t="inlineStr">
        <is>
          <t>週日</t>
        </is>
      </c>
      <c r="C8" s="6" t="inlineStr">
        <is>
          <t>休</t>
        </is>
      </c>
      <c r="D8" s="2" t="inlineStr">
        <is>
          <t>例休</t>
        </is>
      </c>
      <c r="E8" s="2" t="inlineStr">
        <is>
          <t>免出勤</t>
        </is>
      </c>
      <c r="F8" s="2" t="n">
        <v>0</v>
      </c>
      <c r="G8" s="2" t="inlineStr">
        <is>
          <t>休假，免出勤</t>
        </is>
      </c>
    </row>
    <row r="9" ht="34" customHeight="1">
      <c r="A9" s="1" t="inlineStr">
        <is>
          <t>本週合計</t>
        </is>
      </c>
      <c r="B9" s="1" t="n"/>
      <c r="C9" s="1" t="n"/>
      <c r="D9" s="1" t="n"/>
      <c r="E9" s="1" t="n"/>
      <c r="F9" s="1">
        <f>SUM(F2:F8)</f>
        <v/>
      </c>
      <c r="G9" s="1">
        <f>"本週出勤天數："&amp;(COUNTIF(C2:C8,"D")+COUNTIF(C2:C8,"E")+COUNTIF(C2:C8,"N"))&amp;" 天"</f>
        <v/>
      </c>
    </row>
    <row r="10" ht="34" customHeight="1">
      <c r="A10" s="6" t="inlineStr">
        <is>
          <t>每週工時上限</t>
        </is>
      </c>
      <c r="B10" s="6" t="n"/>
      <c r="C10" s="6" t="n"/>
      <c r="D10" s="6" t="n"/>
      <c r="E10" s="6" t="n"/>
      <c r="F10" s="6" t="n">
        <v>24</v>
      </c>
      <c r="G10" s="6">
        <f>IF(F9&lt;=F10,"工時合規","⚠️ 超過工時上限")</f>
        <v/>
      </c>
    </row>
  </sheetData>
  <printOptions horizontalCentered="1"/>
  <pageMargins left="0.75" right="0.75" top="1" bottom="1" header="0.5" footer="0.5"/>
  <pageSetup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6" customWidth="1" min="4" max="4"/>
    <col width="23" customWidth="1" min="5" max="5"/>
    <col width="15" customWidth="1" min="6" max="6"/>
    <col width="58" customWidth="1" min="7" max="7"/>
  </cols>
  <sheetData>
    <row r="1" ht="38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班別代碼</t>
        </is>
      </c>
      <c r="D1" s="1" t="inlineStr">
        <is>
          <t>班別名稱</t>
        </is>
      </c>
      <c r="E1" s="1" t="inlineStr">
        <is>
          <t>出勤起訖時段</t>
        </is>
      </c>
      <c r="F1" s="1" t="inlineStr">
        <is>
          <t>當日工時</t>
        </is>
      </c>
      <c r="G1" s="1" t="inlineStr">
        <is>
          <t>當班工作重點與營運注意事項</t>
        </is>
      </c>
    </row>
    <row r="2" ht="35" customHeight="1">
      <c r="A2" s="10" t="n">
        <v>46307</v>
      </c>
      <c r="B2" s="2" t="inlineStr">
        <is>
          <t>週一</t>
        </is>
      </c>
      <c r="C2" s="6" t="inlineStr">
        <is>
          <t>休</t>
        </is>
      </c>
      <c r="D2" s="2" t="inlineStr">
        <is>
          <t>例休</t>
        </is>
      </c>
      <c r="E2" s="2" t="inlineStr">
        <is>
          <t>免出勤</t>
        </is>
      </c>
      <c r="F2" s="2" t="n">
        <v>0</v>
      </c>
      <c r="G2" s="2" t="inlineStr">
        <is>
          <t>休假，免出勤</t>
        </is>
      </c>
    </row>
    <row r="3" ht="35" customHeight="1">
      <c r="A3" s="10" t="n">
        <v>46308</v>
      </c>
      <c r="B3" s="2" t="inlineStr">
        <is>
          <t>週二</t>
        </is>
      </c>
      <c r="C3" s="4" t="inlineStr">
        <is>
          <t>E</t>
        </is>
      </c>
      <c r="D3" s="2" t="inlineStr">
        <is>
          <t>晚班</t>
        </is>
      </c>
      <c r="E3" s="2" t="inlineStr">
        <is>
          <t>15:00 – 23:00</t>
        </is>
      </c>
      <c r="F3" s="2" t="n">
        <v>8</v>
      </c>
      <c r="G3" s="2" t="inlineStr">
        <is>
          <t>下班人潮、晚餐熱食與網購包裹取件尖峰</t>
        </is>
      </c>
    </row>
    <row r="4" ht="35" customHeight="1">
      <c r="A4" s="10" t="n">
        <v>46309</v>
      </c>
      <c r="B4" s="2" t="inlineStr">
        <is>
          <t>週三</t>
        </is>
      </c>
      <c r="C4" s="4" t="inlineStr">
        <is>
          <t>E</t>
        </is>
      </c>
      <c r="D4" s="2" t="inlineStr">
        <is>
          <t>晚班</t>
        </is>
      </c>
      <c r="E4" s="2" t="inlineStr">
        <is>
          <t>15:00 – 23:00</t>
        </is>
      </c>
      <c r="F4" s="2" t="n">
        <v>8</v>
      </c>
      <c r="G4" s="2" t="inlineStr">
        <is>
          <t>下班人潮、晚餐熱食與網購包裹取件尖峰</t>
        </is>
      </c>
    </row>
    <row r="5" ht="35" customHeight="1">
      <c r="A5" s="10" t="n">
        <v>46310</v>
      </c>
      <c r="B5" s="2" t="inlineStr">
        <is>
          <t>週四</t>
        </is>
      </c>
      <c r="C5" s="6" t="inlineStr">
        <is>
          <t>休</t>
        </is>
      </c>
      <c r="D5" s="2" t="inlineStr">
        <is>
          <t>例休</t>
        </is>
      </c>
      <c r="E5" s="2" t="inlineStr">
        <is>
          <t>免出勤</t>
        </is>
      </c>
      <c r="F5" s="2" t="n">
        <v>0</v>
      </c>
      <c r="G5" s="2" t="inlineStr">
        <is>
          <t>休假，免出勤</t>
        </is>
      </c>
    </row>
    <row r="6" ht="35" customHeight="1">
      <c r="A6" s="10" t="n">
        <v>46311</v>
      </c>
      <c r="B6" s="2" t="inlineStr">
        <is>
          <t>週五</t>
        </is>
      </c>
      <c r="C6" s="6" t="inlineStr">
        <is>
          <t>休</t>
        </is>
      </c>
      <c r="D6" s="2" t="inlineStr">
        <is>
          <t>例休</t>
        </is>
      </c>
      <c r="E6" s="2" t="inlineStr">
        <is>
          <t>免出勤</t>
        </is>
      </c>
      <c r="F6" s="2" t="n">
        <v>0</v>
      </c>
      <c r="G6" s="2" t="inlineStr">
        <is>
          <t>休假，免出勤</t>
        </is>
      </c>
    </row>
    <row r="7" ht="35" customHeight="1">
      <c r="A7" s="10" t="n">
        <v>46312</v>
      </c>
      <c r="B7" s="2" t="inlineStr">
        <is>
          <t>週六</t>
        </is>
      </c>
      <c r="C7" s="6" t="inlineStr">
        <is>
          <t>休</t>
        </is>
      </c>
      <c r="D7" s="2" t="inlineStr">
        <is>
          <t>例休</t>
        </is>
      </c>
      <c r="E7" s="2" t="inlineStr">
        <is>
          <t>免出勤</t>
        </is>
      </c>
      <c r="F7" s="2" t="n">
        <v>0</v>
      </c>
      <c r="G7" s="2" t="inlineStr">
        <is>
          <t>休假，免出勤</t>
        </is>
      </c>
    </row>
    <row r="8" ht="35" customHeight="1">
      <c r="A8" s="10" t="n">
        <v>46313</v>
      </c>
      <c r="B8" s="2" t="inlineStr">
        <is>
          <t>週日</t>
        </is>
      </c>
      <c r="C8" s="3" t="inlineStr">
        <is>
          <t>D</t>
        </is>
      </c>
      <c r="D8" s="2" t="inlineStr">
        <is>
          <t>早班</t>
        </is>
      </c>
      <c r="E8" s="2" t="inlineStr">
        <is>
          <t>07:00 – 15:00</t>
        </is>
      </c>
      <c r="F8" s="2" t="n">
        <v>8</v>
      </c>
      <c r="G8" s="2" t="inlineStr">
        <is>
          <t>捷運通勤早餐、咖啡尖峰；日配鮮食進貨驗收</t>
        </is>
      </c>
    </row>
    <row r="9" ht="34" customHeight="1">
      <c r="A9" s="1" t="inlineStr">
        <is>
          <t>本週合計</t>
        </is>
      </c>
      <c r="B9" s="1" t="n"/>
      <c r="C9" s="1" t="n"/>
      <c r="D9" s="1" t="n"/>
      <c r="E9" s="1" t="n"/>
      <c r="F9" s="1">
        <f>SUM(F2:F8)</f>
        <v/>
      </c>
      <c r="G9" s="1">
        <f>"本週出勤天數："&amp;(COUNTIF(C2:C8,"D")+COUNTIF(C2:C8,"E")+COUNTIF(C2:C8,"N"))&amp;" 天"</f>
        <v/>
      </c>
    </row>
    <row r="10" ht="34" customHeight="1">
      <c r="A10" s="6" t="inlineStr">
        <is>
          <t>每週工時上限</t>
        </is>
      </c>
      <c r="B10" s="6" t="n"/>
      <c r="C10" s="6" t="n"/>
      <c r="D10" s="6" t="n"/>
      <c r="E10" s="6" t="n"/>
      <c r="F10" s="6" t="n">
        <v>24</v>
      </c>
      <c r="G10" s="6">
        <f>IF(F9&lt;=F10,"工時合規","⚠️ 超過工時上限")</f>
        <v/>
      </c>
    </row>
  </sheetData>
  <printOptions horizontalCentered="1"/>
  <pageMargins left="0.75" right="0.75" top="1" bottom="1" header="0.5" footer="0.5"/>
  <pageSetup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6" customWidth="1" min="4" max="4"/>
    <col width="23" customWidth="1" min="5" max="5"/>
    <col width="15" customWidth="1" min="6" max="6"/>
    <col width="58" customWidth="1" min="7" max="7"/>
  </cols>
  <sheetData>
    <row r="1" ht="38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班別代碼</t>
        </is>
      </c>
      <c r="D1" s="1" t="inlineStr">
        <is>
          <t>班別名稱</t>
        </is>
      </c>
      <c r="E1" s="1" t="inlineStr">
        <is>
          <t>出勤起訖時段</t>
        </is>
      </c>
      <c r="F1" s="1" t="inlineStr">
        <is>
          <t>當日工時</t>
        </is>
      </c>
      <c r="G1" s="1" t="inlineStr">
        <is>
          <t>當班工作重點與營運注意事項</t>
        </is>
      </c>
    </row>
    <row r="2" ht="35" customHeight="1">
      <c r="A2" s="10" t="n">
        <v>46307</v>
      </c>
      <c r="B2" s="2" t="inlineStr">
        <is>
          <t>週一</t>
        </is>
      </c>
      <c r="C2" s="6" t="inlineStr">
        <is>
          <t>休</t>
        </is>
      </c>
      <c r="D2" s="2" t="inlineStr">
        <is>
          <t>例休</t>
        </is>
      </c>
      <c r="E2" s="2" t="inlineStr">
        <is>
          <t>免出勤</t>
        </is>
      </c>
      <c r="F2" s="2" t="n">
        <v>0</v>
      </c>
      <c r="G2" s="2" t="inlineStr">
        <is>
          <t>休假，免出勤</t>
        </is>
      </c>
    </row>
    <row r="3" ht="35" customHeight="1">
      <c r="A3" s="10" t="n">
        <v>46308</v>
      </c>
      <c r="B3" s="2" t="inlineStr">
        <is>
          <t>週二</t>
        </is>
      </c>
      <c r="C3" s="6" t="inlineStr">
        <is>
          <t>休</t>
        </is>
      </c>
      <c r="D3" s="2" t="inlineStr">
        <is>
          <t>例休</t>
        </is>
      </c>
      <c r="E3" s="2" t="inlineStr">
        <is>
          <t>免出勤</t>
        </is>
      </c>
      <c r="F3" s="2" t="n">
        <v>0</v>
      </c>
      <c r="G3" s="2" t="inlineStr">
        <is>
          <t>休假，免出勤</t>
        </is>
      </c>
    </row>
    <row r="4" ht="35" customHeight="1">
      <c r="A4" s="10" t="n">
        <v>46309</v>
      </c>
      <c r="B4" s="2" t="inlineStr">
        <is>
          <t>週三</t>
        </is>
      </c>
      <c r="C4" s="3" t="inlineStr">
        <is>
          <t>D</t>
        </is>
      </c>
      <c r="D4" s="2" t="inlineStr">
        <is>
          <t>早班</t>
        </is>
      </c>
      <c r="E4" s="2" t="inlineStr">
        <is>
          <t>07:00 – 15:00</t>
        </is>
      </c>
      <c r="F4" s="2" t="n">
        <v>8</v>
      </c>
      <c r="G4" s="2" t="inlineStr">
        <is>
          <t>捷運通勤早餐、咖啡尖峰；日配鮮食進貨驗收</t>
        </is>
      </c>
    </row>
    <row r="5" ht="35" customHeight="1">
      <c r="A5" s="10" t="n">
        <v>46310</v>
      </c>
      <c r="B5" s="2" t="inlineStr">
        <is>
          <t>週四</t>
        </is>
      </c>
      <c r="C5" s="3" t="inlineStr">
        <is>
          <t>D</t>
        </is>
      </c>
      <c r="D5" s="2" t="inlineStr">
        <is>
          <t>早班</t>
        </is>
      </c>
      <c r="E5" s="2" t="inlineStr">
        <is>
          <t>07:00 – 15:00</t>
        </is>
      </c>
      <c r="F5" s="2" t="n">
        <v>8</v>
      </c>
      <c r="G5" s="2" t="inlineStr">
        <is>
          <t>捷運通勤早餐、咖啡尖峰；日配鮮食進貨驗收</t>
        </is>
      </c>
    </row>
    <row r="6" ht="35" customHeight="1">
      <c r="A6" s="10" t="n">
        <v>46311</v>
      </c>
      <c r="B6" s="2" t="inlineStr">
        <is>
          <t>週五</t>
        </is>
      </c>
      <c r="C6" s="3" t="inlineStr">
        <is>
          <t>D</t>
        </is>
      </c>
      <c r="D6" s="2" t="inlineStr">
        <is>
          <t>早班</t>
        </is>
      </c>
      <c r="E6" s="2" t="inlineStr">
        <is>
          <t>07:00 – 15:00</t>
        </is>
      </c>
      <c r="F6" s="2" t="n">
        <v>8</v>
      </c>
      <c r="G6" s="2" t="inlineStr">
        <is>
          <t>捷運通勤早餐、咖啡尖峰；日配鮮食進貨驗收</t>
        </is>
      </c>
    </row>
    <row r="7" ht="35" customHeight="1">
      <c r="A7" s="10" t="n">
        <v>46312</v>
      </c>
      <c r="B7" s="2" t="inlineStr">
        <is>
          <t>週六</t>
        </is>
      </c>
      <c r="C7" s="6" t="inlineStr">
        <is>
          <t>休</t>
        </is>
      </c>
      <c r="D7" s="2" t="inlineStr">
        <is>
          <t>例休</t>
        </is>
      </c>
      <c r="E7" s="2" t="inlineStr">
        <is>
          <t>免出勤</t>
        </is>
      </c>
      <c r="F7" s="2" t="n">
        <v>0</v>
      </c>
      <c r="G7" s="2" t="inlineStr">
        <is>
          <t>休假，免出勤</t>
        </is>
      </c>
    </row>
    <row r="8" ht="35" customHeight="1">
      <c r="A8" s="10" t="n">
        <v>46313</v>
      </c>
      <c r="B8" s="2" t="inlineStr">
        <is>
          <t>週日</t>
        </is>
      </c>
      <c r="C8" s="6" t="inlineStr">
        <is>
          <t>休</t>
        </is>
      </c>
      <c r="D8" s="2" t="inlineStr">
        <is>
          <t>例休</t>
        </is>
      </c>
      <c r="E8" s="2" t="inlineStr">
        <is>
          <t>免出勤</t>
        </is>
      </c>
      <c r="F8" s="2" t="n">
        <v>0</v>
      </c>
      <c r="G8" s="2" t="inlineStr">
        <is>
          <t>休假，免出勤</t>
        </is>
      </c>
    </row>
    <row r="9" ht="34" customHeight="1">
      <c r="A9" s="1" t="inlineStr">
        <is>
          <t>本週合計</t>
        </is>
      </c>
      <c r="B9" s="1" t="n"/>
      <c r="C9" s="1" t="n"/>
      <c r="D9" s="1" t="n"/>
      <c r="E9" s="1" t="n"/>
      <c r="F9" s="1">
        <f>SUM(F2:F8)</f>
        <v/>
      </c>
      <c r="G9" s="1">
        <f>"本週出勤天數："&amp;(COUNTIF(C2:C8,"D")+COUNTIF(C2:C8,"E")+COUNTIF(C2:C8,"N"))&amp;" 天"</f>
        <v/>
      </c>
    </row>
    <row r="10" ht="34" customHeight="1">
      <c r="A10" s="6" t="inlineStr">
        <is>
          <t>每週工時上限</t>
        </is>
      </c>
      <c r="B10" s="6" t="n"/>
      <c r="C10" s="6" t="n"/>
      <c r="D10" s="6" t="n"/>
      <c r="E10" s="6" t="n"/>
      <c r="F10" s="6" t="n">
        <v>24</v>
      </c>
      <c r="G10" s="6">
        <f>IF(F9&lt;=F10,"工時合規","⚠️ 超過工時上限")</f>
        <v/>
      </c>
    </row>
  </sheetData>
  <printOptions horizontalCentered="1"/>
  <pageMargins left="0.75" right="0.75" top="1" bottom="1" header="0.5" footer="0.5"/>
  <pageSetup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16" customWidth="1" min="4" max="4"/>
    <col width="23" customWidth="1" min="5" max="5"/>
    <col width="15" customWidth="1" min="6" max="6"/>
    <col width="58" customWidth="1" min="7" max="7"/>
  </cols>
  <sheetData>
    <row r="1" ht="38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班別代碼</t>
        </is>
      </c>
      <c r="D1" s="1" t="inlineStr">
        <is>
          <t>班別名稱</t>
        </is>
      </c>
      <c r="E1" s="1" t="inlineStr">
        <is>
          <t>出勤起訖時段</t>
        </is>
      </c>
      <c r="F1" s="1" t="inlineStr">
        <is>
          <t>當日工時</t>
        </is>
      </c>
      <c r="G1" s="1" t="inlineStr">
        <is>
          <t>當班工作重點與營運注意事項</t>
        </is>
      </c>
    </row>
    <row r="2" ht="35" customHeight="1">
      <c r="A2" s="10" t="n">
        <v>46307</v>
      </c>
      <c r="B2" s="2" t="inlineStr">
        <is>
          <t>週一</t>
        </is>
      </c>
      <c r="C2" s="6" t="inlineStr">
        <is>
          <t>休</t>
        </is>
      </c>
      <c r="D2" s="2" t="inlineStr">
        <is>
          <t>例休</t>
        </is>
      </c>
      <c r="E2" s="2" t="inlineStr">
        <is>
          <t>免出勤</t>
        </is>
      </c>
      <c r="F2" s="2" t="n">
        <v>0</v>
      </c>
      <c r="G2" s="2" t="inlineStr">
        <is>
          <t>休假，免出勤</t>
        </is>
      </c>
    </row>
    <row r="3" ht="35" customHeight="1">
      <c r="A3" s="10" t="n">
        <v>46308</v>
      </c>
      <c r="B3" s="2" t="inlineStr">
        <is>
          <t>週二</t>
        </is>
      </c>
      <c r="C3" s="6" t="inlineStr">
        <is>
          <t>休</t>
        </is>
      </c>
      <c r="D3" s="2" t="inlineStr">
        <is>
          <t>例休</t>
        </is>
      </c>
      <c r="E3" s="2" t="inlineStr">
        <is>
          <t>免出勤</t>
        </is>
      </c>
      <c r="F3" s="2" t="n">
        <v>0</v>
      </c>
      <c r="G3" s="2" t="inlineStr">
        <is>
          <t>休假，免出勤</t>
        </is>
      </c>
    </row>
    <row r="4" ht="35" customHeight="1">
      <c r="A4" s="10" t="n">
        <v>46309</v>
      </c>
      <c r="B4" s="2" t="inlineStr">
        <is>
          <t>週三</t>
        </is>
      </c>
      <c r="C4" s="6" t="inlineStr">
        <is>
          <t>休</t>
        </is>
      </c>
      <c r="D4" s="2" t="inlineStr">
        <is>
          <t>例休</t>
        </is>
      </c>
      <c r="E4" s="2" t="inlineStr">
        <is>
          <t>免出勤</t>
        </is>
      </c>
      <c r="F4" s="2" t="n">
        <v>0</v>
      </c>
      <c r="G4" s="2" t="inlineStr">
        <is>
          <t>休假，免出勤</t>
        </is>
      </c>
    </row>
    <row r="5" ht="35" customHeight="1">
      <c r="A5" s="10" t="n">
        <v>46310</v>
      </c>
      <c r="B5" s="2" t="inlineStr">
        <is>
          <t>週四</t>
        </is>
      </c>
      <c r="C5" s="6" t="inlineStr">
        <is>
          <t>休</t>
        </is>
      </c>
      <c r="D5" s="2" t="inlineStr">
        <is>
          <t>例休</t>
        </is>
      </c>
      <c r="E5" s="2" t="inlineStr">
        <is>
          <t>免出勤</t>
        </is>
      </c>
      <c r="F5" s="2" t="n">
        <v>0</v>
      </c>
      <c r="G5" s="2" t="inlineStr">
        <is>
          <t>休假，免出勤</t>
        </is>
      </c>
    </row>
    <row r="6" ht="35" customHeight="1">
      <c r="A6" s="10" t="n">
        <v>46311</v>
      </c>
      <c r="B6" s="2" t="inlineStr">
        <is>
          <t>週五</t>
        </is>
      </c>
      <c r="C6" s="6" t="inlineStr">
        <is>
          <t>休</t>
        </is>
      </c>
      <c r="D6" s="2" t="inlineStr">
        <is>
          <t>例休</t>
        </is>
      </c>
      <c r="E6" s="2" t="inlineStr">
        <is>
          <t>免出勤</t>
        </is>
      </c>
      <c r="F6" s="2" t="n">
        <v>0</v>
      </c>
      <c r="G6" s="2" t="inlineStr">
        <is>
          <t>休假，免出勤</t>
        </is>
      </c>
    </row>
    <row r="7" ht="35" customHeight="1">
      <c r="A7" s="10" t="n">
        <v>46312</v>
      </c>
      <c r="B7" s="2" t="inlineStr">
        <is>
          <t>週六</t>
        </is>
      </c>
      <c r="C7" s="3" t="inlineStr">
        <is>
          <t>D</t>
        </is>
      </c>
      <c r="D7" s="2" t="inlineStr">
        <is>
          <t>早班</t>
        </is>
      </c>
      <c r="E7" s="2" t="inlineStr">
        <is>
          <t>07:00 – 15:00</t>
        </is>
      </c>
      <c r="F7" s="2" t="n">
        <v>8</v>
      </c>
      <c r="G7" s="2" t="inlineStr">
        <is>
          <t>捷運通勤早餐、咖啡尖峰；日配鮮食進貨驗收</t>
        </is>
      </c>
    </row>
    <row r="8" ht="35" customHeight="1">
      <c r="A8" s="10" t="n">
        <v>46313</v>
      </c>
      <c r="B8" s="2" t="inlineStr">
        <is>
          <t>週日</t>
        </is>
      </c>
      <c r="C8" s="4" t="inlineStr">
        <is>
          <t>E</t>
        </is>
      </c>
      <c r="D8" s="2" t="inlineStr">
        <is>
          <t>晚班</t>
        </is>
      </c>
      <c r="E8" s="2" t="inlineStr">
        <is>
          <t>15:00 – 23:00</t>
        </is>
      </c>
      <c r="F8" s="2" t="n">
        <v>8</v>
      </c>
      <c r="G8" s="2" t="inlineStr">
        <is>
          <t>下班人潮、晚餐熱食與網購包裹取件尖峰</t>
        </is>
      </c>
    </row>
    <row r="9" ht="34" customHeight="1">
      <c r="A9" s="1" t="inlineStr">
        <is>
          <t>本週合計</t>
        </is>
      </c>
      <c r="B9" s="1" t="n"/>
      <c r="C9" s="1" t="n"/>
      <c r="D9" s="1" t="n"/>
      <c r="E9" s="1" t="n"/>
      <c r="F9" s="1">
        <f>SUM(F2:F8)</f>
        <v/>
      </c>
      <c r="G9" s="1">
        <f>"本週出勤天數："&amp;(COUNTIF(C2:C8,"D")+COUNTIF(C2:C8,"E")+COUNTIF(C2:C8,"N"))&amp;" 天"</f>
        <v/>
      </c>
    </row>
    <row r="10" ht="34" customHeight="1">
      <c r="A10" s="6" t="inlineStr">
        <is>
          <t>每週工時上限</t>
        </is>
      </c>
      <c r="B10" s="6" t="n"/>
      <c r="C10" s="6" t="n"/>
      <c r="D10" s="6" t="n"/>
      <c r="E10" s="6" t="n"/>
      <c r="F10" s="6" t="n">
        <v>16</v>
      </c>
      <c r="G10" s="6">
        <f>IF(F9&lt;=F10,"工時合規","⚠️ 超過工時上限")</f>
        <v/>
      </c>
    </row>
  </sheetData>
  <printOptions horizontalCentered="1"/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2026-09-18T05:11:48Z</dcterms:created>
  <dcterms:modified xmlns:dcterms="http://purl.org/dc/terms/" xmlns:xsi="http://www.w3.org/2001/XMLSchema-instance" xsi:type="dcterms:W3CDTF">2026-09-18T05:11:48Z</dcterms:modified>
</cp:coreProperties>
</file>