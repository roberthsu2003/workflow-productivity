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薪資總表" sheetId="1" state="visible" r:id="rId1"/>
    <sheet name="每日出勤" sheetId="2" state="visible" r:id="rId2"/>
    <sheet name="員工設定" sheetId="3" state="visible" r:id="rId3"/>
    <sheet name="使用說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微軟正黑體"/>
      <b val="1"/>
      <color rgb="001F4E79"/>
      <sz val="16"/>
    </font>
    <font>
      <name val="微軟正黑體"/>
      <color rgb="00595959"/>
      <sz val="10"/>
    </font>
    <font>
      <name val="微軟正黑體"/>
      <b val="1"/>
      <color rgb="00FFFFFF"/>
      <sz val="10"/>
    </font>
    <font>
      <name val="微軟正黑體"/>
      <sz val="10"/>
    </font>
    <font>
      <name val="微軟正黑體"/>
      <b val="1"/>
      <sz val="10"/>
    </font>
    <font>
      <name val="微軟正黑體"/>
      <b val="1"/>
      <color rgb="00C00000"/>
      <sz val="10"/>
    </font>
    <font>
      <name val="微軟正黑體"/>
      <b val="1"/>
      <color rgb="00002060"/>
      <sz val="10"/>
    </font>
    <font>
      <name val="微軟正黑體"/>
      <b val="1"/>
      <color rgb="001F4E79"/>
      <sz val="12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85723"/>
        <bgColor rgb="00385723"/>
      </patternFill>
    </fill>
    <fill>
      <patternFill patternType="solid">
        <fgColor rgb="00C65911"/>
        <bgColor rgb="00C65911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11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D9D9D9"/>
      </right>
      <top style="thin">
        <color rgb="00000000"/>
      </top>
      <bottom/>
      <diagonal/>
    </border>
    <border>
      <left/>
      <right/>
      <top style="thin">
        <color rgb="00000000"/>
      </top>
      <bottom style="double">
        <color rgb="00000000"/>
      </bottom>
      <diagonal/>
    </border>
    <border>
      <left/>
      <right style="thin">
        <color rgb="00D9D9D9"/>
      </right>
      <top style="thin">
        <color rgb="00000000"/>
      </top>
      <bottom style="double">
        <color rgb="00000000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3" fontId="4" fillId="0" borderId="1" pivotButton="0" quotePrefix="0" xfId="0"/>
    <xf numFmtId="3" fontId="5" fillId="6" borderId="1" pivotButton="0" quotePrefix="0" xfId="0"/>
    <xf numFmtId="3" fontId="5" fillId="7" borderId="1" pivotButton="0" quotePrefix="0" xfId="0"/>
    <xf numFmtId="3" fontId="6" fillId="8" borderId="1" pivotButton="0" quotePrefix="0" xfId="0"/>
    <xf numFmtId="0" fontId="7" fillId="9" borderId="2" applyAlignment="1" pivotButton="0" quotePrefix="0" xfId="0">
      <alignment horizontal="center" vertical="center"/>
    </xf>
    <xf numFmtId="0" fontId="0" fillId="9" borderId="2" pivotButton="0" quotePrefix="0" xfId="0"/>
    <xf numFmtId="3" fontId="7" fillId="9" borderId="2" applyAlignment="1" pivotButton="0" quotePrefix="0" xfId="0">
      <alignment horizontal="right" vertical="center"/>
    </xf>
    <xf numFmtId="0" fontId="5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/>
    </xf>
    <xf numFmtId="164" fontId="4" fillId="0" borderId="1" pivotButton="0" quotePrefix="0" xfId="0"/>
    <xf numFmtId="0" fontId="8" fillId="0" borderId="0" pivotButton="0" quotePrefix="0" xfId="0"/>
    <xf numFmtId="0" fontId="4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52" customWidth="1" min="4" max="4"/>
    <col width="15" customWidth="1" min="5" max="5"/>
    <col width="15" customWidth="1" min="6" max="6"/>
    <col width="131" customWidth="1" min="7" max="7"/>
    <col width="15" customWidth="1" min="8" max="8"/>
    <col width="66" customWidth="1" min="9" max="9"/>
    <col width="71" customWidth="1" min="10" max="10"/>
    <col width="44" customWidth="1" min="11" max="11"/>
    <col width="44" customWidth="1" min="12" max="12"/>
    <col width="96" customWidth="1" min="13" max="13"/>
    <col width="50" customWidth="1" min="14" max="14"/>
    <col width="27" customWidth="1" min="15" max="15"/>
    <col width="14" customWidth="1" min="16" max="16"/>
    <col width="17" customWidth="1" min="17" max="17"/>
  </cols>
  <sheetData>
    <row r="1">
      <c r="A1" s="1" t="inlineStr">
        <is>
          <t>【大眾實業股份有限公司】2026年9月份 12位員工薪資結算總表</t>
        </is>
      </c>
    </row>
    <row r="2">
      <c r="A2" s="2" t="inlineStr">
        <is>
          <t>計薪週期：2026/09/01 ~ 2026/09/30 ｜ 發放日：2026/10/05 ｜ 幣別：新台幣 (TWD) ｜ 本表各欄位皆由 Excel 公式全自動連動</t>
        </is>
      </c>
    </row>
    <row r="4">
      <c r="A4" s="3" t="inlineStr">
        <is>
          <t>員工基本資料</t>
        </is>
      </c>
      <c r="B4" s="24" t="n"/>
      <c r="C4" s="25" t="n"/>
      <c r="D4" s="4" t="inlineStr">
        <is>
          <t>一、應發薪資項目（A）</t>
        </is>
      </c>
      <c r="E4" s="24" t="n"/>
      <c r="F4" s="24" t="n"/>
      <c r="G4" s="24" t="n"/>
      <c r="H4" s="25" t="n"/>
      <c r="I4" s="5" t="inlineStr">
        <is>
          <t>二、法定與出勤應扣項目（B）</t>
        </is>
      </c>
      <c r="J4" s="24" t="n"/>
      <c r="K4" s="24" t="n"/>
      <c r="L4" s="24" t="n"/>
      <c r="M4" s="24" t="n"/>
      <c r="N4" s="24" t="n"/>
      <c r="O4" s="25" t="n"/>
      <c r="P4" s="3" t="inlineStr">
        <is>
          <t>三、實領金額（A-B）</t>
        </is>
      </c>
      <c r="Q4" s="6" t="inlineStr">
        <is>
          <t>四、雇主負擔成本</t>
        </is>
      </c>
    </row>
    <row r="5">
      <c r="A5" s="7" t="inlineStr">
        <is>
          <t>員工編號</t>
        </is>
      </c>
      <c r="B5" s="7" t="inlineStr">
        <is>
          <t>員工姓名</t>
        </is>
      </c>
      <c r="C5" s="7" t="inlineStr">
        <is>
          <t>職稱</t>
        </is>
      </c>
      <c r="D5" s="7" t="inlineStr">
        <is>
          <t>出勤天數</t>
        </is>
      </c>
      <c r="E5" s="7" t="inlineStr">
        <is>
          <t>正常薪資</t>
        </is>
      </c>
      <c r="F5" s="7" t="inlineStr">
        <is>
          <t>餐費補貼</t>
        </is>
      </c>
      <c r="G5" s="7" t="inlineStr">
        <is>
          <t>加班薪資</t>
        </is>
      </c>
      <c r="H5" s="7" t="inlineStr">
        <is>
          <t>【應發總額】</t>
        </is>
      </c>
      <c r="I5" s="7" t="inlineStr">
        <is>
          <t>請假扣薪</t>
        </is>
      </c>
      <c r="J5" s="7" t="inlineStr">
        <is>
          <t>遲到早退扣</t>
        </is>
      </c>
      <c r="K5" s="7" t="inlineStr">
        <is>
          <t>勞保自付</t>
        </is>
      </c>
      <c r="L5" s="7" t="inlineStr">
        <is>
          <t>健保自付</t>
        </is>
      </c>
      <c r="M5" s="7" t="inlineStr">
        <is>
          <t>自提退休金</t>
        </is>
      </c>
      <c r="N5" s="7" t="inlineStr">
        <is>
          <t>預支/其他</t>
        </is>
      </c>
      <c r="O5" s="7" t="inlineStr">
        <is>
          <t>【應扣總額】</t>
        </is>
      </c>
      <c r="P5" s="7" t="inlineStr">
        <is>
          <t>【實領薪資】</t>
        </is>
      </c>
      <c r="Q5" s="7" t="inlineStr">
        <is>
          <t>勞退雇主提撥(6%)</t>
        </is>
      </c>
    </row>
    <row r="6">
      <c r="A6" s="8" t="inlineStr">
        <is>
          <t>EMP01</t>
        </is>
      </c>
      <c r="B6" s="8" t="inlineStr">
        <is>
          <t>陳建宏</t>
        </is>
      </c>
      <c r="C6" s="8" t="inlineStr">
        <is>
          <t>生產技術員</t>
        </is>
      </c>
      <c r="D6" s="9">
        <f>SUMIF('每日出勤'!$B:$B, A6, '每日出勤'!$E:$E)/8</f>
        <v/>
      </c>
      <c r="E6" s="9">
        <f>D6*1300</f>
        <v/>
      </c>
      <c r="F6" s="9">
        <f>D6*130</f>
        <v/>
      </c>
      <c r="G6" s="9">
        <f>ROUND(SUMIF('每日出勤'!$B:$B, A6, '每日出勤'!$F:$F)*162.5*1.33 + SUMIF('每日出勤'!$B:$B, A6, '每日出勤'!$G:$G)*162.5*1.66, 0)</f>
        <v/>
      </c>
      <c r="H6" s="10">
        <f>E6+F6+G6</f>
        <v/>
      </c>
      <c r="I6" s="9">
        <f>ROUND(SUMIF('每日出勤'!$B:$B, A6, '每日出勤'!$H:$H)*162.5, 0)</f>
        <v/>
      </c>
      <c r="J6" s="9">
        <f>ROUND(SUMIF('每日出勤'!$B:$B, A6, '每日出勤'!$I:$I)*(162.5/60), 0)</f>
        <v/>
      </c>
      <c r="K6" s="9">
        <f>VLOOKUP(A6, '員工設定'!$A:$E, 5, FALSE)</f>
        <v/>
      </c>
      <c r="L6" s="9">
        <f>VLOOKUP(A6, '員工設定'!$A:$G, 7, FALSE)</f>
        <v/>
      </c>
      <c r="M6" s="9">
        <f>ROUND(VLOOKUP(A6, '員工設定'!$A:$J, 8, FALSE)*VLOOKUP(A6, '員工設定'!$A:$J, 10, FALSE), 0)</f>
        <v/>
      </c>
      <c r="N6" s="9">
        <f>SUMIF('每日出勤'!$B:$B, A6, '每日出勤'!$J:$J)</f>
        <v/>
      </c>
      <c r="O6" s="11">
        <f>I6+J6+K6+L6+M6+N6</f>
        <v/>
      </c>
      <c r="P6" s="12">
        <f>H6-O6</f>
        <v/>
      </c>
      <c r="Q6" s="9">
        <f>VLOOKUP(A6, '員工設定'!$A:$I, 9, FALSE)</f>
        <v/>
      </c>
    </row>
    <row r="7">
      <c r="A7" s="8" t="inlineStr">
        <is>
          <t>EMP02</t>
        </is>
      </c>
      <c r="B7" s="8" t="inlineStr">
        <is>
          <t>林美玲</t>
        </is>
      </c>
      <c r="C7" s="8" t="inlineStr">
        <is>
          <t>包裝作業員</t>
        </is>
      </c>
      <c r="D7" s="9">
        <f>SUMIF('每日出勤'!$B:$B, A7, '每日出勤'!$E:$E)/8</f>
        <v/>
      </c>
      <c r="E7" s="9">
        <f>D7*1300</f>
        <v/>
      </c>
      <c r="F7" s="9">
        <f>D7*130</f>
        <v/>
      </c>
      <c r="G7" s="9">
        <f>ROUND(SUMIF('每日出勤'!$B:$B, A7, '每日出勤'!$F:$F)*162.5*1.33 + SUMIF('每日出勤'!$B:$B, A7, '每日出勤'!$G:$G)*162.5*1.66, 0)</f>
        <v/>
      </c>
      <c r="H7" s="10">
        <f>E7+F7+G7</f>
        <v/>
      </c>
      <c r="I7" s="9">
        <f>ROUND(SUMIF('每日出勤'!$B:$B, A7, '每日出勤'!$H:$H)*162.5, 0)</f>
        <v/>
      </c>
      <c r="J7" s="9">
        <f>ROUND(SUMIF('每日出勤'!$B:$B, A7, '每日出勤'!$I:$I)*(162.5/60), 0)</f>
        <v/>
      </c>
      <c r="K7" s="9">
        <f>VLOOKUP(A7, '員工設定'!$A:$E, 5, FALSE)</f>
        <v/>
      </c>
      <c r="L7" s="9">
        <f>VLOOKUP(A7, '員工設定'!$A:$G, 7, FALSE)</f>
        <v/>
      </c>
      <c r="M7" s="9">
        <f>ROUND(VLOOKUP(A7, '員工設定'!$A:$J, 8, FALSE)*VLOOKUP(A7, '員工設定'!$A:$J, 10, FALSE), 0)</f>
        <v/>
      </c>
      <c r="N7" s="9">
        <f>SUMIF('每日出勤'!$B:$B, A7, '每日出勤'!$J:$J)</f>
        <v/>
      </c>
      <c r="O7" s="11">
        <f>I7+J7+K7+L7+M7+N7</f>
        <v/>
      </c>
      <c r="P7" s="12">
        <f>H7-O7</f>
        <v/>
      </c>
      <c r="Q7" s="9">
        <f>VLOOKUP(A7, '員工設定'!$A:$I, 9, FALSE)</f>
        <v/>
      </c>
    </row>
    <row r="8">
      <c r="A8" s="8" t="inlineStr">
        <is>
          <t>EMP03</t>
        </is>
      </c>
      <c r="B8" s="8" t="inlineStr">
        <is>
          <t>張志成</t>
        </is>
      </c>
      <c r="C8" s="8" t="inlineStr">
        <is>
          <t>物料備料員</t>
        </is>
      </c>
      <c r="D8" s="9">
        <f>SUMIF('每日出勤'!$B:$B, A8, '每日出勤'!$E:$E)/8</f>
        <v/>
      </c>
      <c r="E8" s="9">
        <f>D8*1300</f>
        <v/>
      </c>
      <c r="F8" s="9">
        <f>D8*130</f>
        <v/>
      </c>
      <c r="G8" s="9">
        <f>ROUND(SUMIF('每日出勤'!$B:$B, A8, '每日出勤'!$F:$F)*162.5*1.33 + SUMIF('每日出勤'!$B:$B, A8, '每日出勤'!$G:$G)*162.5*1.66, 0)</f>
        <v/>
      </c>
      <c r="H8" s="10">
        <f>E8+F8+G8</f>
        <v/>
      </c>
      <c r="I8" s="9">
        <f>ROUND(SUMIF('每日出勤'!$B:$B, A8, '每日出勤'!$H:$H)*162.5, 0)</f>
        <v/>
      </c>
      <c r="J8" s="9">
        <f>ROUND(SUMIF('每日出勤'!$B:$B, A8, '每日出勤'!$I:$I)*(162.5/60), 0)</f>
        <v/>
      </c>
      <c r="K8" s="9">
        <f>VLOOKUP(A8, '員工設定'!$A:$E, 5, FALSE)</f>
        <v/>
      </c>
      <c r="L8" s="9">
        <f>VLOOKUP(A8, '員工設定'!$A:$G, 7, FALSE)</f>
        <v/>
      </c>
      <c r="M8" s="9">
        <f>ROUND(VLOOKUP(A8, '員工設定'!$A:$J, 8, FALSE)*VLOOKUP(A8, '員工設定'!$A:$J, 10, FALSE), 0)</f>
        <v/>
      </c>
      <c r="N8" s="9">
        <f>SUMIF('每日出勤'!$B:$B, A8, '每日出勤'!$J:$J)</f>
        <v/>
      </c>
      <c r="O8" s="11">
        <f>I8+J8+K8+L8+M8+N8</f>
        <v/>
      </c>
      <c r="P8" s="12">
        <f>H8-O8</f>
        <v/>
      </c>
      <c r="Q8" s="9">
        <f>VLOOKUP(A8, '員工設定'!$A:$I, 9, FALSE)</f>
        <v/>
      </c>
    </row>
    <row r="9">
      <c r="A9" s="8" t="inlineStr">
        <is>
          <t>EMP04</t>
        </is>
      </c>
      <c r="B9" s="8" t="inlineStr">
        <is>
          <t>黃國榮</t>
        </is>
      </c>
      <c r="C9" s="8" t="inlineStr">
        <is>
          <t>機械操作員</t>
        </is>
      </c>
      <c r="D9" s="9">
        <f>SUMIF('每日出勤'!$B:$B, A9, '每日出勤'!$E:$E)/8</f>
        <v/>
      </c>
      <c r="E9" s="9">
        <f>D9*1300</f>
        <v/>
      </c>
      <c r="F9" s="9">
        <f>D9*130</f>
        <v/>
      </c>
      <c r="G9" s="9">
        <f>ROUND(SUMIF('每日出勤'!$B:$B, A9, '每日出勤'!$F:$F)*162.5*1.33 + SUMIF('每日出勤'!$B:$B, A9, '每日出勤'!$G:$G)*162.5*1.66, 0)</f>
        <v/>
      </c>
      <c r="H9" s="10">
        <f>E9+F9+G9</f>
        <v/>
      </c>
      <c r="I9" s="9">
        <f>ROUND(SUMIF('每日出勤'!$B:$B, A9, '每日出勤'!$H:$H)*162.5, 0)</f>
        <v/>
      </c>
      <c r="J9" s="9">
        <f>ROUND(SUMIF('每日出勤'!$B:$B, A9, '每日出勤'!$I:$I)*(162.5/60), 0)</f>
        <v/>
      </c>
      <c r="K9" s="9">
        <f>VLOOKUP(A9, '員工設定'!$A:$E, 5, FALSE)</f>
        <v/>
      </c>
      <c r="L9" s="9">
        <f>VLOOKUP(A9, '員工設定'!$A:$G, 7, FALSE)</f>
        <v/>
      </c>
      <c r="M9" s="9">
        <f>ROUND(VLOOKUP(A9, '員工設定'!$A:$J, 8, FALSE)*VLOOKUP(A9, '員工設定'!$A:$J, 10, FALSE), 0)</f>
        <v/>
      </c>
      <c r="N9" s="9">
        <f>SUMIF('每日出勤'!$B:$B, A9, '每日出勤'!$J:$J)</f>
        <v/>
      </c>
      <c r="O9" s="11">
        <f>I9+J9+K9+L9+M9+N9</f>
        <v/>
      </c>
      <c r="P9" s="12">
        <f>H9-O9</f>
        <v/>
      </c>
      <c r="Q9" s="9">
        <f>VLOOKUP(A9, '員工設定'!$A:$I, 9, FALSE)</f>
        <v/>
      </c>
    </row>
    <row r="10">
      <c r="A10" s="8" t="inlineStr">
        <is>
          <t>EMP05</t>
        </is>
      </c>
      <c r="B10" s="8" t="inlineStr">
        <is>
          <t>李雅婷</t>
        </is>
      </c>
      <c r="C10" s="8" t="inlineStr">
        <is>
          <t>品管檢驗員</t>
        </is>
      </c>
      <c r="D10" s="9">
        <f>SUMIF('每日出勤'!$B:$B, A10, '每日出勤'!$E:$E)/8</f>
        <v/>
      </c>
      <c r="E10" s="9">
        <f>D10*1300</f>
        <v/>
      </c>
      <c r="F10" s="9">
        <f>D10*130</f>
        <v/>
      </c>
      <c r="G10" s="9">
        <f>ROUND(SUMIF('每日出勤'!$B:$B, A10, '每日出勤'!$F:$F)*162.5*1.33 + SUMIF('每日出勤'!$B:$B, A10, '每日出勤'!$G:$G)*162.5*1.66, 0)</f>
        <v/>
      </c>
      <c r="H10" s="10">
        <f>E10+F10+G10</f>
        <v/>
      </c>
      <c r="I10" s="9">
        <f>ROUND(SUMIF('每日出勤'!$B:$B, A10, '每日出勤'!$H:$H)*162.5, 0)</f>
        <v/>
      </c>
      <c r="J10" s="9">
        <f>ROUND(SUMIF('每日出勤'!$B:$B, A10, '每日出勤'!$I:$I)*(162.5/60), 0)</f>
        <v/>
      </c>
      <c r="K10" s="9">
        <f>VLOOKUP(A10, '員工設定'!$A:$E, 5, FALSE)</f>
        <v/>
      </c>
      <c r="L10" s="9">
        <f>VLOOKUP(A10, '員工設定'!$A:$G, 7, FALSE)</f>
        <v/>
      </c>
      <c r="M10" s="9">
        <f>ROUND(VLOOKUP(A10, '員工設定'!$A:$J, 8, FALSE)*VLOOKUP(A10, '員工設定'!$A:$J, 10, FALSE), 0)</f>
        <v/>
      </c>
      <c r="N10" s="9">
        <f>SUMIF('每日出勤'!$B:$B, A10, '每日出勤'!$J:$J)</f>
        <v/>
      </c>
      <c r="O10" s="11">
        <f>I10+J10+K10+L10+M10+N10</f>
        <v/>
      </c>
      <c r="P10" s="12">
        <f>H10-O10</f>
        <v/>
      </c>
      <c r="Q10" s="9">
        <f>VLOOKUP(A10, '員工設定'!$A:$I, 9, FALSE)</f>
        <v/>
      </c>
    </row>
    <row r="11">
      <c r="A11" s="8" t="inlineStr">
        <is>
          <t>EMP06</t>
        </is>
      </c>
      <c r="B11" s="8" t="inlineStr">
        <is>
          <t>王俊傑</t>
        </is>
      </c>
      <c r="C11" s="8" t="inlineStr">
        <is>
          <t>組裝作業員</t>
        </is>
      </c>
      <c r="D11" s="9">
        <f>SUMIF('每日出勤'!$B:$B, A11, '每日出勤'!$E:$E)/8</f>
        <v/>
      </c>
      <c r="E11" s="9">
        <f>D11*1300</f>
        <v/>
      </c>
      <c r="F11" s="9">
        <f>D11*130</f>
        <v/>
      </c>
      <c r="G11" s="9">
        <f>ROUND(SUMIF('每日出勤'!$B:$B, A11, '每日出勤'!$F:$F)*162.5*1.33 + SUMIF('每日出勤'!$B:$B, A11, '每日出勤'!$G:$G)*162.5*1.66, 0)</f>
        <v/>
      </c>
      <c r="H11" s="10">
        <f>E11+F11+G11</f>
        <v/>
      </c>
      <c r="I11" s="9">
        <f>ROUND(SUMIF('每日出勤'!$B:$B, A11, '每日出勤'!$H:$H)*162.5, 0)</f>
        <v/>
      </c>
      <c r="J11" s="9">
        <f>ROUND(SUMIF('每日出勤'!$B:$B, A11, '每日出勤'!$I:$I)*(162.5/60), 0)</f>
        <v/>
      </c>
      <c r="K11" s="9">
        <f>VLOOKUP(A11, '員工設定'!$A:$E, 5, FALSE)</f>
        <v/>
      </c>
      <c r="L11" s="9">
        <f>VLOOKUP(A11, '員工設定'!$A:$G, 7, FALSE)</f>
        <v/>
      </c>
      <c r="M11" s="9">
        <f>ROUND(VLOOKUP(A11, '員工設定'!$A:$J, 8, FALSE)*VLOOKUP(A11, '員工設定'!$A:$J, 10, FALSE), 0)</f>
        <v/>
      </c>
      <c r="N11" s="9">
        <f>SUMIF('每日出勤'!$B:$B, A11, '每日出勤'!$J:$J)</f>
        <v/>
      </c>
      <c r="O11" s="11">
        <f>I11+J11+K11+L11+M11+N11</f>
        <v/>
      </c>
      <c r="P11" s="12">
        <f>H11-O11</f>
        <v/>
      </c>
      <c r="Q11" s="9">
        <f>VLOOKUP(A11, '員工設定'!$A:$I, 9, FALSE)</f>
        <v/>
      </c>
    </row>
    <row r="12">
      <c r="A12" s="8" t="inlineStr">
        <is>
          <t>EMP07</t>
        </is>
      </c>
      <c r="B12" s="8" t="inlineStr">
        <is>
          <t>吳佩芬</t>
        </is>
      </c>
      <c r="C12" s="8" t="inlineStr">
        <is>
          <t>組裝作業員</t>
        </is>
      </c>
      <c r="D12" s="9">
        <f>SUMIF('每日出勤'!$B:$B, A12, '每日出勤'!$E:$E)/8</f>
        <v/>
      </c>
      <c r="E12" s="9">
        <f>D12*1300</f>
        <v/>
      </c>
      <c r="F12" s="9">
        <f>D12*130</f>
        <v/>
      </c>
      <c r="G12" s="9">
        <f>ROUND(SUMIF('每日出勤'!$B:$B, A12, '每日出勤'!$F:$F)*162.5*1.33 + SUMIF('每日出勤'!$B:$B, A12, '每日出勤'!$G:$G)*162.5*1.66, 0)</f>
        <v/>
      </c>
      <c r="H12" s="10">
        <f>E12+F12+G12</f>
        <v/>
      </c>
      <c r="I12" s="9">
        <f>ROUND(SUMIF('每日出勤'!$B:$B, A12, '每日出勤'!$H:$H)*162.5, 0)</f>
        <v/>
      </c>
      <c r="J12" s="9">
        <f>ROUND(SUMIF('每日出勤'!$B:$B, A12, '每日出勤'!$I:$I)*(162.5/60), 0)</f>
        <v/>
      </c>
      <c r="K12" s="9">
        <f>VLOOKUP(A12, '員工設定'!$A:$E, 5, FALSE)</f>
        <v/>
      </c>
      <c r="L12" s="9">
        <f>VLOOKUP(A12, '員工設定'!$A:$G, 7, FALSE)</f>
        <v/>
      </c>
      <c r="M12" s="9">
        <f>ROUND(VLOOKUP(A12, '員工設定'!$A:$J, 8, FALSE)*VLOOKUP(A12, '員工設定'!$A:$J, 10, FALSE), 0)</f>
        <v/>
      </c>
      <c r="N12" s="9">
        <f>SUMIF('每日出勤'!$B:$B, A12, '每日出勤'!$J:$J)</f>
        <v/>
      </c>
      <c r="O12" s="11">
        <f>I12+J12+K12+L12+M12+N12</f>
        <v/>
      </c>
      <c r="P12" s="12">
        <f>H12-O12</f>
        <v/>
      </c>
      <c r="Q12" s="9">
        <f>VLOOKUP(A12, '員工設定'!$A:$I, 9, FALSE)</f>
        <v/>
      </c>
    </row>
    <row r="13">
      <c r="A13" s="8" t="inlineStr">
        <is>
          <t>EMP08</t>
        </is>
      </c>
      <c r="B13" s="8" t="inlineStr">
        <is>
          <t>劉家豪</t>
        </is>
      </c>
      <c r="C13" s="8" t="inlineStr">
        <is>
          <t>機台調機員</t>
        </is>
      </c>
      <c r="D13" s="9">
        <f>SUMIF('每日出勤'!$B:$B, A13, '每日出勤'!$E:$E)/8</f>
        <v/>
      </c>
      <c r="E13" s="9">
        <f>D13*1300</f>
        <v/>
      </c>
      <c r="F13" s="9">
        <f>D13*130</f>
        <v/>
      </c>
      <c r="G13" s="9">
        <f>ROUND(SUMIF('每日出勤'!$B:$B, A13, '每日出勤'!$F:$F)*162.5*1.33 + SUMIF('每日出勤'!$B:$B, A13, '每日出勤'!$G:$G)*162.5*1.66, 0)</f>
        <v/>
      </c>
      <c r="H13" s="10">
        <f>E13+F13+G13</f>
        <v/>
      </c>
      <c r="I13" s="9">
        <f>ROUND(SUMIF('每日出勤'!$B:$B, A13, '每日出勤'!$H:$H)*162.5, 0)</f>
        <v/>
      </c>
      <c r="J13" s="9">
        <f>ROUND(SUMIF('每日出勤'!$B:$B, A13, '每日出勤'!$I:$I)*(162.5/60), 0)</f>
        <v/>
      </c>
      <c r="K13" s="9">
        <f>VLOOKUP(A13, '員工設定'!$A:$E, 5, FALSE)</f>
        <v/>
      </c>
      <c r="L13" s="9">
        <f>VLOOKUP(A13, '員工設定'!$A:$G, 7, FALSE)</f>
        <v/>
      </c>
      <c r="M13" s="9">
        <f>ROUND(VLOOKUP(A13, '員工設定'!$A:$J, 8, FALSE)*VLOOKUP(A13, '員工設定'!$A:$J, 10, FALSE), 0)</f>
        <v/>
      </c>
      <c r="N13" s="9">
        <f>SUMIF('每日出勤'!$B:$B, A13, '每日出勤'!$J:$J)</f>
        <v/>
      </c>
      <c r="O13" s="11">
        <f>I13+J13+K13+L13+M13+N13</f>
        <v/>
      </c>
      <c r="P13" s="12">
        <f>H13-O13</f>
        <v/>
      </c>
      <c r="Q13" s="9">
        <f>VLOOKUP(A13, '員工設定'!$A:$I, 9, FALSE)</f>
        <v/>
      </c>
    </row>
    <row r="14">
      <c r="A14" s="8" t="inlineStr">
        <is>
          <t>EMP09</t>
        </is>
      </c>
      <c r="B14" s="8" t="inlineStr">
        <is>
          <t>蔡佳蓉</t>
        </is>
      </c>
      <c r="C14" s="8" t="inlineStr">
        <is>
          <t>包裝作業員</t>
        </is>
      </c>
      <c r="D14" s="9">
        <f>SUMIF('每日出勤'!$B:$B, A14, '每日出勤'!$E:$E)/8</f>
        <v/>
      </c>
      <c r="E14" s="9">
        <f>D14*1300</f>
        <v/>
      </c>
      <c r="F14" s="9">
        <f>D14*130</f>
        <v/>
      </c>
      <c r="G14" s="9">
        <f>ROUND(SUMIF('每日出勤'!$B:$B, A14, '每日出勤'!$F:$F)*162.5*1.33 + SUMIF('每日出勤'!$B:$B, A14, '每日出勤'!$G:$G)*162.5*1.66, 0)</f>
        <v/>
      </c>
      <c r="H14" s="10">
        <f>E14+F14+G14</f>
        <v/>
      </c>
      <c r="I14" s="9">
        <f>ROUND(SUMIF('每日出勤'!$B:$B, A14, '每日出勤'!$H:$H)*162.5, 0)</f>
        <v/>
      </c>
      <c r="J14" s="9">
        <f>ROUND(SUMIF('每日出勤'!$B:$B, A14, '每日出勤'!$I:$I)*(162.5/60), 0)</f>
        <v/>
      </c>
      <c r="K14" s="9">
        <f>VLOOKUP(A14, '員工設定'!$A:$E, 5, FALSE)</f>
        <v/>
      </c>
      <c r="L14" s="9">
        <f>VLOOKUP(A14, '員工設定'!$A:$G, 7, FALSE)</f>
        <v/>
      </c>
      <c r="M14" s="9">
        <f>ROUND(VLOOKUP(A14, '員工設定'!$A:$J, 8, FALSE)*VLOOKUP(A14, '員工設定'!$A:$J, 10, FALSE), 0)</f>
        <v/>
      </c>
      <c r="N14" s="9">
        <f>SUMIF('每日出勤'!$B:$B, A14, '每日出勤'!$J:$J)</f>
        <v/>
      </c>
      <c r="O14" s="11">
        <f>I14+J14+K14+L14+M14+N14</f>
        <v/>
      </c>
      <c r="P14" s="12">
        <f>H14-O14</f>
        <v/>
      </c>
      <c r="Q14" s="9">
        <f>VLOOKUP(A14, '員工設定'!$A:$I, 9, FALSE)</f>
        <v/>
      </c>
    </row>
    <row r="15">
      <c r="A15" s="8" t="inlineStr">
        <is>
          <t>EMP10</t>
        </is>
      </c>
      <c r="B15" s="8" t="inlineStr">
        <is>
          <t>許博凱</t>
        </is>
      </c>
      <c r="C15" s="8" t="inlineStr">
        <is>
          <t>倉儲理貨員</t>
        </is>
      </c>
      <c r="D15" s="9">
        <f>SUMIF('每日出勤'!$B:$B, A15, '每日出勤'!$E:$E)/8</f>
        <v/>
      </c>
      <c r="E15" s="9">
        <f>D15*1300</f>
        <v/>
      </c>
      <c r="F15" s="9">
        <f>D15*130</f>
        <v/>
      </c>
      <c r="G15" s="9">
        <f>ROUND(SUMIF('每日出勤'!$B:$B, A15, '每日出勤'!$F:$F)*162.5*1.33 + SUMIF('每日出勤'!$B:$B, A15, '每日出勤'!$G:$G)*162.5*1.66, 0)</f>
        <v/>
      </c>
      <c r="H15" s="10">
        <f>E15+F15+G15</f>
        <v/>
      </c>
      <c r="I15" s="9">
        <f>ROUND(SUMIF('每日出勤'!$B:$B, A15, '每日出勤'!$H:$H)*162.5, 0)</f>
        <v/>
      </c>
      <c r="J15" s="9">
        <f>ROUND(SUMIF('每日出勤'!$B:$B, A15, '每日出勤'!$I:$I)*(162.5/60), 0)</f>
        <v/>
      </c>
      <c r="K15" s="9">
        <f>VLOOKUP(A15, '員工設定'!$A:$E, 5, FALSE)</f>
        <v/>
      </c>
      <c r="L15" s="9">
        <f>VLOOKUP(A15, '員工設定'!$A:$G, 7, FALSE)</f>
        <v/>
      </c>
      <c r="M15" s="9">
        <f>ROUND(VLOOKUP(A15, '員工設定'!$A:$J, 8, FALSE)*VLOOKUP(A15, '員工設定'!$A:$J, 10, FALSE), 0)</f>
        <v/>
      </c>
      <c r="N15" s="9">
        <f>SUMIF('每日出勤'!$B:$B, A15, '每日出勤'!$J:$J)</f>
        <v/>
      </c>
      <c r="O15" s="11">
        <f>I15+J15+K15+L15+M15+N15</f>
        <v/>
      </c>
      <c r="P15" s="12">
        <f>H15-O15</f>
        <v/>
      </c>
      <c r="Q15" s="9">
        <f>VLOOKUP(A15, '員工設定'!$A:$I, 9, FALSE)</f>
        <v/>
      </c>
    </row>
    <row r="16">
      <c r="A16" s="8" t="inlineStr">
        <is>
          <t>EMP11</t>
        </is>
      </c>
      <c r="B16" s="8" t="inlineStr">
        <is>
          <t>鄭淑芬</t>
        </is>
      </c>
      <c r="C16" s="8" t="inlineStr">
        <is>
          <t>品檢作業員</t>
        </is>
      </c>
      <c r="D16" s="9">
        <f>SUMIF('每日出勤'!$B:$B, A16, '每日出勤'!$E:$E)/8</f>
        <v/>
      </c>
      <c r="E16" s="9">
        <f>D16*1300</f>
        <v/>
      </c>
      <c r="F16" s="9">
        <f>D16*130</f>
        <v/>
      </c>
      <c r="G16" s="9">
        <f>ROUND(SUMIF('每日出勤'!$B:$B, A16, '每日出勤'!$F:$F)*162.5*1.33 + SUMIF('每日出勤'!$B:$B, A16, '每日出勤'!$G:$G)*162.5*1.66, 0)</f>
        <v/>
      </c>
      <c r="H16" s="10">
        <f>E16+F16+G16</f>
        <v/>
      </c>
      <c r="I16" s="9">
        <f>ROUND(SUMIF('每日出勤'!$B:$B, A16, '每日出勤'!$H:$H)*162.5, 0)</f>
        <v/>
      </c>
      <c r="J16" s="9">
        <f>ROUND(SUMIF('每日出勤'!$B:$B, A16, '每日出勤'!$I:$I)*(162.5/60), 0)</f>
        <v/>
      </c>
      <c r="K16" s="9">
        <f>VLOOKUP(A16, '員工設定'!$A:$E, 5, FALSE)</f>
        <v/>
      </c>
      <c r="L16" s="9">
        <f>VLOOKUP(A16, '員工設定'!$A:$G, 7, FALSE)</f>
        <v/>
      </c>
      <c r="M16" s="9">
        <f>ROUND(VLOOKUP(A16, '員工設定'!$A:$J, 8, FALSE)*VLOOKUP(A16, '員工設定'!$A:$J, 10, FALSE), 0)</f>
        <v/>
      </c>
      <c r="N16" s="9">
        <f>SUMIF('每日出勤'!$B:$B, A16, '每日出勤'!$J:$J)</f>
        <v/>
      </c>
      <c r="O16" s="11">
        <f>I16+J16+K16+L16+M16+N16</f>
        <v/>
      </c>
      <c r="P16" s="12">
        <f>H16-O16</f>
        <v/>
      </c>
      <c r="Q16" s="9">
        <f>VLOOKUP(A16, '員工設定'!$A:$I, 9, FALSE)</f>
        <v/>
      </c>
    </row>
    <row r="17">
      <c r="A17" s="8" t="inlineStr">
        <is>
          <t>EMP12</t>
        </is>
      </c>
      <c r="B17" s="8" t="inlineStr">
        <is>
          <t>謝宗翰</t>
        </is>
      </c>
      <c r="C17" s="8" t="inlineStr">
        <is>
          <t>廠務助理</t>
        </is>
      </c>
      <c r="D17" s="9">
        <f>SUMIF('每日出勤'!$B:$B, A17, '每日出勤'!$E:$E)/8</f>
        <v/>
      </c>
      <c r="E17" s="9">
        <f>D17*1300</f>
        <v/>
      </c>
      <c r="F17" s="9">
        <f>D17*130</f>
        <v/>
      </c>
      <c r="G17" s="9">
        <f>ROUND(SUMIF('每日出勤'!$B:$B, A17, '每日出勤'!$F:$F)*162.5*1.33 + SUMIF('每日出勤'!$B:$B, A17, '每日出勤'!$G:$G)*162.5*1.66, 0)</f>
        <v/>
      </c>
      <c r="H17" s="10">
        <f>E17+F17+G17</f>
        <v/>
      </c>
      <c r="I17" s="9">
        <f>ROUND(SUMIF('每日出勤'!$B:$B, A17, '每日出勤'!$H:$H)*162.5, 0)</f>
        <v/>
      </c>
      <c r="J17" s="9">
        <f>ROUND(SUMIF('每日出勤'!$B:$B, A17, '每日出勤'!$I:$I)*(162.5/60), 0)</f>
        <v/>
      </c>
      <c r="K17" s="9">
        <f>VLOOKUP(A17, '員工設定'!$A:$E, 5, FALSE)</f>
        <v/>
      </c>
      <c r="L17" s="9">
        <f>VLOOKUP(A17, '員工設定'!$A:$G, 7, FALSE)</f>
        <v/>
      </c>
      <c r="M17" s="9">
        <f>ROUND(VLOOKUP(A17, '員工設定'!$A:$J, 8, FALSE)*VLOOKUP(A17, '員工設定'!$A:$J, 10, FALSE), 0)</f>
        <v/>
      </c>
      <c r="N17" s="9">
        <f>SUMIF('每日出勤'!$B:$B, A17, '每日出勤'!$J:$J)</f>
        <v/>
      </c>
      <c r="O17" s="11">
        <f>I17+J17+K17+L17+M17+N17</f>
        <v/>
      </c>
      <c r="P17" s="12">
        <f>H17-O17</f>
        <v/>
      </c>
      <c r="Q17" s="9">
        <f>VLOOKUP(A17, '員工設定'!$A:$I, 9, FALSE)</f>
        <v/>
      </c>
    </row>
    <row r="18">
      <c r="A18" s="13" t="inlineStr">
        <is>
          <t>合計 (12 位員工總額)</t>
        </is>
      </c>
      <c r="B18" s="26" t="n"/>
      <c r="C18" s="27" t="n"/>
      <c r="D18" s="15">
        <f>SUM(D6:D17)</f>
        <v/>
      </c>
      <c r="E18" s="15">
        <f>SUM(E6:E17)</f>
        <v/>
      </c>
      <c r="F18" s="15">
        <f>SUM(F6:F17)</f>
        <v/>
      </c>
      <c r="G18" s="15">
        <f>SUM(G6:G17)</f>
        <v/>
      </c>
      <c r="H18" s="15">
        <f>SUM(H6:H17)</f>
        <v/>
      </c>
      <c r="I18" s="15">
        <f>SUM(I6:I17)</f>
        <v/>
      </c>
      <c r="J18" s="15">
        <f>SUM(J6:J17)</f>
        <v/>
      </c>
      <c r="K18" s="15">
        <f>SUM(K6:K17)</f>
        <v/>
      </c>
      <c r="L18" s="15">
        <f>SUM(L6:L17)</f>
        <v/>
      </c>
      <c r="M18" s="15">
        <f>SUM(M6:M17)</f>
        <v/>
      </c>
      <c r="N18" s="15">
        <f>SUM(N6:N17)</f>
        <v/>
      </c>
      <c r="O18" s="15">
        <f>SUM(O6:O17)</f>
        <v/>
      </c>
      <c r="P18" s="15">
        <f>SUM(P6:P17)</f>
        <v/>
      </c>
      <c r="Q18" s="15">
        <f>SUM(Q6:Q17)</f>
        <v/>
      </c>
    </row>
    <row r="20">
      <c r="A20" s="16" t="inlineStr">
        <is>
          <t>備註說明：</t>
        </is>
      </c>
      <c r="B20" s="2" t="inlineStr">
        <is>
          <t>1. 本表正常時薪按日薪 1,300 元 ÷ 8 小時 = 162.5 元計；平日加班前 2 小時按 1.33 倍（216.1元）、超過 2 小時按 1.66 倍（269.8元）計算。</t>
        </is>
      </c>
    </row>
    <row r="21">
      <c r="B21" s="2" t="inlineStr">
        <is>
          <t>2. 餐費補貼每出勤工作 1 天補助 130 元；請假依時數扣除時薪 162.5 元；遲到早退依分鐘數依比例折算扣除。</t>
        </is>
      </c>
    </row>
    <row r="22">
      <c r="B22" s="2" t="inlineStr">
        <is>
          <t>3. 勞退雇主提撥 6% 係屬雇主法定成本，依法不得自員工薪資內扣除，本表特別列出以利管理會計成本勾稽。</t>
        </is>
      </c>
    </row>
    <row r="24">
      <c r="B24" s="16" t="inlineStr">
        <is>
          <t>核准：____________________</t>
        </is>
      </c>
      <c r="F24" s="16" t="inlineStr">
        <is>
          <t>覆核：____________________</t>
        </is>
      </c>
      <c r="K24" s="16" t="inlineStr">
        <is>
          <t>審核：____________________</t>
        </is>
      </c>
      <c r="O24" s="16" t="inlineStr">
        <is>
          <t>製表：____________________</t>
        </is>
      </c>
    </row>
  </sheetData>
  <mergeCells count="6">
    <mergeCell ref="Q4"/>
    <mergeCell ref="P4"/>
    <mergeCell ref="A18:C18"/>
    <mergeCell ref="I4:O4"/>
    <mergeCell ref="D4:H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8" customWidth="1" min="4" max="4"/>
    <col width="14" customWidth="1" min="5" max="5"/>
    <col width="11" customWidth="1" min="6" max="6"/>
    <col width="11" customWidth="1" min="7" max="7"/>
    <col width="14" customWidth="1" min="8" max="8"/>
    <col width="16" customWidth="1" min="9" max="9"/>
    <col width="14" customWidth="1" min="10" max="10"/>
    <col width="65" customWidth="1" min="11" max="11"/>
  </cols>
  <sheetData>
    <row r="1">
      <c r="A1" s="1" t="inlineStr">
        <is>
          <t>【2026年9月份 每日出勤登打與工時日誌】</t>
        </is>
      </c>
    </row>
    <row r="2">
      <c r="A2" s="2" t="inlineStr">
        <is>
          <t>每日由現場主管或會計輸入出勤與加班時數，月薪資總表將依員工編號自動 SUMIF 加總計算</t>
        </is>
      </c>
    </row>
    <row r="4">
      <c r="A4" s="17" t="inlineStr">
        <is>
          <t>出勤日期</t>
        </is>
      </c>
      <c r="B4" s="17" t="inlineStr">
        <is>
          <t>員工編號</t>
        </is>
      </c>
      <c r="C4" s="17" t="inlineStr">
        <is>
          <t>姓名</t>
        </is>
      </c>
      <c r="D4" s="17" t="inlineStr">
        <is>
          <t>出勤狀態</t>
        </is>
      </c>
      <c r="E4" s="17" t="inlineStr">
        <is>
          <t>正常工時(H)</t>
        </is>
      </c>
      <c r="F4" s="17" t="inlineStr">
        <is>
          <t>加班前2H</t>
        </is>
      </c>
      <c r="G4" s="17" t="inlineStr">
        <is>
          <t>加班超2H</t>
        </is>
      </c>
      <c r="H4" s="17" t="inlineStr">
        <is>
          <t>請假時數(H)</t>
        </is>
      </c>
      <c r="I4" s="17" t="inlineStr">
        <is>
          <t>遲到/早退(分)</t>
        </is>
      </c>
      <c r="J4" s="17" t="inlineStr">
        <is>
          <t>預支/代扣款</t>
        </is>
      </c>
      <c r="K4" s="17" t="inlineStr">
        <is>
          <t>日常備註</t>
        </is>
      </c>
    </row>
    <row r="5">
      <c r="A5" s="8" t="inlineStr">
        <is>
          <t>2026/09/30</t>
        </is>
      </c>
      <c r="B5" s="8" t="inlineStr">
        <is>
          <t>EMP01</t>
        </is>
      </c>
      <c r="C5" s="8" t="inlineStr">
        <is>
          <t>陳建宏</t>
        </is>
      </c>
      <c r="D5" s="8" t="inlineStr">
        <is>
          <t>正常出勤 (月結)</t>
        </is>
      </c>
      <c r="E5" s="9" t="n">
        <v>176</v>
      </c>
      <c r="F5" s="9" t="n">
        <v>12</v>
      </c>
      <c r="G5" s="9" t="n">
        <v>4</v>
      </c>
      <c r="H5" s="9" t="n">
        <v>0</v>
      </c>
      <c r="I5" s="9" t="n">
        <v>0</v>
      </c>
      <c r="J5" s="9" t="n">
        <v>0</v>
      </c>
      <c r="K5" s="18" t="inlineStr">
        <is>
          <t>正常完工</t>
        </is>
      </c>
    </row>
    <row r="6">
      <c r="A6" s="8" t="inlineStr">
        <is>
          <t>2026/09/30</t>
        </is>
      </c>
      <c r="B6" s="8" t="inlineStr">
        <is>
          <t>EMP02</t>
        </is>
      </c>
      <c r="C6" s="8" t="inlineStr">
        <is>
          <t>林美玲</t>
        </is>
      </c>
      <c r="D6" s="8" t="inlineStr">
        <is>
          <t>正常出勤 (月結)</t>
        </is>
      </c>
      <c r="E6" s="9" t="n">
        <v>168</v>
      </c>
      <c r="F6" s="9" t="n">
        <v>8</v>
      </c>
      <c r="G6" s="9" t="n">
        <v>0</v>
      </c>
      <c r="H6" s="9" t="n">
        <v>8</v>
      </c>
      <c r="I6" s="9" t="n">
        <v>15</v>
      </c>
      <c r="J6" s="9" t="n">
        <v>0</v>
      </c>
      <c r="K6" s="18" t="inlineStr">
        <is>
          <t>正常完工；病假事假共 8 小時；遲到早退 15 分鐘</t>
        </is>
      </c>
    </row>
    <row r="7">
      <c r="A7" s="8" t="inlineStr">
        <is>
          <t>2026/09/30</t>
        </is>
      </c>
      <c r="B7" s="8" t="inlineStr">
        <is>
          <t>EMP03</t>
        </is>
      </c>
      <c r="C7" s="8" t="inlineStr">
        <is>
          <t>張志成</t>
        </is>
      </c>
      <c r="D7" s="8" t="inlineStr">
        <is>
          <t>正常出勤 (月結)</t>
        </is>
      </c>
      <c r="E7" s="9" t="n">
        <v>176</v>
      </c>
      <c r="F7" s="9" t="n">
        <v>16</v>
      </c>
      <c r="G7" s="9" t="n">
        <v>6</v>
      </c>
      <c r="H7" s="9" t="n">
        <v>0</v>
      </c>
      <c r="I7" s="9" t="n">
        <v>0</v>
      </c>
      <c r="J7" s="9" t="n">
        <v>1000</v>
      </c>
      <c r="K7" s="18" t="inlineStr">
        <is>
          <t>正常完工；本期預支 1000 元</t>
        </is>
      </c>
    </row>
    <row r="8">
      <c r="A8" s="8" t="inlineStr">
        <is>
          <t>2026/09/30</t>
        </is>
      </c>
      <c r="B8" s="8" t="inlineStr">
        <is>
          <t>EMP04</t>
        </is>
      </c>
      <c r="C8" s="8" t="inlineStr">
        <is>
          <t>黃國榮</t>
        </is>
      </c>
      <c r="D8" s="8" t="inlineStr">
        <is>
          <t>正常出勤 (月結)</t>
        </is>
      </c>
      <c r="E8" s="9" t="n">
        <v>176</v>
      </c>
      <c r="F8" s="9" t="n">
        <v>20</v>
      </c>
      <c r="G8" s="9" t="n">
        <v>8</v>
      </c>
      <c r="H8" s="9" t="n">
        <v>0</v>
      </c>
      <c r="I8" s="9" t="n">
        <v>0</v>
      </c>
      <c r="J8" s="9" t="n">
        <v>0</v>
      </c>
      <c r="K8" s="18" t="inlineStr">
        <is>
          <t>正常完工</t>
        </is>
      </c>
    </row>
    <row r="9">
      <c r="A9" s="8" t="inlineStr">
        <is>
          <t>2026/09/30</t>
        </is>
      </c>
      <c r="B9" s="8" t="inlineStr">
        <is>
          <t>EMP05</t>
        </is>
      </c>
      <c r="C9" s="8" t="inlineStr">
        <is>
          <t>李雅婷</t>
        </is>
      </c>
      <c r="D9" s="8" t="inlineStr">
        <is>
          <t>正常出勤 (月結)</t>
        </is>
      </c>
      <c r="E9" s="9" t="n">
        <v>160</v>
      </c>
      <c r="F9" s="9" t="n">
        <v>4</v>
      </c>
      <c r="G9" s="9" t="n">
        <v>0</v>
      </c>
      <c r="H9" s="9" t="n">
        <v>16</v>
      </c>
      <c r="I9" s="9" t="n">
        <v>30</v>
      </c>
      <c r="J9" s="9" t="n">
        <v>0</v>
      </c>
      <c r="K9" s="18" t="inlineStr">
        <is>
          <t>正常完工；病假事假共 16 小時；遲到早退 30 分鐘</t>
        </is>
      </c>
    </row>
    <row r="10">
      <c r="A10" s="8" t="inlineStr">
        <is>
          <t>2026/09/30</t>
        </is>
      </c>
      <c r="B10" s="8" t="inlineStr">
        <is>
          <t>EMP06</t>
        </is>
      </c>
      <c r="C10" s="8" t="inlineStr">
        <is>
          <t>王俊傑</t>
        </is>
      </c>
      <c r="D10" s="8" t="inlineStr">
        <is>
          <t>正常出勤 (月結)</t>
        </is>
      </c>
      <c r="E10" s="9" t="n">
        <v>176</v>
      </c>
      <c r="F10" s="9" t="n">
        <v>10</v>
      </c>
      <c r="G10" s="9" t="n">
        <v>2</v>
      </c>
      <c r="H10" s="9" t="n">
        <v>0</v>
      </c>
      <c r="I10" s="9" t="n">
        <v>0</v>
      </c>
      <c r="J10" s="9" t="n">
        <v>0</v>
      </c>
      <c r="K10" s="18" t="inlineStr">
        <is>
          <t>正常完工</t>
        </is>
      </c>
    </row>
    <row r="11">
      <c r="A11" s="8" t="inlineStr">
        <is>
          <t>2026/09/30</t>
        </is>
      </c>
      <c r="B11" s="8" t="inlineStr">
        <is>
          <t>EMP07</t>
        </is>
      </c>
      <c r="C11" s="8" t="inlineStr">
        <is>
          <t>吳佩芬</t>
        </is>
      </c>
      <c r="D11" s="8" t="inlineStr">
        <is>
          <t>正常出勤 (月結)</t>
        </is>
      </c>
      <c r="E11" s="9" t="n">
        <v>168</v>
      </c>
      <c r="F11" s="9" t="n">
        <v>6</v>
      </c>
      <c r="G11" s="9" t="n">
        <v>0</v>
      </c>
      <c r="H11" s="9" t="n">
        <v>8</v>
      </c>
      <c r="I11" s="9" t="n">
        <v>0</v>
      </c>
      <c r="J11" s="9" t="n">
        <v>0</v>
      </c>
      <c r="K11" s="18" t="inlineStr">
        <is>
          <t>正常完工；病假事假共 8 小時</t>
        </is>
      </c>
    </row>
    <row r="12">
      <c r="A12" s="8" t="inlineStr">
        <is>
          <t>2026/09/30</t>
        </is>
      </c>
      <c r="B12" s="8" t="inlineStr">
        <is>
          <t>EMP08</t>
        </is>
      </c>
      <c r="C12" s="8" t="inlineStr">
        <is>
          <t>劉家豪</t>
        </is>
      </c>
      <c r="D12" s="8" t="inlineStr">
        <is>
          <t>正常出勤 (月結)</t>
        </is>
      </c>
      <c r="E12" s="9" t="n">
        <v>176</v>
      </c>
      <c r="F12" s="9" t="n">
        <v>18</v>
      </c>
      <c r="G12" s="9" t="n">
        <v>10</v>
      </c>
      <c r="H12" s="9" t="n">
        <v>0</v>
      </c>
      <c r="I12" s="9" t="n">
        <v>0</v>
      </c>
      <c r="J12" s="9" t="n">
        <v>2000</v>
      </c>
      <c r="K12" s="18" t="inlineStr">
        <is>
          <t>正常完工；本期預支 2000 元</t>
        </is>
      </c>
    </row>
    <row r="13">
      <c r="A13" s="8" t="inlineStr">
        <is>
          <t>2026/09/30</t>
        </is>
      </c>
      <c r="B13" s="8" t="inlineStr">
        <is>
          <t>EMP09</t>
        </is>
      </c>
      <c r="C13" s="8" t="inlineStr">
        <is>
          <t>蔡佳蓉</t>
        </is>
      </c>
      <c r="D13" s="8" t="inlineStr">
        <is>
          <t>正常出勤 (月結)</t>
        </is>
      </c>
      <c r="E13" s="9" t="n">
        <v>176</v>
      </c>
      <c r="F13" s="9" t="n">
        <v>14</v>
      </c>
      <c r="G13" s="9" t="n">
        <v>2</v>
      </c>
      <c r="H13" s="9" t="n">
        <v>0</v>
      </c>
      <c r="I13" s="9" t="n">
        <v>10</v>
      </c>
      <c r="J13" s="9" t="n">
        <v>0</v>
      </c>
      <c r="K13" s="18" t="inlineStr">
        <is>
          <t>正常完工；遲到早退 10 分鐘</t>
        </is>
      </c>
    </row>
    <row r="14">
      <c r="A14" s="8" t="inlineStr">
        <is>
          <t>2026/09/30</t>
        </is>
      </c>
      <c r="B14" s="8" t="inlineStr">
        <is>
          <t>EMP10</t>
        </is>
      </c>
      <c r="C14" s="8" t="inlineStr">
        <is>
          <t>許博凱</t>
        </is>
      </c>
      <c r="D14" s="8" t="inlineStr">
        <is>
          <t>正常出勤 (月結)</t>
        </is>
      </c>
      <c r="E14" s="9" t="n">
        <v>152</v>
      </c>
      <c r="F14" s="9" t="n">
        <v>8</v>
      </c>
      <c r="G14" s="9" t="n">
        <v>0</v>
      </c>
      <c r="H14" s="9" t="n">
        <v>24</v>
      </c>
      <c r="I14" s="9" t="n">
        <v>0</v>
      </c>
      <c r="J14" s="9" t="n">
        <v>0</v>
      </c>
      <c r="K14" s="18" t="inlineStr">
        <is>
          <t>正常完工；病假事假共 24 小時</t>
        </is>
      </c>
    </row>
    <row r="15">
      <c r="A15" s="8" t="inlineStr">
        <is>
          <t>2026/09/30</t>
        </is>
      </c>
      <c r="B15" s="8" t="inlineStr">
        <is>
          <t>EMP11</t>
        </is>
      </c>
      <c r="C15" s="8" t="inlineStr">
        <is>
          <t>鄭淑芬</t>
        </is>
      </c>
      <c r="D15" s="8" t="inlineStr">
        <is>
          <t>正常出勤 (月結)</t>
        </is>
      </c>
      <c r="E15" s="9" t="n">
        <v>176</v>
      </c>
      <c r="F15" s="9" t="n">
        <v>12</v>
      </c>
      <c r="G15" s="9" t="n">
        <v>0</v>
      </c>
      <c r="H15" s="9" t="n">
        <v>0</v>
      </c>
      <c r="I15" s="9" t="n">
        <v>0</v>
      </c>
      <c r="J15" s="9" t="n">
        <v>0</v>
      </c>
      <c r="K15" s="18" t="inlineStr">
        <is>
          <t>正常完工</t>
        </is>
      </c>
    </row>
    <row r="16">
      <c r="A16" s="8" t="inlineStr">
        <is>
          <t>2026/09/30</t>
        </is>
      </c>
      <c r="B16" s="8" t="inlineStr">
        <is>
          <t>EMP12</t>
        </is>
      </c>
      <c r="C16" s="8" t="inlineStr">
        <is>
          <t>謝宗翰</t>
        </is>
      </c>
      <c r="D16" s="8" t="inlineStr">
        <is>
          <t>正常出勤 (月結)</t>
        </is>
      </c>
      <c r="E16" s="9" t="n">
        <v>168</v>
      </c>
      <c r="F16" s="9" t="n">
        <v>10</v>
      </c>
      <c r="G16" s="9" t="n">
        <v>2</v>
      </c>
      <c r="H16" s="9" t="n">
        <v>8</v>
      </c>
      <c r="I16" s="9" t="n">
        <v>20</v>
      </c>
      <c r="J16" s="9" t="n">
        <v>500</v>
      </c>
      <c r="K16" s="18" t="inlineStr">
        <is>
          <t>正常完工；本期預支 500 元；病假事假共 8 小時；遲到早退 20 分鐘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8" customWidth="1" min="5" max="5"/>
    <col width="15" customWidth="1" min="6" max="6"/>
    <col width="18" customWidth="1" min="7" max="7"/>
    <col width="15" customWidth="1" min="8" max="8"/>
    <col width="19" customWidth="1" min="9" max="9"/>
    <col width="15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【員工投保與薪資參數設定庫】</t>
        </is>
      </c>
    </row>
    <row r="2">
      <c r="A2" s="2" t="inlineStr">
        <is>
          <t>基準日薪：NT$ 1,300（8小時） ｜ 正常時薪：NT$ 162.5 ｜ 每工作日餐補：NT$ 130 ｜ 加班費倍率：前2H 1.33倍、超2H 1.66倍</t>
        </is>
      </c>
    </row>
    <row r="4">
      <c r="A4" s="19" t="inlineStr">
        <is>
          <t>員工編號</t>
        </is>
      </c>
      <c r="B4" s="19" t="inlineStr">
        <is>
          <t>姓名</t>
        </is>
      </c>
      <c r="C4" s="19" t="inlineStr">
        <is>
          <t>職稱</t>
        </is>
      </c>
      <c r="D4" s="19" t="inlineStr">
        <is>
          <t>勞保投保薪資</t>
        </is>
      </c>
      <c r="E4" s="19" t="inlineStr">
        <is>
          <t>勞保自付額(11%)</t>
        </is>
      </c>
      <c r="F4" s="19" t="inlineStr">
        <is>
          <t>健保投保薪資</t>
        </is>
      </c>
      <c r="G4" s="19" t="inlineStr">
        <is>
          <t>健保自付額(30%)</t>
        </is>
      </c>
      <c r="H4" s="19" t="inlineStr">
        <is>
          <t>勞退提繳工資</t>
        </is>
      </c>
      <c r="I4" s="19" t="inlineStr">
        <is>
          <t>勞退雇主提撥(6%)</t>
        </is>
      </c>
      <c r="J4" s="19" t="inlineStr">
        <is>
          <t>自提退休金率</t>
        </is>
      </c>
      <c r="K4" s="19" t="inlineStr">
        <is>
          <t>日薪基準</t>
        </is>
      </c>
      <c r="L4" s="19" t="inlineStr">
        <is>
          <t>正常時薪</t>
        </is>
      </c>
      <c r="M4" s="19" t="inlineStr">
        <is>
          <t>餐補每日</t>
        </is>
      </c>
    </row>
    <row r="5">
      <c r="A5" s="8" t="inlineStr">
        <is>
          <t>EMP01</t>
        </is>
      </c>
      <c r="B5" s="8" t="inlineStr">
        <is>
          <t>陳建宏</t>
        </is>
      </c>
      <c r="C5" s="8" t="inlineStr">
        <is>
          <t>生產技術員</t>
        </is>
      </c>
      <c r="D5" s="9" t="n">
        <v>27470</v>
      </c>
      <c r="E5" s="9" t="n">
        <v>632</v>
      </c>
      <c r="F5" s="9" t="n">
        <v>27470</v>
      </c>
      <c r="G5" s="9" t="n">
        <v>426</v>
      </c>
      <c r="H5" s="9" t="n">
        <v>27470</v>
      </c>
      <c r="I5" s="9" t="n">
        <v>1648</v>
      </c>
      <c r="J5" s="20" t="n">
        <v>0</v>
      </c>
      <c r="K5" s="9" t="n">
        <v>1300</v>
      </c>
      <c r="L5" s="21">
        <f>K5/8</f>
        <v/>
      </c>
      <c r="M5" s="9" t="n">
        <v>130</v>
      </c>
    </row>
    <row r="6">
      <c r="A6" s="8" t="inlineStr">
        <is>
          <t>EMP02</t>
        </is>
      </c>
      <c r="B6" s="8" t="inlineStr">
        <is>
          <t>林美玲</t>
        </is>
      </c>
      <c r="C6" s="8" t="inlineStr">
        <is>
          <t>包裝作業員</t>
        </is>
      </c>
      <c r="D6" s="9" t="n">
        <v>27470</v>
      </c>
      <c r="E6" s="9" t="n">
        <v>632</v>
      </c>
      <c r="F6" s="9" t="n">
        <v>27470</v>
      </c>
      <c r="G6" s="9" t="n">
        <v>426</v>
      </c>
      <c r="H6" s="9" t="n">
        <v>27470</v>
      </c>
      <c r="I6" s="9" t="n">
        <v>1648</v>
      </c>
      <c r="J6" s="20" t="n">
        <v>0</v>
      </c>
      <c r="K6" s="9" t="n">
        <v>1300</v>
      </c>
      <c r="L6" s="21">
        <f>K6/8</f>
        <v/>
      </c>
      <c r="M6" s="9" t="n">
        <v>130</v>
      </c>
    </row>
    <row r="7">
      <c r="A7" s="8" t="inlineStr">
        <is>
          <t>EMP03</t>
        </is>
      </c>
      <c r="B7" s="8" t="inlineStr">
        <is>
          <t>張志成</t>
        </is>
      </c>
      <c r="C7" s="8" t="inlineStr">
        <is>
          <t>物料備料員</t>
        </is>
      </c>
      <c r="D7" s="9" t="n">
        <v>28800</v>
      </c>
      <c r="E7" s="9" t="n">
        <v>662</v>
      </c>
      <c r="F7" s="9" t="n">
        <v>28800</v>
      </c>
      <c r="G7" s="9" t="n">
        <v>446</v>
      </c>
      <c r="H7" s="9" t="n">
        <v>28800</v>
      </c>
      <c r="I7" s="9" t="n">
        <v>1728</v>
      </c>
      <c r="J7" s="20" t="n">
        <v>0</v>
      </c>
      <c r="K7" s="9" t="n">
        <v>1300</v>
      </c>
      <c r="L7" s="21">
        <f>K7/8</f>
        <v/>
      </c>
      <c r="M7" s="9" t="n">
        <v>130</v>
      </c>
    </row>
    <row r="8">
      <c r="A8" s="8" t="inlineStr">
        <is>
          <t>EMP04</t>
        </is>
      </c>
      <c r="B8" s="8" t="inlineStr">
        <is>
          <t>黃國榮</t>
        </is>
      </c>
      <c r="C8" s="8" t="inlineStr">
        <is>
          <t>機械操作員</t>
        </is>
      </c>
      <c r="D8" s="9" t="n">
        <v>30300</v>
      </c>
      <c r="E8" s="9" t="n">
        <v>697</v>
      </c>
      <c r="F8" s="9" t="n">
        <v>30300</v>
      </c>
      <c r="G8" s="9" t="n">
        <v>470</v>
      </c>
      <c r="H8" s="9" t="n">
        <v>30300</v>
      </c>
      <c r="I8" s="9" t="n">
        <v>1818</v>
      </c>
      <c r="J8" s="20" t="n">
        <v>0</v>
      </c>
      <c r="K8" s="9" t="n">
        <v>1300</v>
      </c>
      <c r="L8" s="21">
        <f>K8/8</f>
        <v/>
      </c>
      <c r="M8" s="9" t="n">
        <v>130</v>
      </c>
    </row>
    <row r="9">
      <c r="A9" s="8" t="inlineStr">
        <is>
          <t>EMP05</t>
        </is>
      </c>
      <c r="B9" s="8" t="inlineStr">
        <is>
          <t>李雅婷</t>
        </is>
      </c>
      <c r="C9" s="8" t="inlineStr">
        <is>
          <t>品管檢驗員</t>
        </is>
      </c>
      <c r="D9" s="9" t="n">
        <v>27470</v>
      </c>
      <c r="E9" s="9" t="n">
        <v>632</v>
      </c>
      <c r="F9" s="9" t="n">
        <v>27470</v>
      </c>
      <c r="G9" s="9" t="n">
        <v>426</v>
      </c>
      <c r="H9" s="9" t="n">
        <v>27470</v>
      </c>
      <c r="I9" s="9" t="n">
        <v>1648</v>
      </c>
      <c r="J9" s="20" t="n">
        <v>0</v>
      </c>
      <c r="K9" s="9" t="n">
        <v>1300</v>
      </c>
      <c r="L9" s="21">
        <f>K9/8</f>
        <v/>
      </c>
      <c r="M9" s="9" t="n">
        <v>130</v>
      </c>
    </row>
    <row r="10">
      <c r="A10" s="8" t="inlineStr">
        <is>
          <t>EMP06</t>
        </is>
      </c>
      <c r="B10" s="8" t="inlineStr">
        <is>
          <t>王俊傑</t>
        </is>
      </c>
      <c r="C10" s="8" t="inlineStr">
        <is>
          <t>組裝作業員</t>
        </is>
      </c>
      <c r="D10" s="9" t="n">
        <v>27470</v>
      </c>
      <c r="E10" s="9" t="n">
        <v>632</v>
      </c>
      <c r="F10" s="9" t="n">
        <v>27470</v>
      </c>
      <c r="G10" s="9" t="n">
        <v>426</v>
      </c>
      <c r="H10" s="9" t="n">
        <v>27470</v>
      </c>
      <c r="I10" s="9" t="n">
        <v>1648</v>
      </c>
      <c r="J10" s="20" t="n">
        <v>0</v>
      </c>
      <c r="K10" s="9" t="n">
        <v>1300</v>
      </c>
      <c r="L10" s="21">
        <f>K10/8</f>
        <v/>
      </c>
      <c r="M10" s="9" t="n">
        <v>130</v>
      </c>
    </row>
    <row r="11">
      <c r="A11" s="8" t="inlineStr">
        <is>
          <t>EMP07</t>
        </is>
      </c>
      <c r="B11" s="8" t="inlineStr">
        <is>
          <t>吳佩芬</t>
        </is>
      </c>
      <c r="C11" s="8" t="inlineStr">
        <is>
          <t>組裝作業員</t>
        </is>
      </c>
      <c r="D11" s="9" t="n">
        <v>27470</v>
      </c>
      <c r="E11" s="9" t="n">
        <v>632</v>
      </c>
      <c r="F11" s="9" t="n">
        <v>27470</v>
      </c>
      <c r="G11" s="9" t="n">
        <v>426</v>
      </c>
      <c r="H11" s="9" t="n">
        <v>27470</v>
      </c>
      <c r="I11" s="9" t="n">
        <v>1648</v>
      </c>
      <c r="J11" s="20" t="n">
        <v>0</v>
      </c>
      <c r="K11" s="9" t="n">
        <v>1300</v>
      </c>
      <c r="L11" s="21">
        <f>K11/8</f>
        <v/>
      </c>
      <c r="M11" s="9" t="n">
        <v>130</v>
      </c>
    </row>
    <row r="12">
      <c r="A12" s="8" t="inlineStr">
        <is>
          <t>EMP08</t>
        </is>
      </c>
      <c r="B12" s="8" t="inlineStr">
        <is>
          <t>劉家豪</t>
        </is>
      </c>
      <c r="C12" s="8" t="inlineStr">
        <is>
          <t>機台調機員</t>
        </is>
      </c>
      <c r="D12" s="9" t="n">
        <v>31800</v>
      </c>
      <c r="E12" s="9" t="n">
        <v>731</v>
      </c>
      <c r="F12" s="9" t="n">
        <v>31800</v>
      </c>
      <c r="G12" s="9" t="n">
        <v>493</v>
      </c>
      <c r="H12" s="9" t="n">
        <v>31800</v>
      </c>
      <c r="I12" s="9" t="n">
        <v>1908</v>
      </c>
      <c r="J12" s="20" t="n">
        <v>0</v>
      </c>
      <c r="K12" s="9" t="n">
        <v>1300</v>
      </c>
      <c r="L12" s="21">
        <f>K12/8</f>
        <v/>
      </c>
      <c r="M12" s="9" t="n">
        <v>130</v>
      </c>
    </row>
    <row r="13">
      <c r="A13" s="8" t="inlineStr">
        <is>
          <t>EMP09</t>
        </is>
      </c>
      <c r="B13" s="8" t="inlineStr">
        <is>
          <t>蔡佳蓉</t>
        </is>
      </c>
      <c r="C13" s="8" t="inlineStr">
        <is>
          <t>包裝作業員</t>
        </is>
      </c>
      <c r="D13" s="9" t="n">
        <v>27470</v>
      </c>
      <c r="E13" s="9" t="n">
        <v>632</v>
      </c>
      <c r="F13" s="9" t="n">
        <v>27470</v>
      </c>
      <c r="G13" s="9" t="n">
        <v>426</v>
      </c>
      <c r="H13" s="9" t="n">
        <v>27470</v>
      </c>
      <c r="I13" s="9" t="n">
        <v>1648</v>
      </c>
      <c r="J13" s="20" t="n">
        <v>0</v>
      </c>
      <c r="K13" s="9" t="n">
        <v>1300</v>
      </c>
      <c r="L13" s="21">
        <f>K13/8</f>
        <v/>
      </c>
      <c r="M13" s="9" t="n">
        <v>130</v>
      </c>
    </row>
    <row r="14">
      <c r="A14" s="8" t="inlineStr">
        <is>
          <t>EMP10</t>
        </is>
      </c>
      <c r="B14" s="8" t="inlineStr">
        <is>
          <t>許博凱</t>
        </is>
      </c>
      <c r="C14" s="8" t="inlineStr">
        <is>
          <t>倉儲理貨員</t>
        </is>
      </c>
      <c r="D14" s="9" t="n">
        <v>28800</v>
      </c>
      <c r="E14" s="9" t="n">
        <v>662</v>
      </c>
      <c r="F14" s="9" t="n">
        <v>28800</v>
      </c>
      <c r="G14" s="9" t="n">
        <v>446</v>
      </c>
      <c r="H14" s="9" t="n">
        <v>28800</v>
      </c>
      <c r="I14" s="9" t="n">
        <v>1728</v>
      </c>
      <c r="J14" s="20" t="n">
        <v>0</v>
      </c>
      <c r="K14" s="9" t="n">
        <v>1300</v>
      </c>
      <c r="L14" s="21">
        <f>K14/8</f>
        <v/>
      </c>
      <c r="M14" s="9" t="n">
        <v>130</v>
      </c>
    </row>
    <row r="15">
      <c r="A15" s="8" t="inlineStr">
        <is>
          <t>EMP11</t>
        </is>
      </c>
      <c r="B15" s="8" t="inlineStr">
        <is>
          <t>鄭淑芬</t>
        </is>
      </c>
      <c r="C15" s="8" t="inlineStr">
        <is>
          <t>品檢作業員</t>
        </is>
      </c>
      <c r="D15" s="9" t="n">
        <v>27470</v>
      </c>
      <c r="E15" s="9" t="n">
        <v>632</v>
      </c>
      <c r="F15" s="9" t="n">
        <v>27470</v>
      </c>
      <c r="G15" s="9" t="n">
        <v>426</v>
      </c>
      <c r="H15" s="9" t="n">
        <v>27470</v>
      </c>
      <c r="I15" s="9" t="n">
        <v>1648</v>
      </c>
      <c r="J15" s="20" t="n">
        <v>0</v>
      </c>
      <c r="K15" s="9" t="n">
        <v>1300</v>
      </c>
      <c r="L15" s="21">
        <f>K15/8</f>
        <v/>
      </c>
      <c r="M15" s="9" t="n">
        <v>130</v>
      </c>
    </row>
    <row r="16">
      <c r="A16" s="8" t="inlineStr">
        <is>
          <t>EMP12</t>
        </is>
      </c>
      <c r="B16" s="8" t="inlineStr">
        <is>
          <t>謝宗翰</t>
        </is>
      </c>
      <c r="C16" s="8" t="inlineStr">
        <is>
          <t>廠務助理</t>
        </is>
      </c>
      <c r="D16" s="9" t="n">
        <v>27470</v>
      </c>
      <c r="E16" s="9" t="n">
        <v>632</v>
      </c>
      <c r="F16" s="9" t="n">
        <v>27470</v>
      </c>
      <c r="G16" s="9" t="n">
        <v>426</v>
      </c>
      <c r="H16" s="9" t="n">
        <v>27470</v>
      </c>
      <c r="I16" s="9" t="n">
        <v>1648</v>
      </c>
      <c r="J16" s="20" t="n">
        <v>0</v>
      </c>
      <c r="K16" s="9" t="n">
        <v>1300</v>
      </c>
      <c r="L16" s="21">
        <f>K16/8</f>
        <v/>
      </c>
      <c r="M16" s="9" t="n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【12位員工日薪制出勤與薪資計算系統 使用說明書】</t>
        </is>
      </c>
    </row>
    <row r="3">
      <c r="A3" s="22" t="inlineStr">
        <is>
          <t>一、系統架構說明</t>
        </is>
      </c>
    </row>
    <row r="4">
      <c r="A4" s="23" t="inlineStr">
        <is>
          <t>本活頁簿專為中小企業、工廠、工程團隊之「日薪制」員工設計，包含 4 個相互勾稽的工作表：</t>
        </is>
      </c>
    </row>
    <row r="5">
      <c r="A5" s="23" t="inlineStr">
        <is>
          <t>1. 【月薪資總表】：每月發薪總表，全自動公式匯總應發、應扣、實領與雇主提撥，並具備 12 位員工合計與核決簽章欄。</t>
        </is>
      </c>
    </row>
    <row r="6">
      <c r="A6" s="23" t="inlineStr">
        <is>
          <t>2. 【每日出勤】：平日出勤登記日誌，現場主管或會計每日僅需輸入正常工時、加班、請假與遲到早退，系統自動歸戶加總。</t>
        </is>
      </c>
    </row>
    <row r="7">
      <c r="A7" s="23" t="inlineStr">
        <is>
          <t>3. 【員工設定】：維護 12 位員工投保級距、自付額、雇主提撥額與自提率，避免每月重複手動設定。</t>
        </is>
      </c>
    </row>
    <row r="8">
      <c r="A8" s="23" t="inlineStr">
        <is>
          <t>4. 【使用說明】：本系統所有計算公式、勞動法規標準與會計操作規範之指引。</t>
        </is>
      </c>
    </row>
    <row r="10">
      <c r="A10" s="22" t="inlineStr">
        <is>
          <t>二、薪資與加班費計算規則</t>
        </is>
      </c>
    </row>
    <row r="11">
      <c r="A11" s="23" t="inlineStr">
        <is>
          <t>1. 日薪基準：每日 NT$ 1,300 元，表定正常工時為 8 小時。</t>
        </is>
      </c>
    </row>
    <row r="12">
      <c r="A12" s="23" t="inlineStr">
        <is>
          <t>2. 正常時薪：NT$ 1,300 ÷ 8 = NT$ 162.5 元/小時。</t>
        </is>
      </c>
    </row>
    <row r="13">
      <c r="A13" s="23" t="inlineStr">
        <is>
          <t>3. 餐費補貼：凡當日有出勤工作（出勤日數 &gt; 0），每日補貼 NT$ 130 元。</t>
        </is>
      </c>
    </row>
    <row r="14">
      <c r="A14" s="23" t="inlineStr">
        <is>
          <t>4. 加班費計算公式（依勞基法平日延長工時規定）：</t>
        </is>
      </c>
    </row>
    <row r="15">
      <c r="A15" s="23" t="inlineStr">
        <is>
          <t xml:space="preserve">   - 加班前 2 小時以內：時薪 × 1.33 ＝ 162.5 × 1.33 ＝ NT$ 216.125 元/小時</t>
        </is>
      </c>
    </row>
    <row r="16">
      <c r="A16" s="23" t="inlineStr">
        <is>
          <t xml:space="preserve">   - 加班超過 2 小時部分：時薪 × 1.66 ＝ 162.5 × 1.66 ＝ NT$ 269.75 元/小時</t>
        </is>
      </c>
    </row>
    <row r="17">
      <c r="A17" s="23" t="inlineStr">
        <is>
          <t xml:space="preserve">   - 加班薪資 ＝ ROUND(前2小時加班工時 × 162.5 × 1.33 + 超過2小時加班工時 × 162.5 × 1.66, 0)</t>
        </is>
      </c>
    </row>
    <row r="18">
      <c r="A18" s="23" t="inlineStr">
        <is>
          <t>5. 請假扣薪：請假時數 × NT$ 162.5 元。</t>
        </is>
      </c>
    </row>
    <row r="19">
      <c r="A19" s="23" t="inlineStr">
        <is>
          <t>6. 遲到早退扣薪：遲到早退分鐘數 × (162.5 ÷ 60) 元。</t>
        </is>
      </c>
    </row>
    <row r="21">
      <c r="A21" s="22" t="inlineStr">
        <is>
          <t>三、會計日常與月底作業 SOP</t>
        </is>
      </c>
    </row>
    <row r="22">
      <c r="A22" s="23" t="inlineStr">
        <is>
          <t>步驟 1【月初/異動】：若有新進員工或勞健保投保級距調整，於「員工設定」表更新基本資料。</t>
        </is>
      </c>
    </row>
    <row r="23">
      <c r="A23" s="23" t="inlineStr">
        <is>
          <t>步驟 2【每日登記】：出納/現場主管每日至「每日出勤」工作表，依員工編號填寫工時、加班與異常紀錄。</t>
        </is>
      </c>
    </row>
    <row r="24">
      <c r="A24" s="23" t="inlineStr">
        <is>
          <t>步驟 3【月底結算】：進入「月薪資總表」，確認每位員工工時與金額已自動匯總平帳，核對總額與簽章送審。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2026-10-05T04:37:21Z</dcterms:created>
  <dcterms:modified xsi:type="dcterms:W3CDTF">2026-10-05T04:37:21Z</dcterms:modified>
</cp:coreProperties>
</file>