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營收與訂閱預測" sheetId="1" state="visible" r:id="rId1"/>
    <sheet xmlns:r="http://schemas.openxmlformats.org/officeDocument/2006/relationships" name="2_營業費用與行銷預算" sheetId="2" state="visible" r:id="rId2"/>
    <sheet xmlns:r="http://schemas.openxmlformats.org/officeDocument/2006/relationships" name="3_綜合損益試算表 (P&amp;L)" sheetId="3" state="visible" r:id="rId3"/>
    <sheet xmlns:r="http://schemas.openxmlformats.org/officeDocument/2006/relationships" name="4_情境敏感度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E3A8A"/>
      <sz val="14"/>
    </font>
    <font>
      <color rgb="0064748B"/>
      <sz val="9"/>
    </font>
    <font>
      <name val="Arial"/>
      <b val="1"/>
      <color rgb="00FFFFFF"/>
      <sz val="10"/>
    </font>
    <font>
      <name val="Arial"/>
      <color rgb="001E293B"/>
      <sz val="10"/>
    </font>
    <font>
      <name val="Arial"/>
      <b val="1"/>
      <color rgb="001E293B"/>
      <sz val="10"/>
    </font>
    <font>
      <name val="Arial"/>
      <b val="1"/>
      <color rgb="001E3A8A"/>
      <sz val="12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DBEAFE"/>
        <bgColor rgb="00DBEAFE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164" fontId="4" fillId="3" borderId="1" pivotButton="0" quotePrefix="0" xfId="0"/>
    <xf numFmtId="164" fontId="5" fillId="3" borderId="1" pivotButton="0" quotePrefix="0" xfId="0"/>
    <xf numFmtId="165" fontId="4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5" fillId="0" borderId="1" pivotButton="0" quotePrefix="0" xfId="0"/>
    <xf numFmtId="165" fontId="4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164" fontId="5" fillId="4" borderId="2" pivotButton="0" quotePrefix="0" xfId="0"/>
    <xf numFmtId="164" fontId="6" fillId="5" borderId="2" pivotButton="0" quotePrefix="0" xfId="0"/>
    <xf numFmtId="165" fontId="5" fillId="0" borderId="2" pivotButton="0" quotePrefix="0" xfId="0"/>
    <xf numFmtId="0" fontId="3" fillId="6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3" borderId="1" pivotButton="0" quotePrefix="0" xfId="0"/>
    <xf numFmtId="0" fontId="4" fillId="0" borderId="0" pivotButton="0" quotePrefix="0" xfId="0"/>
    <xf numFmtId="164" fontId="5" fillId="4" borderId="1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4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星橋科技 2026 年度產品營收與付費訂閱增長試算表</t>
        </is>
      </c>
    </row>
    <row r="2">
      <c r="A2" s="2" t="inlineStr">
        <is>
          <t>單位：新台幣 (NTD)  |  編制日期：2026-03-31  |  編制：財務規劃部 (FP&amp;A)</t>
        </is>
      </c>
    </row>
    <row r="3"/>
    <row r="4" ht="24" customHeight="1">
      <c r="A4" s="3" t="inlineStr">
        <is>
          <t>產品項目</t>
        </is>
      </c>
      <c r="B4" s="3" t="inlineStr">
        <is>
          <t>定價方案 (年費)</t>
        </is>
      </c>
      <c r="C4" s="3" t="inlineStr">
        <is>
          <t>Q1 實際</t>
        </is>
      </c>
      <c r="D4" s="3" t="inlineStr">
        <is>
          <t>Q2 預測</t>
        </is>
      </c>
      <c r="E4" s="3" t="inlineStr">
        <is>
          <t>Q3 預測</t>
        </is>
      </c>
      <c r="F4" s="3" t="inlineStr">
        <is>
          <t>Q4 預測</t>
        </is>
      </c>
      <c r="G4" s="3" t="inlineStr">
        <is>
          <t>全年預計總額</t>
        </is>
      </c>
      <c r="H4" s="3" t="inlineStr">
        <is>
          <t>佔比 (%)</t>
        </is>
      </c>
    </row>
    <row r="5">
      <c r="A5" s="4" t="inlineStr">
        <is>
          <t>OmniFlow 個人專業版 (Pro)</t>
        </is>
      </c>
      <c r="B5" s="5" t="n">
        <v>4800</v>
      </c>
      <c r="C5" s="5" t="n">
        <v>1200000</v>
      </c>
      <c r="D5" s="5" t="n">
        <v>1920000</v>
      </c>
      <c r="E5" s="5" t="n">
        <v>2880000</v>
      </c>
      <c r="F5" s="5" t="n">
        <v>3600000</v>
      </c>
      <c r="G5" s="6">
        <f>SUM(C5:F5)</f>
        <v/>
      </c>
      <c r="H5" s="7">
        <f>G5/$G$10</f>
        <v/>
      </c>
    </row>
    <row r="6">
      <c r="A6" s="8" t="inlineStr">
        <is>
          <t>OmniFlow 團隊協作版 (Team)</t>
        </is>
      </c>
      <c r="B6" s="9" t="n">
        <v>28000</v>
      </c>
      <c r="C6" s="9" t="n">
        <v>2240000</v>
      </c>
      <c r="D6" s="9" t="n">
        <v>3360000</v>
      </c>
      <c r="E6" s="9" t="n">
        <v>4480000</v>
      </c>
      <c r="F6" s="9" t="n">
        <v>5600000</v>
      </c>
      <c r="G6" s="10">
        <f>SUM(C6:F6)</f>
        <v/>
      </c>
      <c r="H6" s="11">
        <f>G6/$G$10</f>
        <v/>
      </c>
    </row>
    <row r="7">
      <c r="A7" s="4" t="inlineStr">
        <is>
          <t>OmniFlow 企業定製沙盒 (Enterprise)</t>
        </is>
      </c>
      <c r="B7" s="5" t="n">
        <v>180000</v>
      </c>
      <c r="C7" s="5" t="n">
        <v>3600000</v>
      </c>
      <c r="D7" s="5" t="n">
        <v>5400000</v>
      </c>
      <c r="E7" s="5" t="n">
        <v>7200000</v>
      </c>
      <c r="F7" s="5" t="n">
        <v>9000000</v>
      </c>
      <c r="G7" s="6">
        <f>SUM(C7:F7)</f>
        <v/>
      </c>
      <c r="H7" s="7">
        <f>G7/$G$10</f>
        <v/>
      </c>
    </row>
    <row r="8">
      <c r="A8" s="8" t="inlineStr">
        <is>
          <t>專業顧問與私有化導入服務</t>
        </is>
      </c>
      <c r="B8" s="9" t="n">
        <v>350000</v>
      </c>
      <c r="C8" s="9" t="n">
        <v>1050000</v>
      </c>
      <c r="D8" s="9" t="n">
        <v>1400000</v>
      </c>
      <c r="E8" s="9" t="n">
        <v>1750000</v>
      </c>
      <c r="F8" s="9" t="n">
        <v>2100000</v>
      </c>
      <c r="G8" s="10">
        <f>SUM(C8:F8)</f>
        <v/>
      </c>
      <c r="H8" s="11">
        <f>G8/$G$10</f>
        <v/>
      </c>
    </row>
    <row r="9">
      <c r="A9" s="4" t="inlineStr">
        <is>
          <t>客製化 API 呼叫增購額度</t>
        </is>
      </c>
      <c r="B9" s="5" t="n">
        <v>12</v>
      </c>
      <c r="C9" s="5" t="n">
        <v>450000</v>
      </c>
      <c r="D9" s="5" t="n">
        <v>680000</v>
      </c>
      <c r="E9" s="5" t="n">
        <v>950000</v>
      </c>
      <c r="F9" s="5" t="n">
        <v>1420000</v>
      </c>
      <c r="G9" s="6">
        <f>SUM(C9:F9)</f>
        <v/>
      </c>
      <c r="H9" s="7">
        <f>G9/$G$10</f>
        <v/>
      </c>
    </row>
    <row r="10">
      <c r="A10" s="12" t="inlineStr">
        <is>
          <t>合計營業收入總額 (Total Revenue)</t>
        </is>
      </c>
      <c r="B10" s="13" t="inlineStr">
        <is>
          <t>-</t>
        </is>
      </c>
      <c r="C10" s="14">
        <f>SUM(C5:C9)</f>
        <v/>
      </c>
      <c r="D10" s="14">
        <f>SUM(D5:D9)</f>
        <v/>
      </c>
      <c r="E10" s="14">
        <f>SUM(E5:E9)</f>
        <v/>
      </c>
      <c r="F10" s="14">
        <f>SUM(F5:F9)</f>
        <v/>
      </c>
      <c r="G10" s="15">
        <f>SUM(G5:G9)</f>
        <v/>
      </c>
      <c r="H10" s="16">
        <f>SUM(H5:H9)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41" customWidth="1" min="2" max="2"/>
    <col width="12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星橋科技 2026 年度各部門營業支出與活動預算明細</t>
        </is>
      </c>
    </row>
    <row r="2"/>
    <row r="3" ht="24" customHeight="1">
      <c r="A3" s="17" t="inlineStr">
        <is>
          <t>費用類別</t>
        </is>
      </c>
      <c r="B3" s="17" t="inlineStr">
        <is>
          <t>預算細項</t>
        </is>
      </c>
      <c r="C3" s="17" t="inlineStr">
        <is>
          <t>負責部門</t>
        </is>
      </c>
      <c r="D3" s="17" t="inlineStr">
        <is>
          <t>Q1 預算</t>
        </is>
      </c>
      <c r="E3" s="17" t="inlineStr">
        <is>
          <t>Q2 預算</t>
        </is>
      </c>
      <c r="F3" s="17" t="inlineStr">
        <is>
          <t>Q3 預算</t>
        </is>
      </c>
      <c r="G3" s="17" t="inlineStr">
        <is>
          <t>Q4 預算</t>
        </is>
      </c>
      <c r="H3" s="17" t="inlineStr">
        <is>
          <t>全年支出總計</t>
        </is>
      </c>
    </row>
    <row r="4">
      <c r="A4" s="18" t="inlineStr">
        <is>
          <t>研發人力</t>
        </is>
      </c>
      <c r="B4" s="8" t="inlineStr">
        <is>
          <t>軟體工程師與 AI 算力研發團隊薪酬</t>
        </is>
      </c>
      <c r="C4" s="8" t="inlineStr">
        <is>
          <t>研發部</t>
        </is>
      </c>
      <c r="D4" s="9" t="n">
        <v>3200000</v>
      </c>
      <c r="E4" s="9" t="n">
        <v>3500000</v>
      </c>
      <c r="F4" s="9" t="n">
        <v>3800000</v>
      </c>
      <c r="G4" s="9" t="n">
        <v>4200000</v>
      </c>
      <c r="H4" s="10">
        <f>SUM(D4:G4)</f>
        <v/>
      </c>
    </row>
    <row r="5">
      <c r="A5" s="19" t="inlineStr">
        <is>
          <t>雲端算力</t>
        </is>
      </c>
      <c r="B5" s="4" t="inlineStr">
        <is>
          <t>AWS / Google Cloud / LLM API 呼叫費</t>
        </is>
      </c>
      <c r="C5" s="4" t="inlineStr">
        <is>
          <t>架構組</t>
        </is>
      </c>
      <c r="D5" s="5" t="n">
        <v>1100000</v>
      </c>
      <c r="E5" s="5" t="n">
        <v>1600000</v>
      </c>
      <c r="F5" s="5" t="n">
        <v>2200000</v>
      </c>
      <c r="G5" s="5" t="n">
        <v>2800000</v>
      </c>
      <c r="H5" s="6">
        <f>SUM(D5:G5)</f>
        <v/>
      </c>
    </row>
    <row r="6">
      <c r="A6" s="18" t="inlineStr">
        <is>
          <t>發表會活動</t>
        </is>
      </c>
      <c r="B6" s="8" t="inlineStr">
        <is>
          <t>旗艦線上直播發表會、場地、製作費</t>
        </is>
      </c>
      <c r="C6" s="8" t="inlineStr">
        <is>
          <t>行銷部</t>
        </is>
      </c>
      <c r="D6" s="9" t="n">
        <v>450000</v>
      </c>
      <c r="E6" s="9" t="n">
        <v>1250000</v>
      </c>
      <c r="F6" s="9" t="n">
        <v>300000</v>
      </c>
      <c r="G6" s="9" t="n">
        <v>600000</v>
      </c>
      <c r="H6" s="10">
        <f>SUM(D6:G6)</f>
        <v/>
      </c>
    </row>
    <row r="7">
      <c r="A7" s="19" t="inlineStr">
        <is>
          <t>數位廣告投放</t>
        </is>
      </c>
      <c r="B7" s="4" t="inlineStr">
        <is>
          <t>Google Ads / LinkedIn 企業精準受眾獲客</t>
        </is>
      </c>
      <c r="C7" s="4" t="inlineStr">
        <is>
          <t>行銷部</t>
        </is>
      </c>
      <c r="D7" s="5" t="n">
        <v>800000</v>
      </c>
      <c r="E7" s="5" t="n">
        <v>1500000</v>
      </c>
      <c r="F7" s="5" t="n">
        <v>1800000</v>
      </c>
      <c r="G7" s="5" t="n">
        <v>2000000</v>
      </c>
      <c r="H7" s="6">
        <f>SUM(D7:G7)</f>
        <v/>
      </c>
    </row>
    <row r="8">
      <c r="A8" s="18" t="inlineStr">
        <is>
          <t>銷售獎金與人事</t>
        </is>
      </c>
      <c r="B8" s="8" t="inlineStr">
        <is>
          <t>企業業務拓展業務經理底薪與佣金</t>
        </is>
      </c>
      <c r="C8" s="8" t="inlineStr">
        <is>
          <t>業務部</t>
        </is>
      </c>
      <c r="D8" s="9" t="n">
        <v>1200000</v>
      </c>
      <c r="E8" s="9" t="n">
        <v>1500000</v>
      </c>
      <c r="F8" s="9" t="n">
        <v>1900000</v>
      </c>
      <c r="G8" s="9" t="n">
        <v>2400000</v>
      </c>
      <c r="H8" s="10">
        <f>SUM(D8:G8)</f>
        <v/>
      </c>
    </row>
    <row r="9">
      <c r="A9" s="19" t="inlineStr">
        <is>
          <t>行政與管理</t>
        </is>
      </c>
      <c r="B9" s="4" t="inlineStr">
        <is>
          <t>辦公室租金、資安合規審計與法律諮詢</t>
        </is>
      </c>
      <c r="C9" s="4" t="inlineStr">
        <is>
          <t>行政法務</t>
        </is>
      </c>
      <c r="D9" s="5" t="n">
        <v>650000</v>
      </c>
      <c r="E9" s="5" t="n">
        <v>700000</v>
      </c>
      <c r="F9" s="5" t="n">
        <v>750000</v>
      </c>
      <c r="G9" s="5" t="n">
        <v>800000</v>
      </c>
      <c r="H9" s="6">
        <f>SUM(D9:G9)</f>
        <v/>
      </c>
    </row>
    <row r="10">
      <c r="A10" s="12" t="inlineStr">
        <is>
          <t>營業支出合計 (Total OPEX)</t>
        </is>
      </c>
      <c r="B10" s="13" t="inlineStr">
        <is>
          <t>-</t>
        </is>
      </c>
      <c r="C10" s="13" t="inlineStr">
        <is>
          <t>-</t>
        </is>
      </c>
      <c r="D10" s="14">
        <f>SUM(D4:D9)</f>
        <v/>
      </c>
      <c r="E10" s="14">
        <f>SUM(E4:E9)</f>
        <v/>
      </c>
      <c r="F10" s="14">
        <f>SUM(F4:F9)</f>
        <v/>
      </c>
      <c r="G10" s="14">
        <f>SUM(G4:G9)</f>
        <v/>
      </c>
      <c r="H10" s="15">
        <f>SUM(H4:H9)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星橋科技 2026 年度預估損益表 (Income Statement P&amp;L)</t>
        </is>
      </c>
    </row>
    <row r="2"/>
    <row r="3" ht="24" customHeight="1">
      <c r="A3" s="3" t="inlineStr">
        <is>
          <t>財務科目</t>
        </is>
      </c>
      <c r="B3" s="3" t="inlineStr">
        <is>
          <t>Q1 預估</t>
        </is>
      </c>
      <c r="C3" s="3" t="inlineStr">
        <is>
          <t>Q2 預估</t>
        </is>
      </c>
      <c r="D3" s="3" t="inlineStr">
        <is>
          <t>Q3 預估</t>
        </is>
      </c>
      <c r="E3" s="3" t="inlineStr">
        <is>
          <t>Q4 預估</t>
        </is>
      </c>
      <c r="F3" s="3" t="inlineStr">
        <is>
          <t>2026 全年合計</t>
        </is>
      </c>
      <c r="G3" s="3" t="inlineStr">
        <is>
          <t>營收比率 (%)</t>
        </is>
      </c>
    </row>
    <row r="4">
      <c r="A4" s="12" t="inlineStr">
        <is>
          <t>營業收入 (Revenue)</t>
        </is>
      </c>
      <c r="B4" s="9">
        <f>'1_營收與訂閱預測'!C10</f>
        <v/>
      </c>
      <c r="C4" s="9">
        <f>'1_營收與訂閱預測'!D10</f>
        <v/>
      </c>
      <c r="D4" s="9">
        <f>'1_營收與訂閱預測'!E10</f>
        <v/>
      </c>
      <c r="E4" s="9">
        <f>'1_營收與訂閱預測'!F10</f>
        <v/>
      </c>
      <c r="F4" s="9">
        <f>'1_營收與訂閱預測'!G10</f>
        <v/>
      </c>
      <c r="G4" s="11">
        <f>F4/$F$4</f>
        <v/>
      </c>
    </row>
    <row r="5">
      <c r="A5" s="20" t="inlineStr">
        <is>
          <t>營業成本 (COGS - 雲端算力與串接)</t>
        </is>
      </c>
      <c r="B5" s="9">
        <f>'2_營業費用與行銷預算'!D5</f>
        <v/>
      </c>
      <c r="C5" s="9">
        <f>'2_營業費用與行銷預算'!E5</f>
        <v/>
      </c>
      <c r="D5" s="9">
        <f>'2_營業費用與行銷預算'!F5</f>
        <v/>
      </c>
      <c r="E5" s="9">
        <f>'2_營業費用與行銷預算'!G5</f>
        <v/>
      </c>
      <c r="F5" s="9">
        <f>'2_營業費用與行銷預算'!H5</f>
        <v/>
      </c>
      <c r="G5" s="11">
        <f>F5/$F$4</f>
        <v/>
      </c>
    </row>
    <row r="6">
      <c r="A6" s="12" t="inlineStr">
        <is>
          <t>營業毛利 (Gross Profit)</t>
        </is>
      </c>
      <c r="B6" s="21">
        <f>B4-B5</f>
        <v/>
      </c>
      <c r="C6" s="21">
        <f>C4-C5</f>
        <v/>
      </c>
      <c r="D6" s="21">
        <f>D4-D5</f>
        <v/>
      </c>
      <c r="E6" s="21">
        <f>E4-E5</f>
        <v/>
      </c>
      <c r="F6" s="21">
        <f>F4-F5</f>
        <v/>
      </c>
      <c r="G6" s="22">
        <f>F6/$F$4</f>
        <v/>
      </c>
    </row>
    <row r="7">
      <c r="A7" s="20" t="inlineStr">
        <is>
          <t>營業費用 (OPEX - 研發/行銷/人事/行政)</t>
        </is>
      </c>
      <c r="B7" s="9">
        <f>'2_營業費用與行銷預算'!D10-B5</f>
        <v/>
      </c>
      <c r="C7" s="9">
        <f>'2_營業費用與行銷預算'!E10-C5</f>
        <v/>
      </c>
      <c r="D7" s="9">
        <f>'2_營業費用與行銷預算'!F10-D5</f>
        <v/>
      </c>
      <c r="E7" s="9">
        <f>'2_營業費用與行銷預算'!G10-E5</f>
        <v/>
      </c>
      <c r="F7" s="9">
        <f>'2_營業費用與行銷預算'!H10-F5</f>
        <v/>
      </c>
      <c r="G7" s="11">
        <f>F7/$F$4</f>
        <v/>
      </c>
    </row>
    <row r="8">
      <c r="A8" s="12" t="inlineStr">
        <is>
          <t>營業淨利 (Operating Income)</t>
        </is>
      </c>
      <c r="B8" s="21">
        <f>B6-B7</f>
        <v/>
      </c>
      <c r="C8" s="21">
        <f>C6-C7</f>
        <v/>
      </c>
      <c r="D8" s="21">
        <f>D6-D7</f>
        <v/>
      </c>
      <c r="E8" s="21">
        <f>E6-E7</f>
        <v/>
      </c>
      <c r="F8" s="21">
        <f>F6-F7</f>
        <v/>
      </c>
      <c r="G8" s="22">
        <f>F8/$F$4</f>
        <v/>
      </c>
    </row>
    <row r="9">
      <c r="A9" s="12" t="inlineStr">
        <is>
          <t>稅前折舊攤銷前獲利 (EBITDA)</t>
        </is>
      </c>
      <c r="B9" s="21">
        <f>B8+350000</f>
        <v/>
      </c>
      <c r="C9" s="21">
        <f>C8+380000</f>
        <v/>
      </c>
      <c r="D9" s="21">
        <f>D8+420000</f>
        <v/>
      </c>
      <c r="E9" s="21">
        <f>E8+450000</f>
        <v/>
      </c>
      <c r="F9" s="21">
        <f>F8+1600000</f>
        <v/>
      </c>
      <c r="G9" s="22">
        <f>F9/$F$4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1" customWidth="1" min="3" max="3"/>
    <col width="17" customWidth="1" min="4" max="4"/>
    <col width="17" customWidth="1" min="5" max="5"/>
    <col width="22" customWidth="1" min="6" max="6"/>
  </cols>
  <sheetData>
    <row r="1">
      <c r="A1" s="1" t="inlineStr">
        <is>
          <t>2026 年度營運三種情境敏感度模擬分析 (Scenario Simulation)</t>
        </is>
      </c>
    </row>
    <row r="2"/>
    <row r="3">
      <c r="A3" s="3" t="inlineStr">
        <is>
          <t>分析情境</t>
        </is>
      </c>
      <c r="B3" s="3" t="inlineStr">
        <is>
          <t>付費轉換率假定</t>
        </is>
      </c>
      <c r="C3" s="3" t="inlineStr">
        <is>
          <t>預估年度營收 (ARR)</t>
        </is>
      </c>
      <c r="D3" s="3" t="inlineStr">
        <is>
          <t>預估年度總支出</t>
        </is>
      </c>
      <c r="E3" s="3" t="inlineStr">
        <is>
          <t>預估 EBITDA</t>
        </is>
      </c>
      <c r="F3" s="3" t="inlineStr">
        <is>
          <t>損益平衡狀態</t>
        </is>
      </c>
    </row>
    <row r="4">
      <c r="A4" s="18" t="inlineStr">
        <is>
          <t>保守情境 (Conservative)</t>
        </is>
      </c>
      <c r="B4" s="8" t="inlineStr">
        <is>
          <t>付費轉換率 1.8% (市場保守/預算縮編)</t>
        </is>
      </c>
      <c r="C4" s="9">
        <f>'3_綜合損益試算表 (P&amp;L)'!F4*0.75</f>
        <v/>
      </c>
      <c r="D4" s="9">
        <f>'3_綜合損益試算表 (P&amp;L)'!F7*0.85</f>
        <v/>
      </c>
      <c r="E4" s="10">
        <f>C4-D4</f>
        <v/>
      </c>
      <c r="F4" s="23" t="inlineStr">
        <is>
          <t>延遲至 Q4 損平</t>
        </is>
      </c>
    </row>
    <row r="5">
      <c r="A5" s="24" t="inlineStr">
        <is>
          <t>基準情境 (Base Case - 本案)</t>
        </is>
      </c>
      <c r="B5" s="25" t="inlineStr">
        <is>
          <t>付費轉換率 2.8% (正常發表與穩健增長)</t>
        </is>
      </c>
      <c r="C5" s="26">
        <f>'3_綜合損益試算表 (P&amp;L)'!F4</f>
        <v/>
      </c>
      <c r="D5" s="26">
        <f>'3_綜合損益試算表 (P&amp;L)'!F7</f>
        <v/>
      </c>
      <c r="E5" s="21">
        <f>C5-D5</f>
        <v/>
      </c>
      <c r="F5" s="27" t="inlineStr">
        <is>
          <t>預計 Q2 損益兩平</t>
        </is>
      </c>
    </row>
    <row r="6">
      <c r="A6" s="18" t="inlineStr">
        <is>
          <t>樂觀情境 (Optimistic)</t>
        </is>
      </c>
      <c r="B6" s="8" t="inlineStr">
        <is>
          <t>付費轉換率 4.5% (發表會爆發/口碑擴散)</t>
        </is>
      </c>
      <c r="C6" s="9">
        <f>'3_綜合損益試算表 (P&amp;L)'!F4*1.35</f>
        <v/>
      </c>
      <c r="D6" s="9">
        <f>'3_綜合損益試算表 (P&amp;L)'!F7*1.10</f>
        <v/>
      </c>
      <c r="E6" s="10">
        <f>C6-D6</f>
        <v/>
      </c>
      <c r="F6" s="23" t="inlineStr">
        <is>
          <t>Q1 即獲利並加速擴張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2026-10-04T22:35:37Z</dcterms:created>
  <dcterms:modified xmlns:dcterms="http://purl.org/dc/terms/" xmlns:xsi="http://www.w3.org/2001/XMLSchema-instance" xsi:type="dcterms:W3CDTF">2026-10-04T22:35:37Z</dcterms:modified>
</cp:coreProperties>
</file>