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銷售明細" sheetId="1" state="visible" r:id="rId3"/>
    <sheet name="年度比較摘要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<sst xmlns="http://schemas.openxmlformats.org/spreadsheetml/2006/main" count="99" uniqueCount="49">
  <si>
    <r>
      <rPr>
        <b val="true"/>
        <sz val="14"/>
        <color rgb="FF1F4E79"/>
        <rFont val="Arial"/>
        <family val="0"/>
        <charset val="1"/>
      </rPr>
      <t xml:space="preserve">2024</t>
    </r>
    <r>
      <rPr>
        <b val="true"/>
        <sz val="14"/>
        <color rgb="FF1F4E79"/>
        <rFont val="Noto Sans CJK SC"/>
        <family val="2"/>
      </rPr>
      <t xml:space="preserve">年度　業務員產品別月度銷售明細表</t>
    </r>
  </si>
  <si>
    <t xml:space="preserve">基本資料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</si>
  <si>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產品（家電）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</si>
  <si>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產品（</t>
    </r>
    <r>
      <rPr>
        <b val="true"/>
        <sz val="10"/>
        <color rgb="FFFFFFFF"/>
        <rFont val="Arial"/>
        <family val="0"/>
        <charset val="1"/>
      </rPr>
      <t xml:space="preserve">3C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</si>
  <si>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C</t>
    </r>
    <r>
      <rPr>
        <b val="true"/>
        <sz val="10"/>
        <color rgb="FFFFFFFF"/>
        <rFont val="Noto Sans CJK SC"/>
        <family val="2"/>
      </rPr>
      <t xml:space="preserve">產品（日用品）</t>
    </r>
  </si>
  <si>
    <t xml:space="preserve">個人合計</t>
  </si>
  <si>
    <t xml:space="preserve">業務員</t>
  </si>
  <si>
    <t xml:space="preserve">部門</t>
  </si>
  <si>
    <t xml:space="preserve">區域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</si>
  <si>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</si>
  <si>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</si>
  <si>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</si>
  <si>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</si>
  <si>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</si>
  <si>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</si>
  <si>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</si>
  <si>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</si>
  <si>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</si>
  <si>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</si>
  <si>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11</t>
    </r>
    <r>
      <rPr>
        <b val="true"/>
        <sz val="9"/>
        <color rgb="FFFFFFFF"/>
        <rFont val="Noto Sans CJK SC"/>
        <family val="2"/>
      </rPr>
      <t xml:space="preserve">月</t>
    </r>
  </si>
  <si>
    <r>
      <rPr>
        <b val="true"/>
        <sz val="9"/>
        <color rgb="FFFFFFFF"/>
        <rFont val="Arial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月</t>
    </r>
  </si>
  <si>
    <t xml:space="preserve">全年合計</t>
  </si>
  <si>
    <t xml:space="preserve">陳志明</t>
  </si>
  <si>
    <t xml:space="preserve">北區業務</t>
  </si>
  <si>
    <t xml:space="preserve">北</t>
  </si>
  <si>
    <t xml:space="preserve">林美惠</t>
  </si>
  <si>
    <t xml:space="preserve">張偉傑</t>
  </si>
  <si>
    <t xml:space="preserve">南區業務</t>
  </si>
  <si>
    <t xml:space="preserve">南</t>
  </si>
  <si>
    <t xml:space="preserve">王雅琳</t>
  </si>
  <si>
    <t xml:space="preserve">李建國</t>
  </si>
  <si>
    <t xml:space="preserve">中區業務</t>
  </si>
  <si>
    <t xml:space="preserve">中</t>
  </si>
  <si>
    <t xml:space="preserve">吳淑芬</t>
  </si>
  <si>
    <t xml:space="preserve">黃志豪</t>
  </si>
  <si>
    <t xml:space="preserve">東區業務</t>
  </si>
  <si>
    <t xml:space="preserve">東</t>
  </si>
  <si>
    <t xml:space="preserve">蔡佳穎</t>
  </si>
  <si>
    <t xml:space="preserve">月合計</t>
  </si>
  <si>
    <r>
      <rPr>
        <b val="true"/>
        <sz val="14"/>
        <color rgb="FF1F4E79"/>
        <rFont val="Arial"/>
        <family val="0"/>
        <charset val="1"/>
      </rPr>
      <t xml:space="preserve">2023 vs 2024</t>
    </r>
    <r>
      <rPr>
        <b val="true"/>
        <sz val="14"/>
        <color rgb="FF1F4E79"/>
        <rFont val="Noto Sans CJK SC"/>
        <family val="2"/>
      </rPr>
      <t xml:space="preserve">　業務員年度業績比較摘要</t>
    </r>
  </si>
  <si>
    <r>
      <rPr>
        <b val="true"/>
        <sz val="10"/>
        <color rgb="FFFFFFFF"/>
        <rFont val="Arial"/>
        <family val="0"/>
        <charset val="1"/>
      </rPr>
      <t xml:space="preserve">2023</t>
    </r>
    <r>
      <rPr>
        <b val="true"/>
        <sz val="10"/>
        <color rgb="FFFFFFFF"/>
        <rFont val="Noto Sans CJK SC"/>
        <family val="2"/>
      </rPr>
      <t xml:space="preserve">全年業績</t>
    </r>
  </si>
  <si>
    <r>
      <rPr>
        <b val="true"/>
        <sz val="10"/>
        <color rgb="FFFFFFFF"/>
        <rFont val="Arial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全年業績</t>
    </r>
  </si>
  <si>
    <t xml:space="preserve">成長金額</t>
  </si>
  <si>
    <t xml:space="preserve">成長率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</si>
  <si>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產品佔比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</si>
  <si>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產品佔比</t>
    </r>
  </si>
  <si>
    <r>
      <rPr>
        <b val="true"/>
        <sz val="10"/>
        <color rgb="FFFFFFFF"/>
        <rFont val="Arial"/>
        <family val="0"/>
        <charset val="1"/>
      </rPr>
      <t xml:space="preserve">C</t>
    </r>
    <r>
      <rPr>
        <b val="true"/>
        <sz val="10"/>
        <color rgb="FFFFFFFF"/>
        <rFont val="Noto Sans CJK SC"/>
        <family val="2"/>
      </rPr>
      <t xml:space="preserve">產品佔比</t>
    </r>
  </si>
  <si>
    <t xml:space="preserve">綜合評級</t>
  </si>
  <si>
    <t xml:space="preserve">※ 綜合評級標準：成長率≥10% → ★★★優秀；0%～10% → ★★達標；-10%～0% → ★待改善；&lt;-10% → ✗需輔導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</si>
</sst>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6000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2F5496"/>
        <bgColor rgb="FF1F4E79"/>
      </patternFill>
    </fill>
    <fill>
      <patternFill patternType="solid">
        <fgColor rgb="FFE2EFDA"/>
        <bgColor rgb="FFEBF3FB"/>
      </patternFill>
    </fill>
    <fill>
      <patternFill patternType="solid">
        <fgColor rgb="FFEBF3FB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39" min="4" style="1" width="9"/>
    <col collapsed="false" customWidth="true" hidden="false" outlineLevel="0" max="40" min="40" style="1" width="1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true" outlineLevel="0" collapsed="false">
      <c r="A2" s="3" t="s">
        <v>1</v>
      </c>
      <c r="B2" s="3"/>
      <c r="C2" s="3"/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 t="s">
        <v>3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3" t="s">
        <v>5</v>
      </c>
    </row>
    <row r="3" customFormat="false" ht="21.75" hidden="false" customHeight="true" outlineLevel="0" collapsed="false">
      <c r="A3" s="5" t="s">
        <v>6</v>
      </c>
      <c r="B3" s="5" t="s">
        <v>7</v>
      </c>
      <c r="C3" s="5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6" t="s">
        <v>20</v>
      </c>
      <c r="P3" s="6" t="s">
        <v>9</v>
      </c>
      <c r="Q3" s="6" t="s">
        <v>10</v>
      </c>
      <c r="R3" s="6" t="s">
        <v>11</v>
      </c>
      <c r="S3" s="6" t="s">
        <v>12</v>
      </c>
      <c r="T3" s="6" t="s">
        <v>13</v>
      </c>
      <c r="U3" s="6" t="s">
        <v>14</v>
      </c>
      <c r="V3" s="6" t="s">
        <v>15</v>
      </c>
      <c r="W3" s="6" t="s">
        <v>16</v>
      </c>
      <c r="X3" s="6" t="s">
        <v>17</v>
      </c>
      <c r="Y3" s="6" t="s">
        <v>18</v>
      </c>
      <c r="Z3" s="6" t="s">
        <v>19</v>
      </c>
      <c r="AA3" s="6" t="s">
        <v>20</v>
      </c>
      <c r="AB3" s="6" t="s">
        <v>9</v>
      </c>
      <c r="AC3" s="6" t="s">
        <v>10</v>
      </c>
      <c r="AD3" s="6" t="s">
        <v>11</v>
      </c>
      <c r="AE3" s="6" t="s">
        <v>12</v>
      </c>
      <c r="AF3" s="6" t="s">
        <v>13</v>
      </c>
      <c r="AG3" s="6" t="s">
        <v>14</v>
      </c>
      <c r="AH3" s="6" t="s">
        <v>15</v>
      </c>
      <c r="AI3" s="6" t="s">
        <v>16</v>
      </c>
      <c r="AJ3" s="6" t="s">
        <v>17</v>
      </c>
      <c r="AK3" s="6" t="s">
        <v>18</v>
      </c>
      <c r="AL3" s="6" t="s">
        <v>19</v>
      </c>
      <c r="AM3" s="6" t="s">
        <v>20</v>
      </c>
      <c r="AN3" s="5" t="s">
        <v>21</v>
      </c>
    </row>
    <row r="4" customFormat="false" ht="18" hidden="false" customHeight="true" outlineLevel="0" collapsed="false">
      <c r="A4" s="7" t="s">
        <v>22</v>
      </c>
      <c r="B4" s="8" t="s">
        <v>23</v>
      </c>
      <c r="C4" s="8" t="s">
        <v>24</v>
      </c>
      <c r="D4" s="9" t="n">
        <v>361000</v>
      </c>
      <c r="E4" s="9" t="n">
        <v>313000</v>
      </c>
      <c r="F4" s="9" t="n">
        <v>337000</v>
      </c>
      <c r="G4" s="9" t="n">
        <v>336000</v>
      </c>
      <c r="H4" s="9" t="n">
        <v>384000</v>
      </c>
      <c r="I4" s="9" t="n">
        <v>383000</v>
      </c>
      <c r="J4" s="9" t="n">
        <v>405000</v>
      </c>
      <c r="K4" s="9" t="n">
        <v>337000</v>
      </c>
      <c r="L4" s="9" t="n">
        <v>370000</v>
      </c>
      <c r="M4" s="9" t="n">
        <v>338000</v>
      </c>
      <c r="N4" s="9" t="n">
        <v>359000</v>
      </c>
      <c r="O4" s="9" t="n">
        <v>388000</v>
      </c>
      <c r="P4" s="9" t="n">
        <v>248000</v>
      </c>
      <c r="Q4" s="9" t="n">
        <v>262000</v>
      </c>
      <c r="R4" s="9" t="n">
        <v>295000</v>
      </c>
      <c r="S4" s="9" t="n">
        <v>291000</v>
      </c>
      <c r="T4" s="9" t="n">
        <v>271000</v>
      </c>
      <c r="U4" s="9" t="n">
        <v>300000</v>
      </c>
      <c r="V4" s="9" t="n">
        <v>318000</v>
      </c>
      <c r="W4" s="9" t="n">
        <v>264000</v>
      </c>
      <c r="X4" s="9" t="n">
        <v>324000</v>
      </c>
      <c r="Y4" s="9" t="n">
        <v>319000</v>
      </c>
      <c r="Z4" s="9" t="n">
        <v>296000</v>
      </c>
      <c r="AA4" s="9" t="n">
        <v>285000</v>
      </c>
      <c r="AB4" s="9" t="n">
        <v>244000</v>
      </c>
      <c r="AC4" s="9" t="n">
        <v>213000</v>
      </c>
      <c r="AD4" s="9" t="n">
        <v>202000</v>
      </c>
      <c r="AE4" s="9" t="n">
        <v>204000</v>
      </c>
      <c r="AF4" s="9" t="n">
        <v>247000</v>
      </c>
      <c r="AG4" s="9" t="n">
        <v>236000</v>
      </c>
      <c r="AH4" s="9" t="n">
        <v>250000</v>
      </c>
      <c r="AI4" s="9" t="n">
        <v>248000</v>
      </c>
      <c r="AJ4" s="9" t="n">
        <v>239000</v>
      </c>
      <c r="AK4" s="9" t="n">
        <v>267000</v>
      </c>
      <c r="AL4" s="9" t="n">
        <v>234000</v>
      </c>
      <c r="AM4" s="9" t="n">
        <v>247000</v>
      </c>
      <c r="AN4" s="10" t="n">
        <f aca="false">SUM(D4:AM4)</f>
        <v>10615000</v>
      </c>
    </row>
    <row r="5" customFormat="false" ht="18" hidden="false" customHeight="true" outlineLevel="0" collapsed="false">
      <c r="A5" s="7" t="s">
        <v>25</v>
      </c>
      <c r="B5" s="8" t="s">
        <v>23</v>
      </c>
      <c r="C5" s="8" t="s">
        <v>24</v>
      </c>
      <c r="D5" s="9" t="n">
        <v>237000</v>
      </c>
      <c r="E5" s="9" t="n">
        <v>228000</v>
      </c>
      <c r="F5" s="9" t="n">
        <v>243000</v>
      </c>
      <c r="G5" s="9" t="n">
        <v>124000</v>
      </c>
      <c r="H5" s="9" t="n">
        <v>240000</v>
      </c>
      <c r="I5" s="9" t="n">
        <v>205000</v>
      </c>
      <c r="J5" s="9" t="n">
        <v>217000</v>
      </c>
      <c r="K5" s="9" t="n">
        <v>223000</v>
      </c>
      <c r="L5" s="9" t="n">
        <v>213000</v>
      </c>
      <c r="M5" s="9" t="n">
        <v>224000</v>
      </c>
      <c r="N5" s="9" t="n">
        <v>218000</v>
      </c>
      <c r="O5" s="9" t="n">
        <v>231000</v>
      </c>
      <c r="P5" s="9" t="n">
        <v>185000</v>
      </c>
      <c r="Q5" s="9" t="n">
        <v>175000</v>
      </c>
      <c r="R5" s="9" t="n">
        <v>177000</v>
      </c>
      <c r="S5" s="9" t="n">
        <v>172000</v>
      </c>
      <c r="T5" s="9" t="n">
        <v>176000</v>
      </c>
      <c r="U5" s="9" t="n">
        <v>208000</v>
      </c>
      <c r="V5" s="9" t="n">
        <v>197000</v>
      </c>
      <c r="W5" s="9" t="n">
        <v>197000</v>
      </c>
      <c r="X5" s="9" t="n">
        <v>179000</v>
      </c>
      <c r="Y5" s="9" t="n">
        <v>206000</v>
      </c>
      <c r="Z5" s="9" t="n">
        <v>182000</v>
      </c>
      <c r="AA5" s="9" t="n">
        <v>194000</v>
      </c>
      <c r="AB5" s="9" t="n">
        <v>178000</v>
      </c>
      <c r="AC5" s="9" t="n">
        <v>167000</v>
      </c>
      <c r="AD5" s="9" t="n">
        <v>165000</v>
      </c>
      <c r="AE5" s="9" t="n">
        <v>172000</v>
      </c>
      <c r="AF5" s="9" t="n">
        <v>180000</v>
      </c>
      <c r="AG5" s="9" t="n">
        <v>179000</v>
      </c>
      <c r="AH5" s="9" t="n">
        <v>158000</v>
      </c>
      <c r="AI5" s="9" t="n">
        <v>151000</v>
      </c>
      <c r="AJ5" s="9" t="n">
        <v>165000</v>
      </c>
      <c r="AK5" s="9" t="n">
        <v>164000</v>
      </c>
      <c r="AL5" s="9" t="n">
        <v>163000</v>
      </c>
      <c r="AM5" s="9" t="n">
        <v>196000</v>
      </c>
      <c r="AN5" s="10" t="n">
        <f aca="false">SUM(D5:AM5)</f>
        <v>6889000</v>
      </c>
    </row>
    <row r="6" customFormat="false" ht="18" hidden="false" customHeight="true" outlineLevel="0" collapsed="false">
      <c r="A6" s="7" t="s">
        <v>26</v>
      </c>
      <c r="B6" s="8" t="s">
        <v>27</v>
      </c>
      <c r="C6" s="8" t="s">
        <v>28</v>
      </c>
      <c r="D6" s="9" t="n">
        <v>327000</v>
      </c>
      <c r="E6" s="9" t="n">
        <v>289000</v>
      </c>
      <c r="F6" s="9" t="n">
        <v>317000</v>
      </c>
      <c r="G6" s="9" t="n">
        <v>301000</v>
      </c>
      <c r="H6" s="9" t="n">
        <v>343000</v>
      </c>
      <c r="I6" s="9" t="n">
        <v>311000</v>
      </c>
      <c r="J6" s="9" t="n">
        <v>300000</v>
      </c>
      <c r="K6" s="9" t="n">
        <v>301000</v>
      </c>
      <c r="L6" s="9" t="n">
        <v>328000</v>
      </c>
      <c r="M6" s="9" t="n">
        <v>308000</v>
      </c>
      <c r="N6" s="9" t="n">
        <v>336000</v>
      </c>
      <c r="O6" s="9" t="n">
        <v>364000</v>
      </c>
      <c r="P6" s="9" t="n">
        <v>253000</v>
      </c>
      <c r="Q6" s="9" t="n">
        <v>244000</v>
      </c>
      <c r="R6" s="9" t="n">
        <v>296000</v>
      </c>
      <c r="S6" s="9" t="n">
        <v>268000</v>
      </c>
      <c r="T6" s="9" t="n">
        <v>243000</v>
      </c>
      <c r="U6" s="9" t="n">
        <v>243000</v>
      </c>
      <c r="V6" s="9" t="n">
        <v>249000</v>
      </c>
      <c r="W6" s="9" t="n">
        <v>286000</v>
      </c>
      <c r="X6" s="9" t="n">
        <v>300000</v>
      </c>
      <c r="Y6" s="9" t="n">
        <v>278000</v>
      </c>
      <c r="Z6" s="9" t="n">
        <v>256000</v>
      </c>
      <c r="AA6" s="9" t="n">
        <v>280000</v>
      </c>
      <c r="AB6" s="9" t="n">
        <v>223000</v>
      </c>
      <c r="AC6" s="9" t="n">
        <v>203000</v>
      </c>
      <c r="AD6" s="9" t="n">
        <v>227000</v>
      </c>
      <c r="AE6" s="9" t="n">
        <v>223000</v>
      </c>
      <c r="AF6" s="9" t="n">
        <v>183000</v>
      </c>
      <c r="AG6" s="9" t="n">
        <v>221000</v>
      </c>
      <c r="AH6" s="9" t="n">
        <v>221000</v>
      </c>
      <c r="AI6" s="9" t="n">
        <v>215000</v>
      </c>
      <c r="AJ6" s="9" t="n">
        <v>203000</v>
      </c>
      <c r="AK6" s="9" t="n">
        <v>225000</v>
      </c>
      <c r="AL6" s="9" t="n">
        <v>199000</v>
      </c>
      <c r="AM6" s="9" t="n">
        <v>218000</v>
      </c>
      <c r="AN6" s="10" t="n">
        <f aca="false">SUM(D6:AM6)</f>
        <v>9582000</v>
      </c>
    </row>
    <row r="7" customFormat="false" ht="18" hidden="false" customHeight="true" outlineLevel="0" collapsed="false">
      <c r="A7" s="7" t="s">
        <v>29</v>
      </c>
      <c r="B7" s="8" t="s">
        <v>27</v>
      </c>
      <c r="C7" s="8" t="s">
        <v>28</v>
      </c>
      <c r="D7" s="9" t="n">
        <v>148000</v>
      </c>
      <c r="E7" s="9" t="n">
        <v>168000</v>
      </c>
      <c r="F7" s="9" t="n">
        <v>166000</v>
      </c>
      <c r="G7" s="9" t="n">
        <v>145000</v>
      </c>
      <c r="H7" s="9" t="n">
        <v>156000</v>
      </c>
      <c r="I7" s="9" t="n">
        <v>145000</v>
      </c>
      <c r="J7" s="9" t="n">
        <v>174000</v>
      </c>
      <c r="K7" s="9" t="n">
        <v>174000</v>
      </c>
      <c r="L7" s="9" t="n">
        <v>154000</v>
      </c>
      <c r="M7" s="9" t="n">
        <v>168000</v>
      </c>
      <c r="N7" s="9" t="n">
        <v>169000</v>
      </c>
      <c r="O7" s="9" t="n">
        <v>152000</v>
      </c>
      <c r="P7" s="9" t="n">
        <v>138000</v>
      </c>
      <c r="Q7" s="9" t="n">
        <v>132000</v>
      </c>
      <c r="R7" s="9" t="n">
        <v>141000</v>
      </c>
      <c r="S7" s="9" t="n">
        <v>134000</v>
      </c>
      <c r="T7" s="9" t="n">
        <v>118000</v>
      </c>
      <c r="U7" s="9" t="n">
        <v>130000</v>
      </c>
      <c r="V7" s="9" t="n">
        <v>121000</v>
      </c>
      <c r="W7" s="9" t="n">
        <v>153000</v>
      </c>
      <c r="X7" s="9" t="n">
        <v>153000</v>
      </c>
      <c r="Y7" s="9" t="n">
        <v>152000</v>
      </c>
      <c r="Z7" s="9" t="n">
        <v>136000</v>
      </c>
      <c r="AA7" s="9" t="n">
        <v>128000</v>
      </c>
      <c r="AB7" s="9" t="n">
        <v>130000</v>
      </c>
      <c r="AC7" s="9" t="n">
        <v>134000</v>
      </c>
      <c r="AD7" s="9" t="n">
        <v>110000</v>
      </c>
      <c r="AE7" s="9" t="n">
        <v>123000</v>
      </c>
      <c r="AF7" s="9" t="n">
        <v>111000</v>
      </c>
      <c r="AG7" s="9" t="n">
        <v>133000</v>
      </c>
      <c r="AH7" s="9" t="n">
        <v>135000</v>
      </c>
      <c r="AI7" s="9" t="n">
        <v>116000</v>
      </c>
      <c r="AJ7" s="9" t="n">
        <v>128000</v>
      </c>
      <c r="AK7" s="9" t="n">
        <v>91000</v>
      </c>
      <c r="AL7" s="9" t="n">
        <v>92000</v>
      </c>
      <c r="AM7" s="9" t="n">
        <v>93000</v>
      </c>
      <c r="AN7" s="10" t="n">
        <f aca="false">SUM(D7:AM7)</f>
        <v>4951000</v>
      </c>
    </row>
    <row r="8" customFormat="false" ht="18" hidden="false" customHeight="true" outlineLevel="0" collapsed="false">
      <c r="A8" s="7" t="s">
        <v>30</v>
      </c>
      <c r="B8" s="8" t="s">
        <v>31</v>
      </c>
      <c r="C8" s="8" t="s">
        <v>32</v>
      </c>
      <c r="D8" s="9" t="n">
        <v>255000</v>
      </c>
      <c r="E8" s="9" t="n">
        <v>244000</v>
      </c>
      <c r="F8" s="9" t="n">
        <v>267000</v>
      </c>
      <c r="G8" s="9" t="n">
        <v>282000</v>
      </c>
      <c r="H8" s="9" t="n">
        <v>251000</v>
      </c>
      <c r="I8" s="9" t="n">
        <v>260000</v>
      </c>
      <c r="J8" s="9" t="n">
        <v>308000</v>
      </c>
      <c r="K8" s="9" t="n">
        <v>288000</v>
      </c>
      <c r="L8" s="9" t="n">
        <v>276000</v>
      </c>
      <c r="M8" s="9" t="n">
        <v>284000</v>
      </c>
      <c r="N8" s="9" t="n">
        <v>259000</v>
      </c>
      <c r="O8" s="9" t="n">
        <v>269000</v>
      </c>
      <c r="P8" s="9" t="n">
        <v>192000</v>
      </c>
      <c r="Q8" s="9" t="n">
        <v>206000</v>
      </c>
      <c r="R8" s="9" t="n">
        <v>190000</v>
      </c>
      <c r="S8" s="9" t="n">
        <v>192000</v>
      </c>
      <c r="T8" s="9" t="n">
        <v>186000</v>
      </c>
      <c r="U8" s="9" t="n">
        <v>216000</v>
      </c>
      <c r="V8" s="9" t="n">
        <v>198000</v>
      </c>
      <c r="W8" s="9" t="n">
        <v>234000</v>
      </c>
      <c r="X8" s="9" t="n">
        <v>234000</v>
      </c>
      <c r="Y8" s="9" t="n">
        <v>195000</v>
      </c>
      <c r="Z8" s="9" t="n">
        <v>206000</v>
      </c>
      <c r="AA8" s="9" t="n">
        <v>231000</v>
      </c>
      <c r="AB8" s="9" t="n">
        <v>167000</v>
      </c>
      <c r="AC8" s="9" t="n">
        <v>165000</v>
      </c>
      <c r="AD8" s="9" t="n">
        <v>202000</v>
      </c>
      <c r="AE8" s="9" t="n">
        <v>188000</v>
      </c>
      <c r="AF8" s="9" t="n">
        <v>185000</v>
      </c>
      <c r="AG8" s="9" t="n">
        <v>201000</v>
      </c>
      <c r="AH8" s="9" t="n">
        <v>204000</v>
      </c>
      <c r="AI8" s="9" t="n">
        <v>178000</v>
      </c>
      <c r="AJ8" s="9" t="n">
        <v>175000</v>
      </c>
      <c r="AK8" s="9" t="n">
        <v>192000</v>
      </c>
      <c r="AL8" s="9" t="n">
        <v>194000</v>
      </c>
      <c r="AM8" s="9" t="n">
        <v>198000</v>
      </c>
      <c r="AN8" s="10" t="n">
        <f aca="false">SUM(D8:AM8)</f>
        <v>7972000</v>
      </c>
    </row>
    <row r="9" customFormat="false" ht="18" hidden="false" customHeight="true" outlineLevel="0" collapsed="false">
      <c r="A9" s="7" t="s">
        <v>33</v>
      </c>
      <c r="B9" s="8" t="s">
        <v>31</v>
      </c>
      <c r="C9" s="8" t="s">
        <v>32</v>
      </c>
      <c r="D9" s="9" t="n">
        <v>200000</v>
      </c>
      <c r="E9" s="9" t="n">
        <v>199000</v>
      </c>
      <c r="F9" s="9" t="n">
        <v>216000</v>
      </c>
      <c r="G9" s="9" t="n">
        <v>176000</v>
      </c>
      <c r="H9" s="9" t="n">
        <v>192000</v>
      </c>
      <c r="I9" s="9" t="n">
        <v>191000</v>
      </c>
      <c r="J9" s="9" t="n">
        <v>218000</v>
      </c>
      <c r="K9" s="9" t="n">
        <v>191000</v>
      </c>
      <c r="L9" s="9" t="n">
        <v>189000</v>
      </c>
      <c r="M9" s="9" t="n">
        <v>204000</v>
      </c>
      <c r="N9" s="9" t="n">
        <v>205000</v>
      </c>
      <c r="O9" s="9" t="n">
        <v>199000</v>
      </c>
      <c r="P9" s="9" t="n">
        <v>150000</v>
      </c>
      <c r="Q9" s="9" t="n">
        <v>178000</v>
      </c>
      <c r="R9" s="9" t="n">
        <v>160000</v>
      </c>
      <c r="S9" s="9" t="n">
        <v>179000</v>
      </c>
      <c r="T9" s="9" t="n">
        <v>168000</v>
      </c>
      <c r="U9" s="9" t="n">
        <v>149000</v>
      </c>
      <c r="V9" s="9" t="n">
        <v>189000</v>
      </c>
      <c r="W9" s="9" t="n">
        <v>185000</v>
      </c>
      <c r="X9" s="9" t="n">
        <v>192000</v>
      </c>
      <c r="Y9" s="9" t="n">
        <v>192000</v>
      </c>
      <c r="Z9" s="9" t="n">
        <v>190000</v>
      </c>
      <c r="AA9" s="9" t="n">
        <v>163000</v>
      </c>
      <c r="AB9" s="9" t="n">
        <v>139000</v>
      </c>
      <c r="AC9" s="9" t="n">
        <v>131000</v>
      </c>
      <c r="AD9" s="9" t="n">
        <v>139000</v>
      </c>
      <c r="AE9" s="9" t="n">
        <v>128000</v>
      </c>
      <c r="AF9" s="9" t="n">
        <v>141000</v>
      </c>
      <c r="AG9" s="9" t="n">
        <v>164000</v>
      </c>
      <c r="AH9" s="9" t="n">
        <v>140000</v>
      </c>
      <c r="AI9" s="9" t="n">
        <v>160000</v>
      </c>
      <c r="AJ9" s="9" t="n">
        <v>149000</v>
      </c>
      <c r="AK9" s="9" t="n">
        <v>149000</v>
      </c>
      <c r="AL9" s="9" t="n">
        <v>170000</v>
      </c>
      <c r="AM9" s="9" t="n">
        <v>173000</v>
      </c>
      <c r="AN9" s="10" t="n">
        <f aca="false">SUM(D9:AM9)</f>
        <v>6258000</v>
      </c>
    </row>
    <row r="10" customFormat="false" ht="18" hidden="false" customHeight="true" outlineLevel="0" collapsed="false">
      <c r="A10" s="7" t="s">
        <v>34</v>
      </c>
      <c r="B10" s="8" t="s">
        <v>35</v>
      </c>
      <c r="C10" s="8" t="s">
        <v>36</v>
      </c>
      <c r="D10" s="9" t="n">
        <v>121000</v>
      </c>
      <c r="E10" s="9" t="n">
        <v>127000</v>
      </c>
      <c r="F10" s="9" t="n">
        <v>112000</v>
      </c>
      <c r="G10" s="9" t="n">
        <v>117000</v>
      </c>
      <c r="H10" s="9" t="n">
        <v>138000</v>
      </c>
      <c r="I10" s="9" t="n">
        <v>128000</v>
      </c>
      <c r="J10" s="9" t="n">
        <v>128000</v>
      </c>
      <c r="K10" s="9" t="n">
        <v>136000</v>
      </c>
      <c r="L10" s="9" t="n">
        <v>115000</v>
      </c>
      <c r="M10" s="9" t="n">
        <v>133000</v>
      </c>
      <c r="N10" s="9" t="n">
        <v>132000</v>
      </c>
      <c r="O10" s="9" t="n">
        <v>144000</v>
      </c>
      <c r="P10" s="9" t="n">
        <v>100000</v>
      </c>
      <c r="Q10" s="9" t="n">
        <v>123000</v>
      </c>
      <c r="R10" s="9" t="n">
        <v>100000</v>
      </c>
      <c r="S10" s="9" t="n">
        <v>104000</v>
      </c>
      <c r="T10" s="9" t="n">
        <v>117000</v>
      </c>
      <c r="U10" s="9" t="n">
        <v>167000</v>
      </c>
      <c r="V10" s="9" t="n">
        <v>169000</v>
      </c>
      <c r="W10" s="9" t="n">
        <v>170000</v>
      </c>
      <c r="X10" s="9" t="n">
        <v>129000</v>
      </c>
      <c r="Y10" s="9" t="n">
        <v>112000</v>
      </c>
      <c r="Z10" s="9" t="n">
        <v>123000</v>
      </c>
      <c r="AA10" s="9" t="n">
        <v>125000</v>
      </c>
      <c r="AB10" s="9" t="n">
        <v>98000</v>
      </c>
      <c r="AC10" s="9" t="n">
        <v>103000</v>
      </c>
      <c r="AD10" s="9" t="n">
        <v>102000</v>
      </c>
      <c r="AE10" s="9" t="n">
        <v>113000</v>
      </c>
      <c r="AF10" s="9" t="n">
        <v>96000</v>
      </c>
      <c r="AG10" s="9" t="n">
        <v>110000</v>
      </c>
      <c r="AH10" s="9" t="n">
        <v>99000</v>
      </c>
      <c r="AI10" s="9" t="n">
        <v>104000</v>
      </c>
      <c r="AJ10" s="9" t="n">
        <v>112000</v>
      </c>
      <c r="AK10" s="9" t="n">
        <v>103000</v>
      </c>
      <c r="AL10" s="9" t="n">
        <v>105000</v>
      </c>
      <c r="AM10" s="9" t="n">
        <v>117000</v>
      </c>
      <c r="AN10" s="10" t="n">
        <f aca="false">SUM(D10:AM10)</f>
        <v>4332000</v>
      </c>
    </row>
    <row r="11" customFormat="false" ht="18" hidden="false" customHeight="true" outlineLevel="0" collapsed="false">
      <c r="A11" s="7" t="s">
        <v>37</v>
      </c>
      <c r="B11" s="8" t="s">
        <v>35</v>
      </c>
      <c r="C11" s="8" t="s">
        <v>36</v>
      </c>
      <c r="D11" s="9" t="n">
        <v>224000</v>
      </c>
      <c r="E11" s="9" t="n">
        <v>249000</v>
      </c>
      <c r="F11" s="9" t="n">
        <v>285000</v>
      </c>
      <c r="G11" s="9" t="n">
        <v>288000</v>
      </c>
      <c r="H11" s="9" t="n">
        <v>233000</v>
      </c>
      <c r="I11" s="9" t="n">
        <v>244000</v>
      </c>
      <c r="J11" s="9" t="n">
        <v>250000</v>
      </c>
      <c r="K11" s="9" t="n">
        <v>295000</v>
      </c>
      <c r="L11" s="9" t="n">
        <v>294000</v>
      </c>
      <c r="M11" s="9" t="n">
        <v>297000</v>
      </c>
      <c r="N11" s="9" t="n">
        <v>266000</v>
      </c>
      <c r="O11" s="9" t="n">
        <v>254000</v>
      </c>
      <c r="P11" s="9" t="n">
        <v>226000</v>
      </c>
      <c r="Q11" s="9" t="n">
        <v>222000</v>
      </c>
      <c r="R11" s="9" t="n">
        <v>219000</v>
      </c>
      <c r="S11" s="9" t="n">
        <v>241000</v>
      </c>
      <c r="T11" s="9" t="n">
        <v>226000</v>
      </c>
      <c r="U11" s="9" t="n">
        <v>194000</v>
      </c>
      <c r="V11" s="9" t="n">
        <v>239000</v>
      </c>
      <c r="W11" s="9" t="n">
        <v>213000</v>
      </c>
      <c r="X11" s="9" t="n">
        <v>235000</v>
      </c>
      <c r="Y11" s="9" t="n">
        <v>253000</v>
      </c>
      <c r="Z11" s="9" t="n">
        <v>210000</v>
      </c>
      <c r="AA11" s="9" t="n">
        <v>211000</v>
      </c>
      <c r="AB11" s="9" t="n">
        <v>163000</v>
      </c>
      <c r="AC11" s="9" t="n">
        <v>184000</v>
      </c>
      <c r="AD11" s="9" t="n">
        <v>173000</v>
      </c>
      <c r="AE11" s="9" t="n">
        <v>190000</v>
      </c>
      <c r="AF11" s="9" t="n">
        <v>196000</v>
      </c>
      <c r="AG11" s="9" t="n">
        <v>175000</v>
      </c>
      <c r="AH11" s="9" t="n">
        <v>196000</v>
      </c>
      <c r="AI11" s="9" t="n">
        <v>181000</v>
      </c>
      <c r="AJ11" s="9" t="n">
        <v>193000</v>
      </c>
      <c r="AK11" s="9" t="n">
        <v>215000</v>
      </c>
      <c r="AL11" s="9" t="n">
        <v>214000</v>
      </c>
      <c r="AM11" s="9" t="n">
        <v>180000</v>
      </c>
      <c r="AN11" s="10" t="n">
        <f aca="false">SUM(D11:AM11)</f>
        <v>8128000</v>
      </c>
    </row>
    <row r="12" customFormat="false" ht="15" hidden="false" customHeight="true" outlineLevel="0" collapsed="false">
      <c r="A12" s="11" t="s">
        <v>38</v>
      </c>
      <c r="B12" s="11"/>
      <c r="C12" s="11"/>
      <c r="D12" s="12" t="n">
        <f aca="false">SUM(D4:D11)</f>
        <v>1873000</v>
      </c>
      <c r="E12" s="12" t="n">
        <f aca="false">SUM(E4:E11)</f>
        <v>1817000</v>
      </c>
      <c r="F12" s="12" t="n">
        <f aca="false">SUM(F4:F11)</f>
        <v>1943000</v>
      </c>
      <c r="G12" s="12" t="n">
        <f aca="false">SUM(G4:G11)</f>
        <v>1769000</v>
      </c>
      <c r="H12" s="12" t="n">
        <f aca="false">SUM(H4:H11)</f>
        <v>1937000</v>
      </c>
      <c r="I12" s="12" t="n">
        <f aca="false">SUM(I4:I11)</f>
        <v>1867000</v>
      </c>
      <c r="J12" s="12" t="n">
        <f aca="false">SUM(J4:J11)</f>
        <v>2000000</v>
      </c>
      <c r="K12" s="12" t="n">
        <f aca="false">SUM(K4:K11)</f>
        <v>1945000</v>
      </c>
      <c r="L12" s="12" t="n">
        <f aca="false">SUM(L4:L11)</f>
        <v>1939000</v>
      </c>
      <c r="M12" s="12" t="n">
        <f aca="false">SUM(M4:M11)</f>
        <v>1956000</v>
      </c>
      <c r="N12" s="12" t="n">
        <f aca="false">SUM(N4:N11)</f>
        <v>1944000</v>
      </c>
      <c r="O12" s="12" t="n">
        <f aca="false">SUM(O4:O11)</f>
        <v>2001000</v>
      </c>
      <c r="P12" s="12" t="n">
        <f aca="false">SUM(P4:P11)</f>
        <v>1492000</v>
      </c>
      <c r="Q12" s="12" t="n">
        <f aca="false">SUM(Q4:Q11)</f>
        <v>1542000</v>
      </c>
      <c r="R12" s="12" t="n">
        <f aca="false">SUM(R4:R11)</f>
        <v>1578000</v>
      </c>
      <c r="S12" s="12" t="n">
        <f aca="false">SUM(S4:S11)</f>
        <v>1581000</v>
      </c>
      <c r="T12" s="12" t="n">
        <f aca="false">SUM(T4:T11)</f>
        <v>1505000</v>
      </c>
      <c r="U12" s="12" t="n">
        <f aca="false">SUM(U4:U11)</f>
        <v>1607000</v>
      </c>
      <c r="V12" s="12" t="n">
        <f aca="false">SUM(V4:V11)</f>
        <v>1680000</v>
      </c>
      <c r="W12" s="12" t="n">
        <f aca="false">SUM(W4:W11)</f>
        <v>1702000</v>
      </c>
      <c r="X12" s="12" t="n">
        <f aca="false">SUM(X4:X11)</f>
        <v>1746000</v>
      </c>
      <c r="Y12" s="12" t="n">
        <f aca="false">SUM(Y4:Y11)</f>
        <v>1707000</v>
      </c>
      <c r="Z12" s="12" t="n">
        <f aca="false">SUM(Z4:Z11)</f>
        <v>1599000</v>
      </c>
      <c r="AA12" s="12" t="n">
        <f aca="false">SUM(AA4:AA11)</f>
        <v>1617000</v>
      </c>
      <c r="AB12" s="12" t="n">
        <f aca="false">SUM(AB4:AB11)</f>
        <v>1342000</v>
      </c>
      <c r="AC12" s="12" t="n">
        <f aca="false">SUM(AC4:AC11)</f>
        <v>1300000</v>
      </c>
      <c r="AD12" s="12" t="n">
        <f aca="false">SUM(AD4:AD11)</f>
        <v>1320000</v>
      </c>
      <c r="AE12" s="12" t="n">
        <f aca="false">SUM(AE4:AE11)</f>
        <v>1341000</v>
      </c>
      <c r="AF12" s="12" t="n">
        <f aca="false">SUM(AF4:AF11)</f>
        <v>1339000</v>
      </c>
      <c r="AG12" s="12" t="n">
        <f aca="false">SUM(AG4:AG11)</f>
        <v>1419000</v>
      </c>
      <c r="AH12" s="12" t="n">
        <f aca="false">SUM(AH4:AH11)</f>
        <v>1403000</v>
      </c>
      <c r="AI12" s="12" t="n">
        <f aca="false">SUM(AI4:AI11)</f>
        <v>1353000</v>
      </c>
      <c r="AJ12" s="12" t="n">
        <f aca="false">SUM(AJ4:AJ11)</f>
        <v>1364000</v>
      </c>
      <c r="AK12" s="12" t="n">
        <f aca="false">SUM(AK4:AK11)</f>
        <v>1406000</v>
      </c>
      <c r="AL12" s="12" t="n">
        <f aca="false">SUM(AL4:AL11)</f>
        <v>1371000</v>
      </c>
      <c r="AM12" s="12" t="n">
        <f aca="false">SUM(AM4:AM11)</f>
        <v>1422000</v>
      </c>
      <c r="AN12" s="12" t="n">
        <f aca="false">SUM(AN4:AN11)</f>
        <v>58727000</v>
      </c>
    </row>
  </sheetData>
  <mergeCells count="6">
    <mergeCell ref="A1:AN1"/>
    <mergeCell ref="A2:C2"/>
    <mergeCell ref="D2:O2"/>
    <mergeCell ref="P2:AA2"/>
    <mergeCell ref="AB2:AM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10" min="7" style="1" width="12"/>
  </cols>
  <sheetData>
    <row r="1" customFormat="false" ht="30" hidden="false" customHeight="true" outlineLevel="0" collapsed="false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6</v>
      </c>
      <c r="B2" s="3" t="s">
        <v>7</v>
      </c>
      <c r="C2" s="4" t="s">
        <v>40</v>
      </c>
      <c r="D2" s="4" t="s">
        <v>41</v>
      </c>
      <c r="E2" s="3" t="s">
        <v>42</v>
      </c>
      <c r="F2" s="3" t="s">
        <v>43</v>
      </c>
      <c r="G2" s="4" t="s">
        <v>44</v>
      </c>
      <c r="H2" s="4" t="s">
        <v>45</v>
      </c>
      <c r="I2" s="4" t="s">
        <v>46</v>
      </c>
      <c r="J2" s="3" t="s">
        <v>47</v>
      </c>
    </row>
    <row r="3" customFormat="false" ht="18" hidden="false" customHeight="true" outlineLevel="0" collapsed="false">
      <c r="A3" s="13" t="s">
        <v>22</v>
      </c>
      <c r="B3" s="14" t="s">
        <v>23</v>
      </c>
      <c r="C3" s="9" t="n">
        <v>9800000</v>
      </c>
      <c r="D3" s="9" t="n">
        <f aca="false">銷售明細!AO4</f>
        <v>0</v>
      </c>
      <c r="E3" s="9" t="n">
        <f aca="false">D3-C3</f>
        <v>-9800000</v>
      </c>
      <c r="F3" s="15" t="n">
        <f aca="false">IF(C3=0,"-",D3/C3-1)</f>
        <v>-1</v>
      </c>
      <c r="G3" s="15" t="str">
        <f aca="false">IF(D3=0,"-",SUMPRODUCT(銷售明細!D4:O4)/D3)</f>
        <v>-</v>
      </c>
      <c r="H3" s="15" t="str">
        <f aca="false">IF(D3=0,"-",SUMPRODUCT(銷售明細!P4:AA4)/D3)</f>
        <v>-</v>
      </c>
      <c r="I3" s="15" t="str">
        <f aca="false">IF(D3=0,"-",SUMPRODUCT(銷售明細!AB4:AM4)/D3)</f>
        <v>-</v>
      </c>
      <c r="J3" s="16" t="str">
        <f aca="false">IF(F3&gt;=0.1,"★★★ 優秀",IF(F3&gt;=0,"★★ 達標",IF(F3&gt;=-0.1,"★ 待改善","✗ 需輔導")))</f>
        <v>✗ 需輔導</v>
      </c>
    </row>
    <row r="4" customFormat="false" ht="18" hidden="false" customHeight="true" outlineLevel="0" collapsed="false">
      <c r="A4" s="17" t="s">
        <v>25</v>
      </c>
      <c r="B4" s="18" t="s">
        <v>23</v>
      </c>
      <c r="C4" s="19" t="n">
        <v>6200000</v>
      </c>
      <c r="D4" s="19" t="n">
        <f aca="false">銷售明細!AO5</f>
        <v>0</v>
      </c>
      <c r="E4" s="19" t="n">
        <f aca="false">D4-C4</f>
        <v>-6200000</v>
      </c>
      <c r="F4" s="20" t="n">
        <f aca="false">IF(C4=0,"-",D4/C4-1)</f>
        <v>-1</v>
      </c>
      <c r="G4" s="20" t="str">
        <f aca="false">IF(D4=0,"-",SUMPRODUCT(銷售明細!D5:O5)/D4)</f>
        <v>-</v>
      </c>
      <c r="H4" s="20" t="str">
        <f aca="false">IF(D4=0,"-",SUMPRODUCT(銷售明細!P5:AA5)/D4)</f>
        <v>-</v>
      </c>
      <c r="I4" s="20" t="str">
        <f aca="false">IF(D4=0,"-",SUMPRODUCT(銷售明細!AB5:AM5)/D4)</f>
        <v>-</v>
      </c>
      <c r="J4" s="21" t="str">
        <f aca="false">IF(F4&gt;=0.1,"★★★ 優秀",IF(F4&gt;=0,"★★ 達標",IF(F4&gt;=-0.1,"★ 待改善","✗ 需輔導")))</f>
        <v>✗ 需輔導</v>
      </c>
    </row>
    <row r="5" customFormat="false" ht="18" hidden="false" customHeight="true" outlineLevel="0" collapsed="false">
      <c r="A5" s="13" t="s">
        <v>26</v>
      </c>
      <c r="B5" s="14" t="s">
        <v>27</v>
      </c>
      <c r="C5" s="9" t="n">
        <v>8500000</v>
      </c>
      <c r="D5" s="9" t="n">
        <f aca="false">銷售明細!AO6</f>
        <v>0</v>
      </c>
      <c r="E5" s="9" t="n">
        <f aca="false">D5-C5</f>
        <v>-8500000</v>
      </c>
      <c r="F5" s="15" t="n">
        <f aca="false">IF(C5=0,"-",D5/C5-1)</f>
        <v>-1</v>
      </c>
      <c r="G5" s="15" t="str">
        <f aca="false">IF(D5=0,"-",SUMPRODUCT(銷售明細!D6:O6)/D5)</f>
        <v>-</v>
      </c>
      <c r="H5" s="15" t="str">
        <f aca="false">IF(D5=0,"-",SUMPRODUCT(銷售明細!P6:AA6)/D5)</f>
        <v>-</v>
      </c>
      <c r="I5" s="15" t="str">
        <f aca="false">IF(D5=0,"-",SUMPRODUCT(銷售明細!AB6:AM6)/D5)</f>
        <v>-</v>
      </c>
      <c r="J5" s="16" t="str">
        <f aca="false">IF(F5&gt;=0.1,"★★★ 優秀",IF(F5&gt;=0,"★★ 達標",IF(F5&gt;=-0.1,"★ 待改善","✗ 需輔導")))</f>
        <v>✗ 需輔導</v>
      </c>
    </row>
    <row r="6" customFormat="false" ht="18" hidden="false" customHeight="true" outlineLevel="0" collapsed="false">
      <c r="A6" s="17" t="s">
        <v>29</v>
      </c>
      <c r="B6" s="18" t="s">
        <v>27</v>
      </c>
      <c r="C6" s="19" t="n">
        <v>4800000</v>
      </c>
      <c r="D6" s="19" t="n">
        <f aca="false">銷售明細!AO7</f>
        <v>0</v>
      </c>
      <c r="E6" s="19" t="n">
        <f aca="false">D6-C6</f>
        <v>-4800000</v>
      </c>
      <c r="F6" s="20" t="n">
        <f aca="false">IF(C6=0,"-",D6/C6-1)</f>
        <v>-1</v>
      </c>
      <c r="G6" s="20" t="str">
        <f aca="false">IF(D6=0,"-",SUMPRODUCT(銷售明細!D7:O7)/D6)</f>
        <v>-</v>
      </c>
      <c r="H6" s="20" t="str">
        <f aca="false">IF(D6=0,"-",SUMPRODUCT(銷售明細!P7:AA7)/D6)</f>
        <v>-</v>
      </c>
      <c r="I6" s="20" t="str">
        <f aca="false">IF(D6=0,"-",SUMPRODUCT(銷售明細!AB7:AM7)/D6)</f>
        <v>-</v>
      </c>
      <c r="J6" s="21" t="str">
        <f aca="false">IF(F6&gt;=0.1,"★★★ 優秀",IF(F6&gt;=0,"★★ 達標",IF(F6&gt;=-0.1,"★ 待改善","✗ 需輔導")))</f>
        <v>✗ 需輔導</v>
      </c>
    </row>
    <row r="7" customFormat="false" ht="18" hidden="false" customHeight="true" outlineLevel="0" collapsed="false">
      <c r="A7" s="13" t="s">
        <v>30</v>
      </c>
      <c r="B7" s="14" t="s">
        <v>31</v>
      </c>
      <c r="C7" s="9" t="n">
        <v>7200000</v>
      </c>
      <c r="D7" s="9" t="n">
        <f aca="false">銷售明細!AO8</f>
        <v>0</v>
      </c>
      <c r="E7" s="9" t="n">
        <f aca="false">D7-C7</f>
        <v>-7200000</v>
      </c>
      <c r="F7" s="15" t="n">
        <f aca="false">IF(C7=0,"-",D7/C7-1)</f>
        <v>-1</v>
      </c>
      <c r="G7" s="15" t="str">
        <f aca="false">IF(D7=0,"-",SUMPRODUCT(銷售明細!D8:O8)/D7)</f>
        <v>-</v>
      </c>
      <c r="H7" s="15" t="str">
        <f aca="false">IF(D7=0,"-",SUMPRODUCT(銷售明細!P8:AA8)/D7)</f>
        <v>-</v>
      </c>
      <c r="I7" s="15" t="str">
        <f aca="false">IF(D7=0,"-",SUMPRODUCT(銷售明細!AB8:AM8)/D7)</f>
        <v>-</v>
      </c>
      <c r="J7" s="16" t="str">
        <f aca="false">IF(F7&gt;=0.1,"★★★ 優秀",IF(F7&gt;=0,"★★ 達標",IF(F7&gt;=-0.1,"★ 待改善","✗ 需輔導")))</f>
        <v>✗ 需輔導</v>
      </c>
    </row>
    <row r="8" customFormat="false" ht="18" hidden="false" customHeight="true" outlineLevel="0" collapsed="false">
      <c r="A8" s="17" t="s">
        <v>33</v>
      </c>
      <c r="B8" s="18" t="s">
        <v>31</v>
      </c>
      <c r="C8" s="19" t="n">
        <v>5500000</v>
      </c>
      <c r="D8" s="19" t="n">
        <f aca="false">銷售明細!AO9</f>
        <v>0</v>
      </c>
      <c r="E8" s="19" t="n">
        <f aca="false">D8-C8</f>
        <v>-5500000</v>
      </c>
      <c r="F8" s="20" t="n">
        <f aca="false">IF(C8=0,"-",D8/C8-1)</f>
        <v>-1</v>
      </c>
      <c r="G8" s="20" t="str">
        <f aca="false">IF(D8=0,"-",SUMPRODUCT(銷售明細!D9:O9)/D8)</f>
        <v>-</v>
      </c>
      <c r="H8" s="20" t="str">
        <f aca="false">IF(D8=0,"-",SUMPRODUCT(銷售明細!P9:AA9)/D8)</f>
        <v>-</v>
      </c>
      <c r="I8" s="20" t="str">
        <f aca="false">IF(D8=0,"-",SUMPRODUCT(銷售明細!AB9:AM9)/D8)</f>
        <v>-</v>
      </c>
      <c r="J8" s="21" t="str">
        <f aca="false">IF(F8&gt;=0.1,"★★★ 優秀",IF(F8&gt;=0,"★★ 達標",IF(F8&gt;=-0.1,"★ 待改善","✗ 需輔導")))</f>
        <v>✗ 需輔導</v>
      </c>
    </row>
    <row r="9" customFormat="false" ht="18" hidden="false" customHeight="true" outlineLevel="0" collapsed="false">
      <c r="A9" s="13" t="s">
        <v>34</v>
      </c>
      <c r="B9" s="14" t="s">
        <v>35</v>
      </c>
      <c r="C9" s="9" t="n">
        <v>3800000</v>
      </c>
      <c r="D9" s="9" t="n">
        <f aca="false">銷售明細!AO10</f>
        <v>0</v>
      </c>
      <c r="E9" s="9" t="n">
        <f aca="false">D9-C9</f>
        <v>-3800000</v>
      </c>
      <c r="F9" s="15" t="n">
        <f aca="false">IF(C9=0,"-",D9/C9-1)</f>
        <v>-1</v>
      </c>
      <c r="G9" s="15" t="str">
        <f aca="false">IF(D9=0,"-",SUMPRODUCT(銷售明細!D10:O10)/D9)</f>
        <v>-</v>
      </c>
      <c r="H9" s="15" t="str">
        <f aca="false">IF(D9=0,"-",SUMPRODUCT(銷售明細!P10:AA10)/D9)</f>
        <v>-</v>
      </c>
      <c r="I9" s="15" t="str">
        <f aca="false">IF(D9=0,"-",SUMPRODUCT(銷售明細!AB10:AM10)/D9)</f>
        <v>-</v>
      </c>
      <c r="J9" s="16" t="str">
        <f aca="false">IF(F9&gt;=0.1,"★★★ 優秀",IF(F9&gt;=0,"★★ 達標",IF(F9&gt;=-0.1,"★ 待改善","✗ 需輔導")))</f>
        <v>✗ 需輔導</v>
      </c>
    </row>
    <row r="10" customFormat="false" ht="18" hidden="false" customHeight="true" outlineLevel="0" collapsed="false">
      <c r="A10" s="17" t="s">
        <v>37</v>
      </c>
      <c r="B10" s="18" t="s">
        <v>35</v>
      </c>
      <c r="C10" s="19" t="n">
        <v>7600000</v>
      </c>
      <c r="D10" s="19" t="n">
        <f aca="false">銷售明細!AO11</f>
        <v>0</v>
      </c>
      <c r="E10" s="19" t="n">
        <f aca="false">D10-C10</f>
        <v>-7600000</v>
      </c>
      <c r="F10" s="20" t="n">
        <f aca="false">IF(C10=0,"-",D10/C10-1)</f>
        <v>-1</v>
      </c>
      <c r="G10" s="20" t="str">
        <f aca="false">IF(D10=0,"-",SUMPRODUCT(銷售明細!D11:O11)/D10)</f>
        <v>-</v>
      </c>
      <c r="H10" s="20" t="str">
        <f aca="false">IF(D10=0,"-",SUMPRODUCT(銷售明細!P11:AA11)/D10)</f>
        <v>-</v>
      </c>
      <c r="I10" s="20" t="str">
        <f aca="false">IF(D10=0,"-",SUMPRODUCT(銷售明細!AB11:AM11)/D10)</f>
        <v>-</v>
      </c>
      <c r="J10" s="21" t="str">
        <f aca="false">IF(F10&gt;=0.1,"★★★ 優秀",IF(F10&gt;=0,"★★ 達標",IF(F10&gt;=-0.1,"★ 待改善","✗ 需輔導")))</f>
        <v>✗ 需輔導</v>
      </c>
    </row>
    <row r="12" customFormat="false" ht="13.5" hidden="false" customHeight="true" outlineLevel="0" collapsed="false">
      <c r="A12" s="22" t="s">
        <v>48</v>
      </c>
      <c r="B12" s="22"/>
      <c r="C12" s="22"/>
      <c r="D12" s="22"/>
      <c r="E12" s="22"/>
      <c r="F12" s="22"/>
      <c r="G12" s="22"/>
      <c r="H12" s="22"/>
      <c r="I12" s="22"/>
      <c r="J12" s="22"/>
    </row>
  </sheetData>
  <mergeCells count="2">
    <mergeCell ref="A1:J1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2026-03-24T01:19:10Z</dcterms:created>
  <dc:creator>openpyxl</dc:creator>
  <dc:description/>
  <dc:language>en-US</dc:language>
  <cp:lastModifiedBy/>
  <dcterms:modified xsi:type="dcterms:W3CDTF">2026-03-24T01:19:30Z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