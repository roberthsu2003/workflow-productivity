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年業績達成率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<sst xmlns="http://schemas.openxmlformats.org/spreadsheetml/2006/main" count="61" uniqueCount="41">
  <si>
    <r>
      <rPr>
        <b val="true"/>
        <sz val="14"/>
        <color rgb="FF1F4E79"/>
        <rFont val="Arial"/>
        <family val="0"/>
        <charset val="1"/>
      </rPr>
      <t xml:space="preserve">2024</t>
    </r>
    <r>
      <rPr>
        <b val="true"/>
        <sz val="14"/>
        <color rgb="FF1F4E79"/>
        <rFont val="Noto Sans CJK SC"/>
        <family val="2"/>
      </rPr>
      <t xml:space="preserve">年度　業務員月度業績達成率分析表</t>
    </r>
  </si>
  <si>
    <t xml:space="preserve">基本資料</t>
  </si>
  <si>
    <t xml:space="preserve">實際業績（元）</t>
  </si>
  <si>
    <t xml:space="preserve">目標業績（元）</t>
  </si>
  <si>
    <t xml:space="preserve">全年合計</t>
  </si>
  <si>
    <t xml:space="preserve">業務員</t>
  </si>
  <si>
    <t xml:space="preserve">部門</t>
  </si>
  <si>
    <t xml:space="preserve">區域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</si>
  <si>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</si>
  <si>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</si>
  <si>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</si>
  <si>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</si>
  <si>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</si>
  <si>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</si>
  <si>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</si>
  <si>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</si>
  <si>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</si>
  <si>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</si>
  <si>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</si>
  <si>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月</t>
    </r>
  </si>
  <si>
    <t xml:space="preserve">實際合計</t>
  </si>
  <si>
    <t xml:space="preserve">目標合計</t>
  </si>
  <si>
    <t xml:space="preserve">陳志明</t>
  </si>
  <si>
    <t xml:space="preserve">北區業務</t>
  </si>
  <si>
    <t xml:space="preserve">北區</t>
  </si>
  <si>
    <t xml:space="preserve">林美惠</t>
  </si>
  <si>
    <t xml:space="preserve">張偉傑</t>
  </si>
  <si>
    <t xml:space="preserve">南區業務</t>
  </si>
  <si>
    <t xml:space="preserve">南區</t>
  </si>
  <si>
    <t xml:space="preserve">王雅琳</t>
  </si>
  <si>
    <t xml:space="preserve">李建國</t>
  </si>
  <si>
    <t xml:space="preserve">中區業務</t>
  </si>
  <si>
    <t xml:space="preserve">中區</t>
  </si>
  <si>
    <t xml:space="preserve">吳淑芬</t>
  </si>
  <si>
    <t xml:space="preserve">黃志豪</t>
  </si>
  <si>
    <t xml:space="preserve">東區業務</t>
  </si>
  <si>
    <t xml:space="preserve">東區</t>
  </si>
  <si>
    <t xml:space="preserve">蔡佳穎</t>
  </si>
  <si>
    <t xml:space="preserve">合計</t>
  </si>
  <si>
    <t xml:space="preserve">整體達成率</t>
  </si>
  <si>
    <r>
      <rPr>
        <i val="true"/>
        <sz val="9"/>
        <color rgb="FF7F6000"/>
        <rFont val="Noto Sans CJK SC"/>
        <family val="2"/>
      </rPr>
      <t xml:space="preserve">※ 紅色底色：當月實際業績低於目標</t>
    </r>
    <r>
      <rPr>
        <i val="true"/>
        <sz val="9"/>
        <color rgb="FF7F6000"/>
        <rFont val="Arial"/>
        <family val="0"/>
        <charset val="1"/>
      </rPr>
      <t xml:space="preserve">80%</t>
    </r>
    <r>
      <rPr>
        <i val="true"/>
        <sz val="9"/>
        <color rgb="FF7F6000"/>
        <rFont val="Noto Sans CJK SC"/>
        <family val="2"/>
      </rPr>
      <t xml:space="preserve">以下（嚴重未達標）　黃色底色：低於目標但高於</t>
    </r>
    <r>
      <rPr>
        <i val="true"/>
        <sz val="9"/>
        <color rgb="FF7F6000"/>
        <rFont val="Arial"/>
        <family val="0"/>
        <charset val="1"/>
      </rPr>
      <t xml:space="preserve">80%</t>
    </r>
    <r>
      <rPr>
        <i val="true"/>
        <sz val="9"/>
        <color rgb="FF7F6000"/>
        <rFont val="Noto Sans CJK SC"/>
        <family val="2"/>
      </rPr>
      <t xml:space="preserve">（需關注）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</si>
</sst>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6000"/>
      <name val="Noto Sans CJK SC"/>
      <family val="2"/>
    </font>
    <font>
      <i val="true"/>
      <sz val="9"/>
      <color rgb="FF7F6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FCC"/>
      </patternFill>
    </fill>
    <fill>
      <patternFill patternType="solid">
        <fgColor rgb="FFFFCCCC"/>
        <bgColor rgb="FFFFE6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29" min="4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" hidden="false" customHeight="false" outlineLevel="0" collapsed="false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4</v>
      </c>
      <c r="AC2" s="2"/>
    </row>
    <row r="3" customFormat="false" ht="19.5" hidden="false" customHeight="true" outlineLevel="0" collapsed="false">
      <c r="A3" s="3" t="s">
        <v>5</v>
      </c>
      <c r="B3" s="3" t="s">
        <v>6</v>
      </c>
      <c r="C3" s="3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O3" s="4" t="s">
        <v>19</v>
      </c>
      <c r="P3" s="4" t="s">
        <v>8</v>
      </c>
      <c r="Q3" s="4" t="s">
        <v>9</v>
      </c>
      <c r="R3" s="4" t="s">
        <v>10</v>
      </c>
      <c r="S3" s="4" t="s">
        <v>11</v>
      </c>
      <c r="T3" s="4" t="s">
        <v>12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17</v>
      </c>
      <c r="Z3" s="4" t="s">
        <v>18</v>
      </c>
      <c r="AA3" s="4" t="s">
        <v>19</v>
      </c>
      <c r="AB3" s="3" t="s">
        <v>20</v>
      </c>
      <c r="AC3" s="3" t="s">
        <v>21</v>
      </c>
    </row>
    <row r="4" customFormat="false" ht="18" hidden="false" customHeight="true" outlineLevel="0" collapsed="false">
      <c r="A4" s="5" t="s">
        <v>22</v>
      </c>
      <c r="B4" s="6" t="s">
        <v>23</v>
      </c>
      <c r="C4" s="7" t="s">
        <v>24</v>
      </c>
      <c r="D4" s="8" t="n">
        <v>850000</v>
      </c>
      <c r="E4" s="9" t="n">
        <v>920000</v>
      </c>
      <c r="F4" s="8" t="n">
        <v>780000</v>
      </c>
      <c r="G4" s="9" t="n">
        <v>1050000</v>
      </c>
      <c r="H4" s="9" t="n">
        <v>960000</v>
      </c>
      <c r="I4" s="9" t="n">
        <v>1100000</v>
      </c>
      <c r="J4" s="9" t="n">
        <v>980000</v>
      </c>
      <c r="K4" s="9" t="n">
        <v>1020000</v>
      </c>
      <c r="L4" s="8" t="n">
        <v>890000</v>
      </c>
      <c r="M4" s="9" t="n">
        <v>1150000</v>
      </c>
      <c r="N4" s="9" t="n">
        <v>1080000</v>
      </c>
      <c r="O4" s="9" t="n">
        <v>1200000</v>
      </c>
      <c r="P4" s="9" t="n">
        <v>900000</v>
      </c>
      <c r="Q4" s="9" t="n">
        <v>900000</v>
      </c>
      <c r="R4" s="9" t="n">
        <v>900000</v>
      </c>
      <c r="S4" s="9" t="n">
        <v>900000</v>
      </c>
      <c r="T4" s="9" t="n">
        <v>900000</v>
      </c>
      <c r="U4" s="9" t="n">
        <v>900000</v>
      </c>
      <c r="V4" s="9" t="n">
        <v>900000</v>
      </c>
      <c r="W4" s="9" t="n">
        <v>900000</v>
      </c>
      <c r="X4" s="9" t="n">
        <v>900000</v>
      </c>
      <c r="Y4" s="9" t="n">
        <v>900000</v>
      </c>
      <c r="Z4" s="9" t="n">
        <v>900000</v>
      </c>
      <c r="AA4" s="9" t="n">
        <v>900000</v>
      </c>
      <c r="AB4" s="9" t="n">
        <f aca="false">SUM(D4:O4)</f>
        <v>11980000</v>
      </c>
      <c r="AC4" s="9" t="n">
        <f aca="false">SUM(P4:AA4)</f>
        <v>10800000</v>
      </c>
    </row>
    <row r="5" customFormat="false" ht="18" hidden="false" customHeight="true" outlineLevel="0" collapsed="false">
      <c r="A5" s="5" t="s">
        <v>25</v>
      </c>
      <c r="B5" s="6" t="s">
        <v>23</v>
      </c>
      <c r="C5" s="7" t="s">
        <v>24</v>
      </c>
      <c r="D5" s="8" t="n">
        <v>620000</v>
      </c>
      <c r="E5" s="8" t="n">
        <v>590000</v>
      </c>
      <c r="F5" s="8" t="n">
        <v>650000</v>
      </c>
      <c r="G5" s="10" t="n">
        <v>480000</v>
      </c>
      <c r="H5" s="8" t="n">
        <v>560000</v>
      </c>
      <c r="I5" s="8" t="n">
        <v>610000</v>
      </c>
      <c r="J5" s="8" t="n">
        <v>580000</v>
      </c>
      <c r="K5" s="10" t="n">
        <v>490000</v>
      </c>
      <c r="L5" s="8" t="n">
        <v>620000</v>
      </c>
      <c r="M5" s="8" t="n">
        <v>600000</v>
      </c>
      <c r="N5" s="8" t="n">
        <v>570000</v>
      </c>
      <c r="O5" s="8" t="n">
        <v>640000</v>
      </c>
      <c r="P5" s="9" t="n">
        <v>700000</v>
      </c>
      <c r="Q5" s="9" t="n">
        <v>700000</v>
      </c>
      <c r="R5" s="9" t="n">
        <v>700000</v>
      </c>
      <c r="S5" s="9" t="n">
        <v>700000</v>
      </c>
      <c r="T5" s="9" t="n">
        <v>700000</v>
      </c>
      <c r="U5" s="9" t="n">
        <v>700000</v>
      </c>
      <c r="V5" s="9" t="n">
        <v>700000</v>
      </c>
      <c r="W5" s="9" t="n">
        <v>700000</v>
      </c>
      <c r="X5" s="9" t="n">
        <v>700000</v>
      </c>
      <c r="Y5" s="9" t="n">
        <v>700000</v>
      </c>
      <c r="Z5" s="9" t="n">
        <v>700000</v>
      </c>
      <c r="AA5" s="9" t="n">
        <v>700000</v>
      </c>
      <c r="AB5" s="9" t="n">
        <f aca="false">SUM(D5:O5)</f>
        <v>7010000</v>
      </c>
      <c r="AC5" s="9" t="n">
        <f aca="false">SUM(P5:AA5)</f>
        <v>8400000</v>
      </c>
    </row>
    <row r="6" customFormat="false" ht="18" hidden="false" customHeight="true" outlineLevel="0" collapsed="false">
      <c r="A6" s="5" t="s">
        <v>26</v>
      </c>
      <c r="B6" s="6" t="s">
        <v>27</v>
      </c>
      <c r="C6" s="7" t="s">
        <v>28</v>
      </c>
      <c r="D6" s="8" t="n">
        <v>750000</v>
      </c>
      <c r="E6" s="9" t="n">
        <v>810000</v>
      </c>
      <c r="F6" s="9" t="n">
        <v>870000</v>
      </c>
      <c r="G6" s="9" t="n">
        <v>920000</v>
      </c>
      <c r="H6" s="9" t="n">
        <v>880000</v>
      </c>
      <c r="I6" s="9" t="n">
        <v>950000</v>
      </c>
      <c r="J6" s="9" t="n">
        <v>860000</v>
      </c>
      <c r="K6" s="9" t="n">
        <v>900000</v>
      </c>
      <c r="L6" s="9" t="n">
        <v>830000</v>
      </c>
      <c r="M6" s="9" t="n">
        <v>980000</v>
      </c>
      <c r="N6" s="9" t="n">
        <v>910000</v>
      </c>
      <c r="O6" s="9" t="n">
        <v>1050000</v>
      </c>
      <c r="P6" s="9" t="n">
        <v>800000</v>
      </c>
      <c r="Q6" s="9" t="n">
        <v>800000</v>
      </c>
      <c r="R6" s="9" t="n">
        <v>800000</v>
      </c>
      <c r="S6" s="9" t="n">
        <v>800000</v>
      </c>
      <c r="T6" s="9" t="n">
        <v>800000</v>
      </c>
      <c r="U6" s="9" t="n">
        <v>800000</v>
      </c>
      <c r="V6" s="9" t="n">
        <v>800000</v>
      </c>
      <c r="W6" s="9" t="n">
        <v>800000</v>
      </c>
      <c r="X6" s="9" t="n">
        <v>800000</v>
      </c>
      <c r="Y6" s="9" t="n">
        <v>800000</v>
      </c>
      <c r="Z6" s="9" t="n">
        <v>800000</v>
      </c>
      <c r="AA6" s="9" t="n">
        <v>800000</v>
      </c>
      <c r="AB6" s="9" t="n">
        <f aca="false">SUM(D6:O6)</f>
        <v>10710000</v>
      </c>
      <c r="AC6" s="9" t="n">
        <f aca="false">SUM(P6:AA6)</f>
        <v>9600000</v>
      </c>
    </row>
    <row r="7" customFormat="false" ht="18" hidden="false" customHeight="true" outlineLevel="0" collapsed="false">
      <c r="A7" s="5" t="s">
        <v>29</v>
      </c>
      <c r="B7" s="6" t="s">
        <v>27</v>
      </c>
      <c r="C7" s="7" t="s">
        <v>28</v>
      </c>
      <c r="D7" s="10" t="n">
        <v>430000</v>
      </c>
      <c r="E7" s="8" t="n">
        <v>460000</v>
      </c>
      <c r="F7" s="8" t="n">
        <v>510000</v>
      </c>
      <c r="G7" s="8" t="n">
        <v>490000</v>
      </c>
      <c r="H7" s="8" t="n">
        <v>520000</v>
      </c>
      <c r="I7" s="9" t="n">
        <v>550000</v>
      </c>
      <c r="J7" s="8" t="n">
        <v>480000</v>
      </c>
      <c r="K7" s="8" t="n">
        <v>510000</v>
      </c>
      <c r="L7" s="8" t="n">
        <v>460000</v>
      </c>
      <c r="M7" s="8" t="n">
        <v>530000</v>
      </c>
      <c r="N7" s="8" t="n">
        <v>500000</v>
      </c>
      <c r="O7" s="9" t="n">
        <v>560000</v>
      </c>
      <c r="P7" s="9" t="n">
        <v>550000</v>
      </c>
      <c r="Q7" s="9" t="n">
        <v>550000</v>
      </c>
      <c r="R7" s="9" t="n">
        <v>550000</v>
      </c>
      <c r="S7" s="9" t="n">
        <v>550000</v>
      </c>
      <c r="T7" s="9" t="n">
        <v>550000</v>
      </c>
      <c r="U7" s="9" t="n">
        <v>550000</v>
      </c>
      <c r="V7" s="9" t="n">
        <v>550000</v>
      </c>
      <c r="W7" s="9" t="n">
        <v>550000</v>
      </c>
      <c r="X7" s="9" t="n">
        <v>550000</v>
      </c>
      <c r="Y7" s="9" t="n">
        <v>550000</v>
      </c>
      <c r="Z7" s="9" t="n">
        <v>550000</v>
      </c>
      <c r="AA7" s="9" t="n">
        <v>550000</v>
      </c>
      <c r="AB7" s="9" t="n">
        <f aca="false">SUM(D7:O7)</f>
        <v>6000000</v>
      </c>
      <c r="AC7" s="9" t="n">
        <f aca="false">SUM(P7:AA7)</f>
        <v>6600000</v>
      </c>
    </row>
    <row r="8" customFormat="false" ht="18" hidden="false" customHeight="true" outlineLevel="0" collapsed="false">
      <c r="A8" s="5" t="s">
        <v>30</v>
      </c>
      <c r="B8" s="6" t="s">
        <v>31</v>
      </c>
      <c r="C8" s="7" t="s">
        <v>32</v>
      </c>
      <c r="D8" s="8" t="n">
        <v>680000</v>
      </c>
      <c r="E8" s="9" t="n">
        <v>700000</v>
      </c>
      <c r="F8" s="8" t="n">
        <v>660000</v>
      </c>
      <c r="G8" s="9" t="n">
        <v>720000</v>
      </c>
      <c r="H8" s="8" t="n">
        <v>690000</v>
      </c>
      <c r="I8" s="9" t="n">
        <v>740000</v>
      </c>
      <c r="J8" s="9" t="n">
        <v>710000</v>
      </c>
      <c r="K8" s="9" t="n">
        <v>730000</v>
      </c>
      <c r="L8" s="8" t="n">
        <v>680000</v>
      </c>
      <c r="M8" s="9" t="n">
        <v>760000</v>
      </c>
      <c r="N8" s="9" t="n">
        <v>720000</v>
      </c>
      <c r="O8" s="9" t="n">
        <v>800000</v>
      </c>
      <c r="P8" s="9" t="n">
        <v>700000</v>
      </c>
      <c r="Q8" s="9" t="n">
        <v>700000</v>
      </c>
      <c r="R8" s="9" t="n">
        <v>700000</v>
      </c>
      <c r="S8" s="9" t="n">
        <v>700000</v>
      </c>
      <c r="T8" s="9" t="n">
        <v>700000</v>
      </c>
      <c r="U8" s="9" t="n">
        <v>700000</v>
      </c>
      <c r="V8" s="9" t="n">
        <v>700000</v>
      </c>
      <c r="W8" s="9" t="n">
        <v>700000</v>
      </c>
      <c r="X8" s="9" t="n">
        <v>700000</v>
      </c>
      <c r="Y8" s="9" t="n">
        <v>700000</v>
      </c>
      <c r="Z8" s="9" t="n">
        <v>700000</v>
      </c>
      <c r="AA8" s="9" t="n">
        <v>700000</v>
      </c>
      <c r="AB8" s="9" t="n">
        <f aca="false">SUM(D8:O8)</f>
        <v>8590000</v>
      </c>
      <c r="AC8" s="9" t="n">
        <f aca="false">SUM(P8:AA8)</f>
        <v>8400000</v>
      </c>
    </row>
    <row r="9" customFormat="false" ht="18" hidden="false" customHeight="true" outlineLevel="0" collapsed="false">
      <c r="A9" s="5" t="s">
        <v>33</v>
      </c>
      <c r="B9" s="6" t="s">
        <v>31</v>
      </c>
      <c r="C9" s="7" t="s">
        <v>32</v>
      </c>
      <c r="D9" s="8" t="n">
        <v>520000</v>
      </c>
      <c r="E9" s="8" t="n">
        <v>550000</v>
      </c>
      <c r="F9" s="8" t="n">
        <v>480000</v>
      </c>
      <c r="G9" s="8" t="n">
        <v>560000</v>
      </c>
      <c r="H9" s="8" t="n">
        <v>530000</v>
      </c>
      <c r="I9" s="8" t="n">
        <v>590000</v>
      </c>
      <c r="J9" s="8" t="n">
        <v>510000</v>
      </c>
      <c r="K9" s="8" t="n">
        <v>540000</v>
      </c>
      <c r="L9" s="8" t="n">
        <v>500000</v>
      </c>
      <c r="M9" s="8" t="n">
        <v>580000</v>
      </c>
      <c r="N9" s="8" t="n">
        <v>550000</v>
      </c>
      <c r="O9" s="9" t="n">
        <v>620000</v>
      </c>
      <c r="P9" s="9" t="n">
        <v>600000</v>
      </c>
      <c r="Q9" s="9" t="n">
        <v>600000</v>
      </c>
      <c r="R9" s="9" t="n">
        <v>600000</v>
      </c>
      <c r="S9" s="9" t="n">
        <v>600000</v>
      </c>
      <c r="T9" s="9" t="n">
        <v>600000</v>
      </c>
      <c r="U9" s="9" t="n">
        <v>600000</v>
      </c>
      <c r="V9" s="9" t="n">
        <v>600000</v>
      </c>
      <c r="W9" s="9" t="n">
        <v>600000</v>
      </c>
      <c r="X9" s="9" t="n">
        <v>600000</v>
      </c>
      <c r="Y9" s="9" t="n">
        <v>600000</v>
      </c>
      <c r="Z9" s="9" t="n">
        <v>600000</v>
      </c>
      <c r="AA9" s="9" t="n">
        <v>600000</v>
      </c>
      <c r="AB9" s="9" t="n">
        <f aca="false">SUM(D9:O9)</f>
        <v>6530000</v>
      </c>
      <c r="AC9" s="9" t="n">
        <f aca="false">SUM(P9:AA9)</f>
        <v>7200000</v>
      </c>
    </row>
    <row r="10" customFormat="false" ht="18" hidden="false" customHeight="true" outlineLevel="0" collapsed="false">
      <c r="A10" s="5" t="s">
        <v>34</v>
      </c>
      <c r="B10" s="6" t="s">
        <v>35</v>
      </c>
      <c r="C10" s="7" t="s">
        <v>36</v>
      </c>
      <c r="D10" s="8" t="n">
        <v>390000</v>
      </c>
      <c r="E10" s="8" t="n">
        <v>410000</v>
      </c>
      <c r="F10" s="10" t="n">
        <v>350000</v>
      </c>
      <c r="G10" s="10" t="n">
        <v>290000</v>
      </c>
      <c r="H10" s="8" t="n">
        <v>380000</v>
      </c>
      <c r="I10" s="8" t="n">
        <v>420000</v>
      </c>
      <c r="J10" s="8" t="n">
        <v>400000</v>
      </c>
      <c r="K10" s="8" t="n">
        <v>360000</v>
      </c>
      <c r="L10" s="10" t="n">
        <v>310000</v>
      </c>
      <c r="M10" s="8" t="n">
        <v>430000</v>
      </c>
      <c r="N10" s="8" t="n">
        <v>400000</v>
      </c>
      <c r="O10" s="9" t="n">
        <v>450000</v>
      </c>
      <c r="P10" s="9" t="n">
        <v>450000</v>
      </c>
      <c r="Q10" s="9" t="n">
        <v>450000</v>
      </c>
      <c r="R10" s="9" t="n">
        <v>450000</v>
      </c>
      <c r="S10" s="9" t="n">
        <v>450000</v>
      </c>
      <c r="T10" s="9" t="n">
        <v>450000</v>
      </c>
      <c r="U10" s="9" t="n">
        <v>450000</v>
      </c>
      <c r="V10" s="9" t="n">
        <v>450000</v>
      </c>
      <c r="W10" s="9" t="n">
        <v>450000</v>
      </c>
      <c r="X10" s="9" t="n">
        <v>450000</v>
      </c>
      <c r="Y10" s="9" t="n">
        <v>450000</v>
      </c>
      <c r="Z10" s="9" t="n">
        <v>450000</v>
      </c>
      <c r="AA10" s="9" t="n">
        <v>450000</v>
      </c>
      <c r="AB10" s="9" t="n">
        <f aca="false">SUM(D10:O10)</f>
        <v>4590000</v>
      </c>
      <c r="AC10" s="9" t="n">
        <f aca="false">SUM(P10:AA10)</f>
        <v>5400000</v>
      </c>
    </row>
    <row r="11" customFormat="false" ht="18" hidden="false" customHeight="true" outlineLevel="0" collapsed="false">
      <c r="A11" s="5" t="s">
        <v>37</v>
      </c>
      <c r="B11" s="6" t="s">
        <v>35</v>
      </c>
      <c r="C11" s="7" t="s">
        <v>36</v>
      </c>
      <c r="D11" s="8" t="n">
        <v>610000</v>
      </c>
      <c r="E11" s="8" t="n">
        <v>640000</v>
      </c>
      <c r="F11" s="9" t="n">
        <v>680000</v>
      </c>
      <c r="G11" s="9" t="n">
        <v>700000</v>
      </c>
      <c r="H11" s="9" t="n">
        <v>660000</v>
      </c>
      <c r="I11" s="9" t="n">
        <v>720000</v>
      </c>
      <c r="J11" s="9" t="n">
        <v>690000</v>
      </c>
      <c r="K11" s="9" t="n">
        <v>710000</v>
      </c>
      <c r="L11" s="9" t="n">
        <v>650000</v>
      </c>
      <c r="M11" s="9" t="n">
        <v>740000</v>
      </c>
      <c r="N11" s="9" t="n">
        <v>700000</v>
      </c>
      <c r="O11" s="9" t="n">
        <v>780000</v>
      </c>
      <c r="P11" s="9" t="n">
        <v>650000</v>
      </c>
      <c r="Q11" s="9" t="n">
        <v>650000</v>
      </c>
      <c r="R11" s="9" t="n">
        <v>650000</v>
      </c>
      <c r="S11" s="9" t="n">
        <v>650000</v>
      </c>
      <c r="T11" s="9" t="n">
        <v>650000</v>
      </c>
      <c r="U11" s="9" t="n">
        <v>650000</v>
      </c>
      <c r="V11" s="9" t="n">
        <v>650000</v>
      </c>
      <c r="W11" s="9" t="n">
        <v>650000</v>
      </c>
      <c r="X11" s="9" t="n">
        <v>650000</v>
      </c>
      <c r="Y11" s="9" t="n">
        <v>650000</v>
      </c>
      <c r="Z11" s="9" t="n">
        <v>650000</v>
      </c>
      <c r="AA11" s="9" t="n">
        <v>650000</v>
      </c>
      <c r="AB11" s="9" t="n">
        <f aca="false">SUM(D11:O11)</f>
        <v>8280000</v>
      </c>
      <c r="AC11" s="9" t="n">
        <f aca="false">SUM(P11:AA11)</f>
        <v>7800000</v>
      </c>
    </row>
    <row r="12" customFormat="false" ht="15" hidden="false" customHeight="false" outlineLevel="0" collapsed="false">
      <c r="A12" s="11" t="s">
        <v>38</v>
      </c>
      <c r="B12" s="11"/>
      <c r="C12" s="11"/>
      <c r="D12" s="12" t="n">
        <f aca="false">SUM(D4:D11)</f>
        <v>4850000</v>
      </c>
      <c r="E12" s="12" t="n">
        <f aca="false">SUM(E4:E11)</f>
        <v>5080000</v>
      </c>
      <c r="F12" s="12" t="n">
        <f aca="false">SUM(F4:F11)</f>
        <v>4980000</v>
      </c>
      <c r="G12" s="12" t="n">
        <f aca="false">SUM(G4:G11)</f>
        <v>5210000</v>
      </c>
      <c r="H12" s="12" t="n">
        <f aca="false">SUM(H4:H11)</f>
        <v>5180000</v>
      </c>
      <c r="I12" s="12" t="n">
        <f aca="false">SUM(I4:I11)</f>
        <v>5680000</v>
      </c>
      <c r="J12" s="12" t="n">
        <f aca="false">SUM(J4:J11)</f>
        <v>5210000</v>
      </c>
      <c r="K12" s="12" t="n">
        <f aca="false">SUM(K4:K11)</f>
        <v>5260000</v>
      </c>
      <c r="L12" s="12" t="n">
        <f aca="false">SUM(L4:L11)</f>
        <v>4940000</v>
      </c>
      <c r="M12" s="12" t="n">
        <f aca="false">SUM(M4:M11)</f>
        <v>5770000</v>
      </c>
      <c r="N12" s="12" t="n">
        <f aca="false">SUM(N4:N11)</f>
        <v>5430000</v>
      </c>
      <c r="O12" s="12" t="n">
        <f aca="false">SUM(O4:O11)</f>
        <v>6100000</v>
      </c>
      <c r="P12" s="12" t="n">
        <f aca="false">SUM(P4:P11)</f>
        <v>5350000</v>
      </c>
      <c r="Q12" s="12" t="n">
        <f aca="false">SUM(Q4:Q11)</f>
        <v>5350000</v>
      </c>
      <c r="R12" s="12" t="n">
        <f aca="false">SUM(R4:R11)</f>
        <v>5350000</v>
      </c>
      <c r="S12" s="12" t="n">
        <f aca="false">SUM(S4:S11)</f>
        <v>5350000</v>
      </c>
      <c r="T12" s="12" t="n">
        <f aca="false">SUM(T4:T11)</f>
        <v>5350000</v>
      </c>
      <c r="U12" s="12" t="n">
        <f aca="false">SUM(U4:U11)</f>
        <v>5350000</v>
      </c>
      <c r="V12" s="12" t="n">
        <f aca="false">SUM(V4:V11)</f>
        <v>5350000</v>
      </c>
      <c r="W12" s="12" t="n">
        <f aca="false">SUM(W4:W11)</f>
        <v>5350000</v>
      </c>
      <c r="X12" s="12" t="n">
        <f aca="false">SUM(X4:X11)</f>
        <v>5350000</v>
      </c>
      <c r="Y12" s="12" t="n">
        <f aca="false">SUM(Y4:Y11)</f>
        <v>5350000</v>
      </c>
      <c r="Z12" s="12" t="n">
        <f aca="false">SUM(Z4:Z11)</f>
        <v>5350000</v>
      </c>
      <c r="AA12" s="12" t="n">
        <f aca="false">SUM(AA4:AA11)</f>
        <v>5350000</v>
      </c>
      <c r="AB12" s="12" t="n">
        <f aca="false">SUM(AB4:AB11)</f>
        <v>63690000</v>
      </c>
      <c r="AC12" s="12" t="n">
        <f aca="false">SUM(AC4:AC11)</f>
        <v>64200000</v>
      </c>
    </row>
    <row r="13" customFormat="false" ht="18" hidden="false" customHeight="true" outlineLevel="0" collapsed="false">
      <c r="A13" s="13" t="s">
        <v>39</v>
      </c>
      <c r="B13" s="13"/>
      <c r="C13" s="13"/>
      <c r="D13" s="14" t="n">
        <f aca="false">IF(P12=0,"-",D12/P12)</f>
        <v>0.906542056074766</v>
      </c>
      <c r="E13" s="14" t="n">
        <f aca="false">IF(Q12=0,"-",E12/Q12)</f>
        <v>0.949532710280374</v>
      </c>
      <c r="F13" s="14" t="n">
        <f aca="false">IF(R12=0,"-",F12/R12)</f>
        <v>0.930841121495327</v>
      </c>
      <c r="G13" s="14" t="n">
        <f aca="false">IF(S12=0,"-",G12/S12)</f>
        <v>0.973831775700935</v>
      </c>
      <c r="H13" s="14" t="n">
        <f aca="false">IF(T12=0,"-",H12/T12)</f>
        <v>0.968224299065421</v>
      </c>
      <c r="I13" s="14" t="n">
        <f aca="false">IF(U12=0,"-",I12/U12)</f>
        <v>1.06168224299065</v>
      </c>
      <c r="J13" s="14" t="n">
        <f aca="false">IF(V12=0,"-",J12/V12)</f>
        <v>0.973831775700935</v>
      </c>
      <c r="K13" s="14" t="n">
        <f aca="false">IF(W12=0,"-",K12/W12)</f>
        <v>0.983177570093458</v>
      </c>
      <c r="L13" s="14" t="n">
        <f aca="false">IF(X12=0,"-",L12/X12)</f>
        <v>0.923364485981308</v>
      </c>
      <c r="M13" s="14" t="n">
        <f aca="false">IF(Y12=0,"-",M12/Y12)</f>
        <v>1.0785046728972</v>
      </c>
      <c r="N13" s="14" t="n">
        <f aca="false">IF(Z12=0,"-",N12/Z12)</f>
        <v>1.01495327102804</v>
      </c>
      <c r="O13" s="14" t="n">
        <f aca="false">IF(AA12=0,"-",O12/AA12)</f>
        <v>1.14018691588785</v>
      </c>
    </row>
    <row r="15" customFormat="false" ht="14.15" hidden="false" customHeight="false" outlineLevel="0" collapsed="false">
      <c r="A15" s="15" t="s">
        <v>40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</sheetData>
  <mergeCells count="8">
    <mergeCell ref="A1:AC1"/>
    <mergeCell ref="A2:C2"/>
    <mergeCell ref="D2:O2"/>
    <mergeCell ref="P2:AA2"/>
    <mergeCell ref="AB2:AC2"/>
    <mergeCell ref="A12:C12"/>
    <mergeCell ref="A13:C13"/>
    <mergeCell ref="A15:A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2026-03-24T01:18:17Z</dcterms:created>
  <dc:creator>openpyxl</dc:creator>
  <dc:description/>
  <dc:language>en-US</dc:language>
  <cp:lastModifiedBy/>
  <dcterms:modified xsi:type="dcterms:W3CDTF">2026-03-24T01:18:17Z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